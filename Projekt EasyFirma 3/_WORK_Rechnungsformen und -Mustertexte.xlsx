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xr:revisionPtr revIDLastSave="0" documentId="13_ncr:1_{BDD22E02-DFBE-439F-9571-460D701FB86F}" xr6:coauthVersionLast="47" xr6:coauthVersionMax="47" xr10:uidLastSave="{00000000-0000-0000-0000-000000000000}"/>
  <bookViews>
    <workbookView xWindow="-120" yWindow="-120" windowWidth="38640" windowHeight="22860" xr2:uid="{D531B8BD-D3E1-4720-BBD6-F94E474D2DC0}"/>
  </bookViews>
  <sheets>
    <sheet name="Rg Form 1" sheetId="1" r:id="rId1"/>
    <sheet name="Rg Form 2 Lohn" sheetId="2" r:id="rId2"/>
    <sheet name="Rg Form 3 Fibu" sheetId="3" r:id="rId3"/>
    <sheet name="Rg Form 4 - Prüfungen" sheetId="4" r:id="rId4"/>
    <sheet name="Rg Form 5 - pauschal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2" i="1" l="1"/>
  <c r="G80" i="1"/>
  <c r="G77" i="1"/>
  <c r="H36" i="5"/>
  <c r="G10" i="5"/>
  <c r="H37" i="5" l="1"/>
  <c r="H38" i="5" s="1"/>
  <c r="H37" i="4" l="1"/>
  <c r="H26" i="4"/>
  <c r="E35" i="4" s="1"/>
  <c r="H27" i="3"/>
  <c r="H28" i="3"/>
  <c r="H26" i="3"/>
  <c r="G28" i="3"/>
  <c r="G27" i="3"/>
  <c r="E26" i="3"/>
  <c r="E27" i="3" s="1"/>
  <c r="E28" i="3" s="1"/>
  <c r="G34" i="2"/>
  <c r="H34" i="2" s="1"/>
  <c r="G33" i="2"/>
  <c r="H33" i="2" s="1"/>
  <c r="E32" i="2"/>
  <c r="H32" i="2" s="1"/>
  <c r="H31" i="2"/>
  <c r="G28" i="2"/>
  <c r="H28" i="2" s="1"/>
  <c r="G27" i="2"/>
  <c r="H27" i="2" s="1"/>
  <c r="H26" i="2"/>
  <c r="H25" i="2"/>
  <c r="G51" i="1"/>
  <c r="G36" i="1"/>
  <c r="G33" i="1"/>
  <c r="G30" i="1"/>
  <c r="G42" i="1"/>
  <c r="G41" i="1"/>
  <c r="G40" i="1"/>
  <c r="G39" i="1"/>
  <c r="G38" i="1"/>
  <c r="G27" i="1"/>
  <c r="G45" i="1"/>
  <c r="G48" i="1"/>
  <c r="G61" i="1"/>
  <c r="G54" i="1"/>
  <c r="C55" i="1"/>
  <c r="C62" i="1" s="1"/>
  <c r="C48" i="1" s="1"/>
  <c r="C45" i="1" s="1"/>
  <c r="G64" i="1"/>
  <c r="G57" i="1"/>
  <c r="C57" i="1"/>
  <c r="G24" i="1"/>
  <c r="H38" i="4" l="1"/>
  <c r="H39" i="4" s="1"/>
  <c r="H35" i="3"/>
  <c r="H36" i="3"/>
  <c r="H37" i="3" s="1"/>
  <c r="E33" i="3"/>
  <c r="H39" i="2"/>
  <c r="H40" i="2" s="1"/>
  <c r="H41" i="2" s="1"/>
  <c r="C51" i="1"/>
  <c r="G105" i="1"/>
  <c r="G106" i="1" s="1"/>
  <c r="G107" i="1" s="1"/>
  <c r="H107" i="1" s="1"/>
</calcChain>
</file>

<file path=xl/sharedStrings.xml><?xml version="1.0" encoding="utf-8"?>
<sst xmlns="http://schemas.openxmlformats.org/spreadsheetml/2006/main" count="272" uniqueCount="157">
  <si>
    <t>Hartmut Ahting, Steuerberater, Heerstrasse 50, 60488 Frankfurt</t>
  </si>
  <si>
    <t>José Buzon Zarzuela &amp; Barbara Buzon GbR</t>
  </si>
  <si>
    <t>Rg-Datum:</t>
  </si>
  <si>
    <t>für Objekt Am Hopfengarten 6</t>
  </si>
  <si>
    <t xml:space="preserve">Kunden-Nr.: </t>
  </si>
  <si>
    <t>Fritz-Schumacher-Weg 103</t>
  </si>
  <si>
    <t>Rg-Nr.:</t>
  </si>
  <si>
    <t>60333-2025-001</t>
  </si>
  <si>
    <t>60488 Frankfurt</t>
  </si>
  <si>
    <t xml:space="preserve">IBAN: </t>
  </si>
  <si>
    <t>DE 13 50070024 0 4092862 00</t>
  </si>
  <si>
    <t>BIC:</t>
  </si>
  <si>
    <t>DEUTDEDBFRA</t>
  </si>
  <si>
    <t xml:space="preserve">Rechnung über Honorare </t>
  </si>
  <si>
    <t xml:space="preserve">Für die nachfolgend aufgeführten Leistungen erlaube ich mir, in Übereinstimmung mit der </t>
  </si>
  <si>
    <t>Steuerberatervergütungsverordnung wie folgt abzurechnen:</t>
  </si>
  <si>
    <t>Leistung</t>
  </si>
  <si>
    <t>Gegenstands-</t>
  </si>
  <si>
    <t>Tabelle</t>
  </si>
  <si>
    <t>Gebühren-</t>
  </si>
  <si>
    <t>Gebühr</t>
  </si>
  <si>
    <t>§§</t>
  </si>
  <si>
    <t>wert</t>
  </si>
  <si>
    <t>satz/Std.</t>
  </si>
  <si>
    <t>Erklärung zur gesonderten Feststellung der</t>
  </si>
  <si>
    <t>A</t>
  </si>
  <si>
    <t>Einkünfte ohne Ermittlung der Einkünfte</t>
  </si>
  <si>
    <t xml:space="preserve">Auslagenersatz für Post- und </t>
  </si>
  <si>
    <t>Telekommunikation</t>
  </si>
  <si>
    <t>Gesamt</t>
  </si>
  <si>
    <t>USt 19%</t>
  </si>
  <si>
    <t>Rechnungsendbetrag</t>
  </si>
  <si>
    <t>Steuernummer: 014 801 32096</t>
  </si>
  <si>
    <t>Leistungszeitraum:</t>
  </si>
  <si>
    <t>01.01.2025-30.03.2025</t>
  </si>
  <si>
    <t>Vermietung und Verpachtung</t>
  </si>
  <si>
    <t>Objekt: Am Hopfengarten</t>
  </si>
  <si>
    <t>Überschußermittlung der sonstigen Einkünfte</t>
  </si>
  <si>
    <t>hier: Renteneinkünfte</t>
  </si>
  <si>
    <t>nichtselbständiger Arbeit - Herr Kühn</t>
  </si>
  <si>
    <t>Kapitalvermögen - Herr Kühn</t>
  </si>
  <si>
    <t>Überschußermittlung bei den Einkünften aus</t>
  </si>
  <si>
    <t>Gewerbebetrieb</t>
  </si>
  <si>
    <t>B</t>
  </si>
  <si>
    <t>Land und Forstwirtschaft</t>
  </si>
  <si>
    <t xml:space="preserve">Einkommensteuererklärung ohne Ermittlung </t>
  </si>
  <si>
    <t>der Einkünfte</t>
  </si>
  <si>
    <t>Gewerbesteuererklärung</t>
  </si>
  <si>
    <t>Körperschaftsteuererklärung</t>
  </si>
  <si>
    <t>Gewerbesteuerzerlegungserklärung</t>
  </si>
  <si>
    <t>Umsatzsteuervoranmeldung</t>
  </si>
  <si>
    <t>Umsatzsteuerjahreserklärung</t>
  </si>
  <si>
    <t xml:space="preserve">Erklärung zur Feststellung nach dem </t>
  </si>
  <si>
    <t>Schenkungs- oder Erbschaftsteuererklärung</t>
  </si>
  <si>
    <t>auf den Stichtag: 31.10.2025</t>
  </si>
  <si>
    <t>Bewertungsgesetz auf den Stichtag: 31.10.2025</t>
  </si>
  <si>
    <t>Kapitalertragsteueranmeldung zum: 25.07.2025</t>
  </si>
  <si>
    <t>selbständiger Arbeit</t>
  </si>
  <si>
    <t>Herr Peter Kühn</t>
  </si>
  <si>
    <t>Liegenschaftsverwaltung</t>
  </si>
  <si>
    <t>August-Schanz-Str. 13</t>
  </si>
  <si>
    <t>10215-2021-002</t>
  </si>
  <si>
    <t>Leistungsdatum:</t>
  </si>
  <si>
    <t>60433 Frankfurt</t>
  </si>
  <si>
    <t>DE13 50070024 0 4092862 00</t>
  </si>
  <si>
    <t>Für die nachfolgend aufgeführten Leistungen erlaube ich mir nach der Steuerberatervergütungs-</t>
  </si>
  <si>
    <t>verordnung wie folgt abzurechnen:</t>
  </si>
  <si>
    <t>Arbeit-</t>
  </si>
  <si>
    <t>nehmer</t>
  </si>
  <si>
    <t xml:space="preserve"> - Lohnabrechnungen inkl. Sozialvers.-meldungen</t>
  </si>
  <si>
    <t>USt 16%</t>
  </si>
  <si>
    <t xml:space="preserve"> - Einrichten von Lohnkonten</t>
  </si>
  <si>
    <t xml:space="preserve">   Mengenrabatt 1</t>
  </si>
  <si>
    <t xml:space="preserve">   Mengenrabatt 2</t>
  </si>
  <si>
    <t>Wert</t>
  </si>
  <si>
    <t>11.11.24 - 11.12.2024</t>
  </si>
  <si>
    <t>für</t>
  </si>
  <si>
    <t>10/2024</t>
  </si>
  <si>
    <t>Löhne/Gehälter</t>
  </si>
  <si>
    <t xml:space="preserve">Löhne/Gehälter </t>
  </si>
  <si>
    <t>11/2024</t>
  </si>
  <si>
    <t xml:space="preserve">Für die nachfolgend aufgeführten Leistungen rechne ich nach der Steuerberatervergütungsverordnung </t>
  </si>
  <si>
    <t>wie folgt ab:</t>
  </si>
  <si>
    <t xml:space="preserve">Herr </t>
  </si>
  <si>
    <t>Ghirmay Habton</t>
  </si>
  <si>
    <t>Heinrich-Neeb-Str. 1</t>
  </si>
  <si>
    <t>10252-2024-008</t>
  </si>
  <si>
    <t>35423 Lich</t>
  </si>
  <si>
    <t>Geb.-</t>
  </si>
  <si>
    <t xml:space="preserve"> wert/Std.-Satz</t>
  </si>
  <si>
    <t>Satz/Std.</t>
  </si>
  <si>
    <t>Buchführung einschließlich des Kontierens der</t>
  </si>
  <si>
    <t>der Belege für:</t>
  </si>
  <si>
    <t>C</t>
  </si>
  <si>
    <t xml:space="preserve">Steuernummer: 014 801 32096      </t>
  </si>
  <si>
    <t>07.06.24 - 07.08.24</t>
  </si>
  <si>
    <t>11,5/10</t>
  </si>
  <si>
    <t>Hess &amp; Reiter OHG</t>
  </si>
  <si>
    <t>Fahrrad24.com</t>
  </si>
  <si>
    <t>Heerstraße 50</t>
  </si>
  <si>
    <t>10230-2022-005</t>
  </si>
  <si>
    <t>60488 Frankfurt am Main</t>
  </si>
  <si>
    <t>satz</t>
  </si>
  <si>
    <t>Teilnahme an der Prüfung der DRV für</t>
  </si>
  <si>
    <t>Zeitgeb.</t>
  </si>
  <si>
    <t>2018-2021</t>
  </si>
  <si>
    <t xml:space="preserve"> - Vorbereitung der Prüfung und Zusammen-</t>
  </si>
  <si>
    <t xml:space="preserve">   stellung von Unterlagen vom 02.-17.01.2022</t>
  </si>
  <si>
    <t xml:space="preserve"> - Abschluß der Prüfung durch Prüfung des Prüfberichts</t>
  </si>
  <si>
    <t>Bitte überweisen Sie die Summe ohne Abzüge innerhalb von 14 Tagen auf das angebenene Konto.</t>
  </si>
  <si>
    <t>02.01.2022-15.03.2022</t>
  </si>
  <si>
    <t xml:space="preserve"> - Beantwortung von Prüfunganfragen am 03.02.2022</t>
  </si>
  <si>
    <t xml:space="preserve">   und am 08.03.2022</t>
  </si>
  <si>
    <t xml:space="preserve">   am 15.03.2022</t>
  </si>
  <si>
    <t>Bitte überweisen Sie die Summe ohne Abzüge innerhalb von 14 Tagen auf das angegebene Konto.</t>
  </si>
  <si>
    <t>Antrag auf Vergütung der abziehbaren Vor-</t>
  </si>
  <si>
    <t>steuerbeträge für Schweden 2024</t>
  </si>
  <si>
    <t>Hilfeleistung bei sonstigen Tätigkeiten im</t>
  </si>
  <si>
    <t>Zusammenhang mit der Führung steuerlicher</t>
  </si>
  <si>
    <t>Aufzeichnungen - Zusammenstellung von</t>
  </si>
  <si>
    <t>Vorsteuervergütungsbeträgen f. Schweden 2024,</t>
  </si>
  <si>
    <t>Umrechnungen nach amtl. Kurs, Digitalisierung der</t>
  </si>
  <si>
    <t xml:space="preserve">Rechnungsbelege </t>
  </si>
  <si>
    <t xml:space="preserve">Jahresabschluß </t>
  </si>
  <si>
    <t xml:space="preserve">Steuerbilanz und -GuV </t>
  </si>
  <si>
    <t xml:space="preserve">Anhang </t>
  </si>
  <si>
    <t>Übergangs- u. Aufgabebilanz zum 30.06.2024</t>
  </si>
  <si>
    <t>mit Übergangs- u. Aufgabegewinnermittlung</t>
  </si>
  <si>
    <t>29/10</t>
  </si>
  <si>
    <t>5/10</t>
  </si>
  <si>
    <t>2/10</t>
  </si>
  <si>
    <t>16,75/10</t>
  </si>
  <si>
    <t>Verband progressiver Sicherheits-</t>
  </si>
  <si>
    <t>unternehmen e.V.</t>
  </si>
  <si>
    <t>Herr Till Steinberger</t>
  </si>
  <si>
    <t>10426-2025-002</t>
  </si>
  <si>
    <t>Frankfurter Straße 59-61</t>
  </si>
  <si>
    <t>63067 Offenbach am Main</t>
  </si>
  <si>
    <t>Leistungen außerhalb der StBVV</t>
  </si>
  <si>
    <t xml:space="preserve">Eintragung der wirtschaftlich Berechtigten in das Transparenzregister </t>
  </si>
  <si>
    <t>Bitte überweisen Sie den Betrag ohne Abzüge innerhalb von 14 Tagen auf das angegebene Konto.</t>
  </si>
  <si>
    <t xml:space="preserve">Steuernummer: 014 801 32096     </t>
  </si>
  <si>
    <t>Prüfung von Steuerbescheiden</t>
  </si>
  <si>
    <t>Einkommensteuerbescheid 2022 am 16.06.2022</t>
  </si>
  <si>
    <t>außergerichtliches Rechtsbehelfsverfahren gg.</t>
  </si>
  <si>
    <t>2300 VV; §13 RVG</t>
  </si>
  <si>
    <t>(0,5-2,5)</t>
  </si>
  <si>
    <t xml:space="preserve">den EStB für </t>
  </si>
  <si>
    <t>Beratung hinsichtlich der Einkommens-</t>
  </si>
  <si>
    <t xml:space="preserve">besteuerung bei Wegzug in das Ausland, </t>
  </si>
  <si>
    <t>insbesondere:</t>
  </si>
  <si>
    <t xml:space="preserve">Steueroasenproblematik, Besteuerung im </t>
  </si>
  <si>
    <t>Wegzugsjahr, Besteuerung von Kapitalerträgen,</t>
  </si>
  <si>
    <t>Beurteilung der Ansässigkeit</t>
  </si>
  <si>
    <t>(1/10 bis 10/10 einer Gebühr nach Tabelle A)</t>
  </si>
  <si>
    <t>mündlicher oder schriftlicher Rat oder Auskunft</t>
  </si>
  <si>
    <t>Tabelle X =&gt; Gegenstandswerte-Range =&gt; Gebühr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</si>
</sst>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* #,##0.00\ &quot;€&quot;_-;\-* #,##0.00\ &quot;€&quot;_-;_-* &quot;-&quot;??\ &quot;€&quot;_-;_-@_-"/>
    <numFmt numFmtId="164" formatCode="d/\ mmmm\ yyyy"/>
    <numFmt numFmtId="165" formatCode="#,##0\ &quot;€&quot;"/>
    <numFmt numFmtId="166" formatCode="#\ ?/20"/>
    <numFmt numFmtId="167" formatCode="#,##0.00\ [$€-1]"/>
    <numFmt numFmtId="168" formatCode="#,##0.0"/>
    <numFmt numFmtId="169" formatCode="#\ ?/10"/>
    <numFmt numFmtId="170" formatCode="\ ??/20"/>
    <numFmt numFmtId="171" formatCode="#,##0.00\ &quot;Std.&quot;"/>
    <numFmt numFmtId="172" formatCode="#,##0.00\ _€"/>
    <numFmt numFmtId="173" formatCode="#,##0.00\ &quot;€/AN&quot;"/>
    <numFmt numFmtId="174" formatCode="0\ &quot;AN&quot;"/>
    <numFmt numFmtId="175" formatCode="#,##0.00\ &quot;€/Std&quot;"/>
    <numFmt numFmtId="176" formatCode="0.00\ &quot;Std.&quot;"/>
    <numFmt numFmtId="177" formatCode="[$-407]mmmm\ yyyy;@"/>
    <numFmt numFmtId="178" formatCode="#,##0\ [$€-1]"/>
    <numFmt numFmtId="179" formatCode="#,##0.00\ &quot;€&quot;"/>
    <numFmt numFmtId="180" formatCode="0\ %"/>
    <numFmt numFmtId="181" formatCode="#,##0.00\ &quot;€/Std.&quot;"/>
    <numFmt numFmtId="182" formatCode="??/10"/>
    <numFmt numFmtId="183" formatCode="#,##0\ [$€/Std.-1]"/>
    <numFmt numFmtId="184" formatCode="??/20"/>
  </numFmts>
  <fonts count="14" x14ac:knownFonts="1">
    <font>
      <sz val="10"/>
      <name val="Arial"/>
      <family val="2"/>
    </font>
    <font>
      <sz val="10"/>
      <name val="Arial"/>
      <family val="2"/>
    </font>
    <font>
      <sz val="6"/>
      <color indexed="8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1.5"/>
      <name val="Times New Roman"/>
      <family val="1"/>
    </font>
    <font>
      <sz val="10.5"/>
      <name val="Times New Roman"/>
      <family val="1"/>
    </font>
    <font>
      <sz val="8"/>
      <name val="Times New Roman"/>
      <family val="1"/>
    </font>
    <font>
      <i/>
      <sz val="6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04">
    <xf numFmtId="0" fontId="0" fillId="0" borderId="0" xfId="0"/>
    <xf numFmtId="0" fontId="2" fillId="0" borderId="0" xfId="0" applyFont="1"/>
    <xf numFmtId="0" fontId="3" fillId="0" borderId="0" xfId="0" applyFont="1"/>
    <xf numFmtId="3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4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7" fontId="6" fillId="0" borderId="0" xfId="0" applyNumberFormat="1" applyFont="1"/>
    <xf numFmtId="0" fontId="6" fillId="0" borderId="0" xfId="0" applyFont="1" applyAlignment="1">
      <alignment horizontal="left"/>
    </xf>
    <xf numFmtId="168" fontId="6" fillId="0" borderId="0" xfId="0" applyNumberFormat="1" applyFont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7" xfId="0" applyNumberFormat="1" applyFont="1" applyBorder="1" applyAlignment="1">
      <alignment horizontal="center"/>
    </xf>
    <xf numFmtId="4" fontId="6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7" xfId="0" applyFont="1" applyBorder="1"/>
    <xf numFmtId="9" fontId="6" fillId="0" borderId="7" xfId="0" applyNumberFormat="1" applyFont="1" applyBorder="1" applyAlignment="1">
      <alignment horizontal="center"/>
    </xf>
    <xf numFmtId="169" fontId="6" fillId="0" borderId="0" xfId="0" applyNumberFormat="1" applyFont="1" applyAlignment="1">
      <alignment horizontal="center"/>
    </xf>
    <xf numFmtId="170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71" fontId="6" fillId="0" borderId="0" xfId="0" applyNumberFormat="1" applyFont="1" applyAlignment="1">
      <alignment horizontal="center"/>
    </xf>
    <xf numFmtId="167" fontId="6" fillId="0" borderId="7" xfId="0" applyNumberFormat="1" applyFont="1" applyBorder="1"/>
    <xf numFmtId="4" fontId="6" fillId="0" borderId="0" xfId="0" applyNumberFormat="1" applyFont="1" applyAlignment="1">
      <alignment horizontal="left"/>
    </xf>
    <xf numFmtId="3" fontId="6" fillId="0" borderId="9" xfId="0" applyNumberFormat="1" applyFont="1" applyBorder="1" applyAlignment="1">
      <alignment horizontal="left"/>
    </xf>
    <xf numFmtId="4" fontId="6" fillId="0" borderId="9" xfId="0" applyNumberFormat="1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167" fontId="6" fillId="0" borderId="9" xfId="0" applyNumberFormat="1" applyFont="1" applyBorder="1"/>
    <xf numFmtId="3" fontId="6" fillId="0" borderId="0" xfId="0" applyNumberFormat="1" applyFont="1" applyAlignment="1">
      <alignment horizontal="left"/>
    </xf>
    <xf numFmtId="0" fontId="6" fillId="0" borderId="10" xfId="0" applyFont="1" applyBorder="1" applyAlignment="1">
      <alignment horizontal="left"/>
    </xf>
    <xf numFmtId="172" fontId="6" fillId="0" borderId="0" xfId="0" applyNumberFormat="1" applyFont="1"/>
    <xf numFmtId="0" fontId="6" fillId="0" borderId="0" xfId="0" quotePrefix="1" applyFont="1"/>
    <xf numFmtId="0" fontId="6" fillId="2" borderId="0" xfId="0" applyFont="1" applyFill="1"/>
    <xf numFmtId="4" fontId="6" fillId="2" borderId="0" xfId="0" applyNumberFormat="1" applyFont="1" applyFill="1" applyAlignment="1">
      <alignment horizontal="center"/>
    </xf>
    <xf numFmtId="0" fontId="2" fillId="0" borderId="0" xfId="1" applyFont="1"/>
    <xf numFmtId="0" fontId="3" fillId="0" borderId="0" xfId="1" applyFont="1"/>
    <xf numFmtId="3" fontId="4" fillId="0" borderId="0" xfId="1" applyNumberFormat="1" applyFont="1" applyAlignment="1">
      <alignment horizontal="center"/>
    </xf>
    <xf numFmtId="4" fontId="4" fillId="0" borderId="0" xfId="1" applyNumberFormat="1" applyFont="1" applyAlignment="1">
      <alignment horizontal="center"/>
    </xf>
    <xf numFmtId="4" fontId="4" fillId="0" borderId="0" xfId="1" applyNumberFormat="1" applyFont="1"/>
    <xf numFmtId="0" fontId="4" fillId="0" borderId="0" xfId="1" applyFont="1"/>
    <xf numFmtId="0" fontId="6" fillId="0" borderId="0" xfId="1" quotePrefix="1" applyFont="1"/>
    <xf numFmtId="14" fontId="8" fillId="0" borderId="0" xfId="1" applyNumberFormat="1" applyFont="1" applyAlignment="1">
      <alignment horizontal="center"/>
    </xf>
    <xf numFmtId="17" fontId="8" fillId="0" borderId="0" xfId="1" applyNumberFormat="1" applyFont="1" applyAlignment="1">
      <alignment horizontal="center"/>
    </xf>
    <xf numFmtId="173" fontId="6" fillId="0" borderId="0" xfId="1" applyNumberFormat="1" applyFont="1" applyAlignment="1">
      <alignment horizontal="center"/>
    </xf>
    <xf numFmtId="0" fontId="6" fillId="0" borderId="0" xfId="1" applyFont="1"/>
    <xf numFmtId="174" fontId="6" fillId="0" borderId="0" xfId="1" applyNumberFormat="1" applyFont="1" applyAlignment="1">
      <alignment horizontal="center"/>
    </xf>
    <xf numFmtId="167" fontId="6" fillId="0" borderId="0" xfId="1" applyNumberFormat="1" applyFont="1"/>
    <xf numFmtId="14" fontId="6" fillId="0" borderId="0" xfId="1" applyNumberFormat="1" applyFont="1" applyAlignment="1">
      <alignment horizontal="center"/>
    </xf>
    <xf numFmtId="17" fontId="6" fillId="0" borderId="0" xfId="1" applyNumberFormat="1" applyFont="1" applyAlignment="1">
      <alignment horizontal="center"/>
    </xf>
    <xf numFmtId="3" fontId="6" fillId="0" borderId="0" xfId="1" applyNumberFormat="1" applyFont="1" applyAlignment="1">
      <alignment horizontal="center"/>
    </xf>
    <xf numFmtId="4" fontId="6" fillId="0" borderId="0" xfId="1" applyNumberFormat="1" applyFont="1" applyAlignment="1">
      <alignment horizontal="center"/>
    </xf>
    <xf numFmtId="4" fontId="6" fillId="0" borderId="0" xfId="1" applyNumberFormat="1" applyFont="1"/>
    <xf numFmtId="0" fontId="7" fillId="0" borderId="0" xfId="1" applyFont="1" applyAlignment="1">
      <alignment horizontal="center"/>
    </xf>
    <xf numFmtId="0" fontId="7" fillId="0" borderId="0" xfId="1" applyFont="1"/>
    <xf numFmtId="0" fontId="5" fillId="0" borderId="0" xfId="1" applyFont="1"/>
    <xf numFmtId="14" fontId="0" fillId="0" borderId="0" xfId="0" applyNumberFormat="1"/>
    <xf numFmtId="0" fontId="1" fillId="0" borderId="0" xfId="1"/>
    <xf numFmtId="0" fontId="6" fillId="0" borderId="0" xfId="1" applyFont="1" applyAlignment="1">
      <alignment horizontal="centerContinuous"/>
    </xf>
    <xf numFmtId="0" fontId="5" fillId="0" borderId="0" xfId="1" applyFont="1" applyAlignment="1">
      <alignment horizontal="centerContinuous"/>
    </xf>
    <xf numFmtId="0" fontId="6" fillId="0" borderId="7" xfId="1" applyFont="1" applyBorder="1"/>
    <xf numFmtId="0" fontId="6" fillId="0" borderId="7" xfId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4" fontId="6" fillId="0" borderId="7" xfId="1" applyNumberFormat="1" applyFont="1" applyBorder="1" applyAlignment="1">
      <alignment horizontal="center"/>
    </xf>
    <xf numFmtId="9" fontId="6" fillId="0" borderId="7" xfId="1" applyNumberFormat="1" applyFont="1" applyBorder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167" fontId="6" fillId="0" borderId="7" xfId="1" applyNumberFormat="1" applyFont="1" applyBorder="1" applyAlignment="1">
      <alignment horizontal="center"/>
    </xf>
    <xf numFmtId="167" fontId="6" fillId="0" borderId="7" xfId="1" applyNumberFormat="1" applyFont="1" applyBorder="1"/>
    <xf numFmtId="4" fontId="6" fillId="0" borderId="0" xfId="1" applyNumberFormat="1" applyFont="1" applyAlignment="1">
      <alignment horizontal="left"/>
    </xf>
    <xf numFmtId="3" fontId="6" fillId="0" borderId="9" xfId="1" applyNumberFormat="1" applyFont="1" applyBorder="1" applyAlignment="1">
      <alignment horizontal="left"/>
    </xf>
    <xf numFmtId="4" fontId="6" fillId="0" borderId="9" xfId="1" applyNumberFormat="1" applyFont="1" applyBorder="1" applyAlignment="1">
      <alignment horizontal="center"/>
    </xf>
    <xf numFmtId="3" fontId="6" fillId="0" borderId="9" xfId="1" applyNumberFormat="1" applyFont="1" applyBorder="1" applyAlignment="1">
      <alignment horizontal="center"/>
    </xf>
    <xf numFmtId="167" fontId="6" fillId="0" borderId="9" xfId="1" applyNumberFormat="1" applyFont="1" applyBorder="1"/>
    <xf numFmtId="3" fontId="6" fillId="0" borderId="0" xfId="1" applyNumberFormat="1" applyFont="1" applyAlignment="1">
      <alignment horizontal="left"/>
    </xf>
    <xf numFmtId="0" fontId="9" fillId="0" borderId="0" xfId="1" applyFont="1"/>
    <xf numFmtId="0" fontId="9" fillId="0" borderId="7" xfId="1" applyFont="1" applyBorder="1"/>
    <xf numFmtId="3" fontId="9" fillId="0" borderId="0" xfId="1" applyNumberFormat="1" applyFont="1" applyAlignment="1">
      <alignment horizontal="center"/>
    </xf>
    <xf numFmtId="4" fontId="9" fillId="0" borderId="0" xfId="1" applyNumberFormat="1" applyFont="1" applyAlignment="1">
      <alignment horizontal="center"/>
    </xf>
    <xf numFmtId="4" fontId="9" fillId="0" borderId="0" xfId="1" applyNumberFormat="1" applyFont="1"/>
    <xf numFmtId="0" fontId="8" fillId="0" borderId="0" xfId="0" applyFont="1"/>
    <xf numFmtId="14" fontId="8" fillId="0" borderId="0" xfId="0" applyNumberFormat="1" applyFont="1" applyAlignment="1">
      <alignment horizontal="center"/>
    </xf>
    <xf numFmtId="17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4" fontId="8" fillId="0" borderId="0" xfId="0" applyNumberFormat="1" applyFont="1"/>
    <xf numFmtId="14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center"/>
    </xf>
    <xf numFmtId="173" fontId="6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0" fontId="8" fillId="0" borderId="0" xfId="0" quotePrefix="1" applyFont="1"/>
    <xf numFmtId="173" fontId="8" fillId="0" borderId="0" xfId="0" applyNumberFormat="1" applyFont="1" applyAlignment="1">
      <alignment horizontal="center"/>
    </xf>
    <xf numFmtId="174" fontId="8" fillId="0" borderId="0" xfId="0" applyNumberFormat="1" applyFont="1" applyAlignment="1">
      <alignment horizontal="center"/>
    </xf>
    <xf numFmtId="167" fontId="8" fillId="0" borderId="0" xfId="0" applyNumberFormat="1" applyFont="1"/>
    <xf numFmtId="17" fontId="8" fillId="0" borderId="0" xfId="0" applyNumberFormat="1" applyFont="1" applyAlignment="1">
      <alignment horizontal="left"/>
    </xf>
    <xf numFmtId="14" fontId="8" fillId="0" borderId="0" xfId="0" quotePrefix="1" applyNumberFormat="1" applyFont="1" applyAlignment="1">
      <alignment horizontal="center"/>
    </xf>
    <xf numFmtId="0" fontId="6" fillId="0" borderId="5" xfId="0" applyFont="1" applyBorder="1" applyAlignment="1">
      <alignment horizontal="left"/>
    </xf>
    <xf numFmtId="177" fontId="6" fillId="0" borderId="0" xfId="0" applyNumberFormat="1" applyFont="1" applyAlignment="1">
      <alignment horizontal="left"/>
    </xf>
    <xf numFmtId="178" fontId="6" fillId="0" borderId="0" xfId="0" applyNumberFormat="1" applyFont="1" applyAlignment="1">
      <alignment horizontal="center"/>
    </xf>
    <xf numFmtId="179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center"/>
    </xf>
    <xf numFmtId="3" fontId="6" fillId="0" borderId="7" xfId="0" applyNumberFormat="1" applyFont="1" applyBorder="1" applyAlignment="1">
      <alignment horizontal="center"/>
    </xf>
    <xf numFmtId="4" fontId="6" fillId="0" borderId="7" xfId="0" applyNumberFormat="1" applyFont="1" applyBorder="1"/>
    <xf numFmtId="2" fontId="6" fillId="0" borderId="0" xfId="0" applyNumberFormat="1" applyFont="1" applyAlignment="1">
      <alignment horizontal="center"/>
    </xf>
    <xf numFmtId="0" fontId="6" fillId="0" borderId="0" xfId="0" quotePrefix="1" applyFont="1" applyAlignment="1">
      <alignment horizontal="center"/>
    </xf>
    <xf numFmtId="179" fontId="6" fillId="0" borderId="0" xfId="0" applyNumberFormat="1" applyFont="1"/>
    <xf numFmtId="178" fontId="6" fillId="0" borderId="7" xfId="0" applyNumberFormat="1" applyFont="1" applyBorder="1" applyAlignment="1">
      <alignment horizontal="center"/>
    </xf>
    <xf numFmtId="179" fontId="6" fillId="0" borderId="7" xfId="0" applyNumberFormat="1" applyFont="1" applyBorder="1" applyAlignment="1">
      <alignment horizontal="right"/>
    </xf>
    <xf numFmtId="179" fontId="6" fillId="0" borderId="9" xfId="0" applyNumberFormat="1" applyFont="1" applyBorder="1" applyAlignment="1">
      <alignment horizontal="right"/>
    </xf>
    <xf numFmtId="4" fontId="6" fillId="0" borderId="0" xfId="0" quotePrefix="1" applyNumberFormat="1" applyFont="1" applyAlignment="1">
      <alignment horizontal="center"/>
    </xf>
    <xf numFmtId="4" fontId="6" fillId="0" borderId="17" xfId="1" applyNumberFormat="1" applyFont="1" applyBorder="1" applyAlignment="1">
      <alignment horizontal="left"/>
    </xf>
    <xf numFmtId="4" fontId="6" fillId="0" borderId="15" xfId="1" applyNumberFormat="1" applyFont="1" applyBorder="1" applyAlignment="1">
      <alignment horizontal="left"/>
    </xf>
    <xf numFmtId="2" fontId="6" fillId="0" borderId="0" xfId="1" applyNumberFormat="1" applyFont="1"/>
    <xf numFmtId="0" fontId="6" fillId="0" borderId="18" xfId="1" applyFont="1" applyBorder="1"/>
    <xf numFmtId="3" fontId="6" fillId="0" borderId="18" xfId="1" applyNumberFormat="1" applyFont="1" applyBorder="1" applyAlignment="1">
      <alignment horizontal="center"/>
    </xf>
    <xf numFmtId="4" fontId="6" fillId="0" borderId="18" xfId="1" applyNumberFormat="1" applyFont="1" applyBorder="1" applyAlignment="1">
      <alignment horizontal="center"/>
    </xf>
    <xf numFmtId="180" fontId="6" fillId="0" borderId="18" xfId="1" applyNumberFormat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181" fontId="6" fillId="0" borderId="0" xfId="0" applyNumberFormat="1" applyFont="1"/>
    <xf numFmtId="176" fontId="6" fillId="0" borderId="0" xfId="0" applyNumberFormat="1" applyFont="1"/>
    <xf numFmtId="175" fontId="6" fillId="0" borderId="0" xfId="0" applyNumberFormat="1" applyFont="1" applyAlignment="1">
      <alignment horizontal="center"/>
    </xf>
    <xf numFmtId="0" fontId="10" fillId="0" borderId="0" xfId="0" applyFont="1"/>
    <xf numFmtId="14" fontId="10" fillId="0" borderId="0" xfId="0" applyNumberFormat="1" applyFont="1" applyAlignment="1">
      <alignment horizontal="center"/>
    </xf>
    <xf numFmtId="173" fontId="10" fillId="0" borderId="0" xfId="0" applyNumberFormat="1" applyFont="1" applyAlignment="1">
      <alignment horizontal="center"/>
    </xf>
    <xf numFmtId="174" fontId="10" fillId="0" borderId="0" xfId="0" applyNumberFormat="1" applyFont="1" applyAlignment="1">
      <alignment horizontal="center"/>
    </xf>
    <xf numFmtId="167" fontId="10" fillId="0" borderId="0" xfId="0" applyNumberFormat="1" applyFont="1"/>
    <xf numFmtId="0" fontId="10" fillId="0" borderId="0" xfId="0" applyFont="1" applyAlignment="1">
      <alignment horizontal="center"/>
    </xf>
    <xf numFmtId="176" fontId="10" fillId="0" borderId="0" xfId="0" applyNumberFormat="1" applyFont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4" fontId="9" fillId="0" borderId="0" xfId="0" applyNumberFormat="1" applyFont="1"/>
    <xf numFmtId="0" fontId="9" fillId="0" borderId="7" xfId="0" applyFont="1" applyBorder="1"/>
    <xf numFmtId="167" fontId="6" fillId="0" borderId="7" xfId="0" applyNumberFormat="1" applyFont="1" applyBorder="1" applyAlignment="1">
      <alignment horizontal="center"/>
    </xf>
    <xf numFmtId="17" fontId="10" fillId="0" borderId="0" xfId="0" applyNumberFormat="1" applyFont="1" applyAlignment="1">
      <alignment horizontal="center"/>
    </xf>
    <xf numFmtId="175" fontId="10" fillId="0" borderId="0" xfId="0" applyNumberFormat="1" applyFont="1" applyAlignment="1">
      <alignment horizontal="center"/>
    </xf>
    <xf numFmtId="181" fontId="6" fillId="0" borderId="0" xfId="0" applyNumberFormat="1" applyFont="1" applyAlignment="1">
      <alignment horizontal="center"/>
    </xf>
    <xf numFmtId="176" fontId="6" fillId="0" borderId="0" xfId="0" applyNumberFormat="1" applyFont="1" applyAlignment="1">
      <alignment horizontal="center"/>
    </xf>
    <xf numFmtId="182" fontId="6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4" fontId="6" fillId="0" borderId="4" xfId="0" applyNumberFormat="1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2" fontId="6" fillId="0" borderId="0" xfId="0" quotePrefix="1" applyNumberFormat="1" applyFont="1" applyAlignment="1">
      <alignment horizontal="center"/>
    </xf>
    <xf numFmtId="179" fontId="6" fillId="0" borderId="0" xfId="0" applyNumberFormat="1" applyFont="1" applyAlignment="1">
      <alignment horizontal="center"/>
    </xf>
    <xf numFmtId="44" fontId="6" fillId="0" borderId="0" xfId="0" applyNumberFormat="1" applyFont="1" applyAlignment="1">
      <alignment horizontal="center"/>
    </xf>
    <xf numFmtId="44" fontId="6" fillId="0" borderId="0" xfId="0" applyNumberFormat="1" applyFont="1"/>
    <xf numFmtId="182" fontId="6" fillId="0" borderId="0" xfId="0" quotePrefix="1" applyNumberFormat="1" applyFont="1" applyAlignment="1">
      <alignment horizontal="center"/>
    </xf>
    <xf numFmtId="183" fontId="6" fillId="0" borderId="0" xfId="0" applyNumberFormat="1" applyFont="1" applyAlignment="1">
      <alignment horizontal="center"/>
    </xf>
    <xf numFmtId="184" fontId="6" fillId="0" borderId="0" xfId="0" applyNumberFormat="1" applyFont="1" applyAlignment="1">
      <alignment horizontal="center"/>
    </xf>
    <xf numFmtId="0" fontId="12" fillId="0" borderId="0" xfId="0" applyFont="1"/>
    <xf numFmtId="0" fontId="13" fillId="2" borderId="0" xfId="0" applyFont="1" applyFill="1"/>
    <xf numFmtId="4" fontId="11" fillId="2" borderId="0" xfId="0" applyNumberFormat="1" applyFont="1" applyFill="1" applyAlignment="1">
      <alignment horizontal="center" vertical="top" wrapText="1"/>
    </xf>
    <xf numFmtId="4" fontId="6" fillId="0" borderId="2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4" fontId="6" fillId="0" borderId="7" xfId="0" applyNumberFormat="1" applyFont="1" applyBorder="1" applyAlignment="1">
      <alignment horizontal="center"/>
    </xf>
    <xf numFmtId="4" fontId="6" fillId="0" borderId="8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" fontId="6" fillId="0" borderId="2" xfId="0" applyNumberFormat="1" applyFont="1" applyBorder="1" applyAlignment="1">
      <alignment horizontal="left"/>
    </xf>
    <xf numFmtId="164" fontId="6" fillId="0" borderId="2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4" fontId="4" fillId="0" borderId="7" xfId="0" applyNumberFormat="1" applyFont="1" applyBorder="1" applyAlignment="1">
      <alignment horizontal="center"/>
    </xf>
    <xf numFmtId="4" fontId="4" fillId="0" borderId="8" xfId="0" applyNumberFormat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4" fontId="6" fillId="0" borderId="0" xfId="0" applyNumberFormat="1" applyFont="1" applyAlignment="1">
      <alignment horizontal="center"/>
    </xf>
    <xf numFmtId="4" fontId="6" fillId="0" borderId="5" xfId="0" applyNumberFormat="1" applyFont="1" applyBorder="1" applyAlignment="1">
      <alignment horizontal="center"/>
    </xf>
    <xf numFmtId="4" fontId="6" fillId="0" borderId="14" xfId="1" applyNumberFormat="1" applyFont="1" applyBorder="1" applyAlignment="1">
      <alignment horizontal="center"/>
    </xf>
    <xf numFmtId="4" fontId="6" fillId="0" borderId="19" xfId="1" applyNumberFormat="1" applyFont="1" applyBorder="1" applyAlignment="1">
      <alignment horizontal="center"/>
    </xf>
    <xf numFmtId="0" fontId="6" fillId="0" borderId="0" xfId="1" applyFont="1" applyAlignment="1">
      <alignment horizontal="center"/>
    </xf>
    <xf numFmtId="4" fontId="6" fillId="0" borderId="13" xfId="1" applyNumberFormat="1" applyFont="1" applyBorder="1" applyAlignment="1">
      <alignment horizontal="left"/>
    </xf>
    <xf numFmtId="164" fontId="6" fillId="0" borderId="14" xfId="1" applyNumberFormat="1" applyFont="1" applyBorder="1" applyAlignment="1">
      <alignment horizontal="center"/>
    </xf>
    <xf numFmtId="0" fontId="6" fillId="0" borderId="15" xfId="1" applyFont="1" applyBorder="1" applyAlignment="1">
      <alignment horizontal="left"/>
    </xf>
    <xf numFmtId="0" fontId="6" fillId="0" borderId="16" xfId="1" applyFont="1" applyBorder="1" applyAlignment="1">
      <alignment horizontal="center"/>
    </xf>
    <xf numFmtId="4" fontId="6" fillId="0" borderId="6" xfId="0" applyNumberFormat="1" applyFont="1" applyBorder="1" applyAlignment="1">
      <alignment horizontal="left"/>
    </xf>
    <xf numFmtId="0" fontId="5" fillId="0" borderId="7" xfId="0" applyFont="1" applyBorder="1"/>
    <xf numFmtId="164" fontId="6" fillId="0" borderId="7" xfId="0" applyNumberFormat="1" applyFont="1" applyBorder="1" applyAlignment="1">
      <alignment horizontal="center"/>
    </xf>
    <xf numFmtId="0" fontId="5" fillId="0" borderId="8" xfId="0" applyFont="1" applyBorder="1"/>
  </cellXfs>
  <cellStyles count="2">
    <cellStyle name="Standard" xfId="0" builtinId="0"/>
    <cellStyle name="Standard 2" xfId="1" xr:uid="{A6DF6300-922C-4424-BDF6-AC82A0C8F1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180975</xdr:rowOff>
    </xdr:from>
    <xdr:to>
      <xdr:col>2</xdr:col>
      <xdr:colOff>91953</xdr:colOff>
      <xdr:row>45</xdr:row>
      <xdr:rowOff>93474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E773C09-E65D-4AAA-AA22-6F96BA546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91375"/>
          <a:ext cx="2368428" cy="10745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ktenkoffer\A%20-%20Rechnungen%202025\60333%20Buzon%20GbR.xls" TargetMode="External"/><Relationship Id="rId1" Type="http://schemas.openxmlformats.org/officeDocument/2006/relationships/externalLinkPath" Target="file:///P:\Aktenkoffer\A%20-%20Rechnungen%202025\60333%20Buzon%20Gb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GF 2008"/>
      <sheetName val="EGF 2016"/>
      <sheetName val="EGF 2017"/>
      <sheetName val="EGF 2018"/>
      <sheetName val="EGF 2019"/>
      <sheetName val="EGF 2020"/>
      <sheetName val="EGF 2021"/>
      <sheetName val="EGF 2022"/>
      <sheetName val="EGF 2023"/>
      <sheetName val="EGF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2">
          <cell r="G42">
            <v>1256.164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167D-8F96-48D1-AC81-EE1D97EF7551}">
  <dimension ref="A5:IV117"/>
  <sheetViews>
    <sheetView tabSelected="1" topLeftCell="B7" zoomScale="115" zoomScaleNormal="115" workbookViewId="0">
      <selection activeCell="I39" sqref="I39"/>
    </sheetView>
  </sheetViews>
  <sheetFormatPr baseColWidth="10" defaultColWidth="11.5703125" defaultRowHeight="15.75" x14ac:dyDescent="0.25"/>
  <cols>
    <col min="1" max="1" width="3.5703125" style="6" customWidth="1"/>
    <col min="2" max="2" width="38" style="6" customWidth="1"/>
    <col min="3" max="3" width="7.5703125" style="6" customWidth="1"/>
    <col min="4" max="4" width="13.7109375" style="3" customWidth="1"/>
    <col min="5" max="5" width="7" style="4" customWidth="1"/>
    <col min="6" max="6" width="9.28515625" style="5" customWidth="1"/>
    <col min="7" max="7" width="10.5703125" style="6" bestFit="1" customWidth="1"/>
    <col min="8" max="253" width="11.5703125" style="6"/>
    <col min="254" max="254" width="3.5703125" style="6" customWidth="1"/>
    <col min="255" max="255" width="38" style="6" customWidth="1"/>
    <col min="256" max="256" width="5.5703125" style="6" bestFit="1" customWidth="1"/>
    <col min="257" max="257" width="11.85546875" style="6" customWidth="1"/>
    <col min="258" max="258" width="7" style="6" customWidth="1"/>
    <col min="259" max="259" width="10.28515625" style="6" bestFit="1" customWidth="1"/>
    <col min="260" max="260" width="9.5703125" style="6" customWidth="1"/>
    <col min="261" max="261" width="10.7109375" style="6" bestFit="1" customWidth="1"/>
    <col min="262" max="262" width="1.5703125" style="6" customWidth="1"/>
    <col min="263" max="509" width="11.5703125" style="6"/>
    <col min="510" max="510" width="3.5703125" style="6" customWidth="1"/>
    <col min="511" max="511" width="38" style="6" customWidth="1"/>
    <col min="512" max="512" width="5.5703125" style="6" bestFit="1" customWidth="1"/>
    <col min="513" max="513" width="11.85546875" style="6" customWidth="1"/>
    <col min="514" max="514" width="7" style="6" customWidth="1"/>
    <col min="515" max="515" width="10.28515625" style="6" bestFit="1" customWidth="1"/>
    <col min="516" max="516" width="9.5703125" style="6" customWidth="1"/>
    <col min="517" max="517" width="10.7109375" style="6" bestFit="1" customWidth="1"/>
    <col min="518" max="518" width="1.5703125" style="6" customWidth="1"/>
    <col min="519" max="765" width="11.5703125" style="6"/>
    <col min="766" max="766" width="3.5703125" style="6" customWidth="1"/>
    <col min="767" max="767" width="38" style="6" customWidth="1"/>
    <col min="768" max="768" width="5.5703125" style="6" bestFit="1" customWidth="1"/>
    <col min="769" max="769" width="11.85546875" style="6" customWidth="1"/>
    <col min="770" max="770" width="7" style="6" customWidth="1"/>
    <col min="771" max="771" width="10.28515625" style="6" bestFit="1" customWidth="1"/>
    <col min="772" max="772" width="9.5703125" style="6" customWidth="1"/>
    <col min="773" max="773" width="10.7109375" style="6" bestFit="1" customWidth="1"/>
    <col min="774" max="774" width="1.5703125" style="6" customWidth="1"/>
    <col min="775" max="1021" width="11.5703125" style="6"/>
    <col min="1022" max="1022" width="3.5703125" style="6" customWidth="1"/>
    <col min="1023" max="1023" width="38" style="6" customWidth="1"/>
    <col min="1024" max="1024" width="5.5703125" style="6" bestFit="1" customWidth="1"/>
    <col min="1025" max="1025" width="11.85546875" style="6" customWidth="1"/>
    <col min="1026" max="1026" width="7" style="6" customWidth="1"/>
    <col min="1027" max="1027" width="10.28515625" style="6" bestFit="1" customWidth="1"/>
    <col min="1028" max="1028" width="9.5703125" style="6" customWidth="1"/>
    <col min="1029" max="1029" width="10.7109375" style="6" bestFit="1" customWidth="1"/>
    <col min="1030" max="1030" width="1.5703125" style="6" customWidth="1"/>
    <col min="1031" max="1277" width="11.5703125" style="6"/>
    <col min="1278" max="1278" width="3.5703125" style="6" customWidth="1"/>
    <col min="1279" max="1279" width="38" style="6" customWidth="1"/>
    <col min="1280" max="1280" width="5.5703125" style="6" bestFit="1" customWidth="1"/>
    <col min="1281" max="1281" width="11.85546875" style="6" customWidth="1"/>
    <col min="1282" max="1282" width="7" style="6" customWidth="1"/>
    <col min="1283" max="1283" width="10.28515625" style="6" bestFit="1" customWidth="1"/>
    <col min="1284" max="1284" width="9.5703125" style="6" customWidth="1"/>
    <col min="1285" max="1285" width="10.7109375" style="6" bestFit="1" customWidth="1"/>
    <col min="1286" max="1286" width="1.5703125" style="6" customWidth="1"/>
    <col min="1287" max="1533" width="11.5703125" style="6"/>
    <col min="1534" max="1534" width="3.5703125" style="6" customWidth="1"/>
    <col min="1535" max="1535" width="38" style="6" customWidth="1"/>
    <col min="1536" max="1536" width="5.5703125" style="6" bestFit="1" customWidth="1"/>
    <col min="1537" max="1537" width="11.85546875" style="6" customWidth="1"/>
    <col min="1538" max="1538" width="7" style="6" customWidth="1"/>
    <col min="1539" max="1539" width="10.28515625" style="6" bestFit="1" customWidth="1"/>
    <col min="1540" max="1540" width="9.5703125" style="6" customWidth="1"/>
    <col min="1541" max="1541" width="10.7109375" style="6" bestFit="1" customWidth="1"/>
    <col min="1542" max="1542" width="1.5703125" style="6" customWidth="1"/>
    <col min="1543" max="1789" width="11.5703125" style="6"/>
    <col min="1790" max="1790" width="3.5703125" style="6" customWidth="1"/>
    <col min="1791" max="1791" width="38" style="6" customWidth="1"/>
    <col min="1792" max="1792" width="5.5703125" style="6" bestFit="1" customWidth="1"/>
    <col min="1793" max="1793" width="11.85546875" style="6" customWidth="1"/>
    <col min="1794" max="1794" width="7" style="6" customWidth="1"/>
    <col min="1795" max="1795" width="10.28515625" style="6" bestFit="1" customWidth="1"/>
    <col min="1796" max="1796" width="9.5703125" style="6" customWidth="1"/>
    <col min="1797" max="1797" width="10.7109375" style="6" bestFit="1" customWidth="1"/>
    <col min="1798" max="1798" width="1.5703125" style="6" customWidth="1"/>
    <col min="1799" max="2045" width="11.5703125" style="6"/>
    <col min="2046" max="2046" width="3.5703125" style="6" customWidth="1"/>
    <col min="2047" max="2047" width="38" style="6" customWidth="1"/>
    <col min="2048" max="2048" width="5.5703125" style="6" bestFit="1" customWidth="1"/>
    <col min="2049" max="2049" width="11.85546875" style="6" customWidth="1"/>
    <col min="2050" max="2050" width="7" style="6" customWidth="1"/>
    <col min="2051" max="2051" width="10.28515625" style="6" bestFit="1" customWidth="1"/>
    <col min="2052" max="2052" width="9.5703125" style="6" customWidth="1"/>
    <col min="2053" max="2053" width="10.7109375" style="6" bestFit="1" customWidth="1"/>
    <col min="2054" max="2054" width="1.5703125" style="6" customWidth="1"/>
    <col min="2055" max="2301" width="11.5703125" style="6"/>
    <col min="2302" max="2302" width="3.5703125" style="6" customWidth="1"/>
    <col min="2303" max="2303" width="38" style="6" customWidth="1"/>
    <col min="2304" max="2304" width="5.5703125" style="6" bestFit="1" customWidth="1"/>
    <col min="2305" max="2305" width="11.85546875" style="6" customWidth="1"/>
    <col min="2306" max="2306" width="7" style="6" customWidth="1"/>
    <col min="2307" max="2307" width="10.28515625" style="6" bestFit="1" customWidth="1"/>
    <col min="2308" max="2308" width="9.5703125" style="6" customWidth="1"/>
    <col min="2309" max="2309" width="10.7109375" style="6" bestFit="1" customWidth="1"/>
    <col min="2310" max="2310" width="1.5703125" style="6" customWidth="1"/>
    <col min="2311" max="2557" width="11.5703125" style="6"/>
    <col min="2558" max="2558" width="3.5703125" style="6" customWidth="1"/>
    <col min="2559" max="2559" width="38" style="6" customWidth="1"/>
    <col min="2560" max="2560" width="5.5703125" style="6" bestFit="1" customWidth="1"/>
    <col min="2561" max="2561" width="11.85546875" style="6" customWidth="1"/>
    <col min="2562" max="2562" width="7" style="6" customWidth="1"/>
    <col min="2563" max="2563" width="10.28515625" style="6" bestFit="1" customWidth="1"/>
    <col min="2564" max="2564" width="9.5703125" style="6" customWidth="1"/>
    <col min="2565" max="2565" width="10.7109375" style="6" bestFit="1" customWidth="1"/>
    <col min="2566" max="2566" width="1.5703125" style="6" customWidth="1"/>
    <col min="2567" max="2813" width="11.5703125" style="6"/>
    <col min="2814" max="2814" width="3.5703125" style="6" customWidth="1"/>
    <col min="2815" max="2815" width="38" style="6" customWidth="1"/>
    <col min="2816" max="2816" width="5.5703125" style="6" bestFit="1" customWidth="1"/>
    <col min="2817" max="2817" width="11.85546875" style="6" customWidth="1"/>
    <col min="2818" max="2818" width="7" style="6" customWidth="1"/>
    <col min="2819" max="2819" width="10.28515625" style="6" bestFit="1" customWidth="1"/>
    <col min="2820" max="2820" width="9.5703125" style="6" customWidth="1"/>
    <col min="2821" max="2821" width="10.7109375" style="6" bestFit="1" customWidth="1"/>
    <col min="2822" max="2822" width="1.5703125" style="6" customWidth="1"/>
    <col min="2823" max="3069" width="11.5703125" style="6"/>
    <col min="3070" max="3070" width="3.5703125" style="6" customWidth="1"/>
    <col min="3071" max="3071" width="38" style="6" customWidth="1"/>
    <col min="3072" max="3072" width="5.5703125" style="6" bestFit="1" customWidth="1"/>
    <col min="3073" max="3073" width="11.85546875" style="6" customWidth="1"/>
    <col min="3074" max="3074" width="7" style="6" customWidth="1"/>
    <col min="3075" max="3075" width="10.28515625" style="6" bestFit="1" customWidth="1"/>
    <col min="3076" max="3076" width="9.5703125" style="6" customWidth="1"/>
    <col min="3077" max="3077" width="10.7109375" style="6" bestFit="1" customWidth="1"/>
    <col min="3078" max="3078" width="1.5703125" style="6" customWidth="1"/>
    <col min="3079" max="3325" width="11.5703125" style="6"/>
    <col min="3326" max="3326" width="3.5703125" style="6" customWidth="1"/>
    <col min="3327" max="3327" width="38" style="6" customWidth="1"/>
    <col min="3328" max="3328" width="5.5703125" style="6" bestFit="1" customWidth="1"/>
    <col min="3329" max="3329" width="11.85546875" style="6" customWidth="1"/>
    <col min="3330" max="3330" width="7" style="6" customWidth="1"/>
    <col min="3331" max="3331" width="10.28515625" style="6" bestFit="1" customWidth="1"/>
    <col min="3332" max="3332" width="9.5703125" style="6" customWidth="1"/>
    <col min="3333" max="3333" width="10.7109375" style="6" bestFit="1" customWidth="1"/>
    <col min="3334" max="3334" width="1.5703125" style="6" customWidth="1"/>
    <col min="3335" max="3581" width="11.5703125" style="6"/>
    <col min="3582" max="3582" width="3.5703125" style="6" customWidth="1"/>
    <col min="3583" max="3583" width="38" style="6" customWidth="1"/>
    <col min="3584" max="3584" width="5.5703125" style="6" bestFit="1" customWidth="1"/>
    <col min="3585" max="3585" width="11.85546875" style="6" customWidth="1"/>
    <col min="3586" max="3586" width="7" style="6" customWidth="1"/>
    <col min="3587" max="3587" width="10.28515625" style="6" bestFit="1" customWidth="1"/>
    <col min="3588" max="3588" width="9.5703125" style="6" customWidth="1"/>
    <col min="3589" max="3589" width="10.7109375" style="6" bestFit="1" customWidth="1"/>
    <col min="3590" max="3590" width="1.5703125" style="6" customWidth="1"/>
    <col min="3591" max="3837" width="11.5703125" style="6"/>
    <col min="3838" max="3838" width="3.5703125" style="6" customWidth="1"/>
    <col min="3839" max="3839" width="38" style="6" customWidth="1"/>
    <col min="3840" max="3840" width="5.5703125" style="6" bestFit="1" customWidth="1"/>
    <col min="3841" max="3841" width="11.85546875" style="6" customWidth="1"/>
    <col min="3842" max="3842" width="7" style="6" customWidth="1"/>
    <col min="3843" max="3843" width="10.28515625" style="6" bestFit="1" customWidth="1"/>
    <col min="3844" max="3844" width="9.5703125" style="6" customWidth="1"/>
    <col min="3845" max="3845" width="10.7109375" style="6" bestFit="1" customWidth="1"/>
    <col min="3846" max="3846" width="1.5703125" style="6" customWidth="1"/>
    <col min="3847" max="4093" width="11.5703125" style="6"/>
    <col min="4094" max="4094" width="3.5703125" style="6" customWidth="1"/>
    <col min="4095" max="4095" width="38" style="6" customWidth="1"/>
    <col min="4096" max="4096" width="5.5703125" style="6" bestFit="1" customWidth="1"/>
    <col min="4097" max="4097" width="11.85546875" style="6" customWidth="1"/>
    <col min="4098" max="4098" width="7" style="6" customWidth="1"/>
    <col min="4099" max="4099" width="10.28515625" style="6" bestFit="1" customWidth="1"/>
    <col min="4100" max="4100" width="9.5703125" style="6" customWidth="1"/>
    <col min="4101" max="4101" width="10.7109375" style="6" bestFit="1" customWidth="1"/>
    <col min="4102" max="4102" width="1.5703125" style="6" customWidth="1"/>
    <col min="4103" max="4349" width="11.5703125" style="6"/>
    <col min="4350" max="4350" width="3.5703125" style="6" customWidth="1"/>
    <col min="4351" max="4351" width="38" style="6" customWidth="1"/>
    <col min="4352" max="4352" width="5.5703125" style="6" bestFit="1" customWidth="1"/>
    <col min="4353" max="4353" width="11.85546875" style="6" customWidth="1"/>
    <col min="4354" max="4354" width="7" style="6" customWidth="1"/>
    <col min="4355" max="4355" width="10.28515625" style="6" bestFit="1" customWidth="1"/>
    <col min="4356" max="4356" width="9.5703125" style="6" customWidth="1"/>
    <col min="4357" max="4357" width="10.7109375" style="6" bestFit="1" customWidth="1"/>
    <col min="4358" max="4358" width="1.5703125" style="6" customWidth="1"/>
    <col min="4359" max="4605" width="11.5703125" style="6"/>
    <col min="4606" max="4606" width="3.5703125" style="6" customWidth="1"/>
    <col min="4607" max="4607" width="38" style="6" customWidth="1"/>
    <col min="4608" max="4608" width="5.5703125" style="6" bestFit="1" customWidth="1"/>
    <col min="4609" max="4609" width="11.85546875" style="6" customWidth="1"/>
    <col min="4610" max="4610" width="7" style="6" customWidth="1"/>
    <col min="4611" max="4611" width="10.28515625" style="6" bestFit="1" customWidth="1"/>
    <col min="4612" max="4612" width="9.5703125" style="6" customWidth="1"/>
    <col min="4613" max="4613" width="10.7109375" style="6" bestFit="1" customWidth="1"/>
    <col min="4614" max="4614" width="1.5703125" style="6" customWidth="1"/>
    <col min="4615" max="4861" width="11.5703125" style="6"/>
    <col min="4862" max="4862" width="3.5703125" style="6" customWidth="1"/>
    <col min="4863" max="4863" width="38" style="6" customWidth="1"/>
    <col min="4864" max="4864" width="5.5703125" style="6" bestFit="1" customWidth="1"/>
    <col min="4865" max="4865" width="11.85546875" style="6" customWidth="1"/>
    <col min="4866" max="4866" width="7" style="6" customWidth="1"/>
    <col min="4867" max="4867" width="10.28515625" style="6" bestFit="1" customWidth="1"/>
    <col min="4868" max="4868" width="9.5703125" style="6" customWidth="1"/>
    <col min="4869" max="4869" width="10.7109375" style="6" bestFit="1" customWidth="1"/>
    <col min="4870" max="4870" width="1.5703125" style="6" customWidth="1"/>
    <col min="4871" max="5117" width="11.5703125" style="6"/>
    <col min="5118" max="5118" width="3.5703125" style="6" customWidth="1"/>
    <col min="5119" max="5119" width="38" style="6" customWidth="1"/>
    <col min="5120" max="5120" width="5.5703125" style="6" bestFit="1" customWidth="1"/>
    <col min="5121" max="5121" width="11.85546875" style="6" customWidth="1"/>
    <col min="5122" max="5122" width="7" style="6" customWidth="1"/>
    <col min="5123" max="5123" width="10.28515625" style="6" bestFit="1" customWidth="1"/>
    <col min="5124" max="5124" width="9.5703125" style="6" customWidth="1"/>
    <col min="5125" max="5125" width="10.7109375" style="6" bestFit="1" customWidth="1"/>
    <col min="5126" max="5126" width="1.5703125" style="6" customWidth="1"/>
    <col min="5127" max="5373" width="11.5703125" style="6"/>
    <col min="5374" max="5374" width="3.5703125" style="6" customWidth="1"/>
    <col min="5375" max="5375" width="38" style="6" customWidth="1"/>
    <col min="5376" max="5376" width="5.5703125" style="6" bestFit="1" customWidth="1"/>
    <col min="5377" max="5377" width="11.85546875" style="6" customWidth="1"/>
    <col min="5378" max="5378" width="7" style="6" customWidth="1"/>
    <col min="5379" max="5379" width="10.28515625" style="6" bestFit="1" customWidth="1"/>
    <col min="5380" max="5380" width="9.5703125" style="6" customWidth="1"/>
    <col min="5381" max="5381" width="10.7109375" style="6" bestFit="1" customWidth="1"/>
    <col min="5382" max="5382" width="1.5703125" style="6" customWidth="1"/>
    <col min="5383" max="5629" width="11.5703125" style="6"/>
    <col min="5630" max="5630" width="3.5703125" style="6" customWidth="1"/>
    <col min="5631" max="5631" width="38" style="6" customWidth="1"/>
    <col min="5632" max="5632" width="5.5703125" style="6" bestFit="1" customWidth="1"/>
    <col min="5633" max="5633" width="11.85546875" style="6" customWidth="1"/>
    <col min="5634" max="5634" width="7" style="6" customWidth="1"/>
    <col min="5635" max="5635" width="10.28515625" style="6" bestFit="1" customWidth="1"/>
    <col min="5636" max="5636" width="9.5703125" style="6" customWidth="1"/>
    <col min="5637" max="5637" width="10.7109375" style="6" bestFit="1" customWidth="1"/>
    <col min="5638" max="5638" width="1.5703125" style="6" customWidth="1"/>
    <col min="5639" max="5885" width="11.5703125" style="6"/>
    <col min="5886" max="5886" width="3.5703125" style="6" customWidth="1"/>
    <col min="5887" max="5887" width="38" style="6" customWidth="1"/>
    <col min="5888" max="5888" width="5.5703125" style="6" bestFit="1" customWidth="1"/>
    <col min="5889" max="5889" width="11.85546875" style="6" customWidth="1"/>
    <col min="5890" max="5890" width="7" style="6" customWidth="1"/>
    <col min="5891" max="5891" width="10.28515625" style="6" bestFit="1" customWidth="1"/>
    <col min="5892" max="5892" width="9.5703125" style="6" customWidth="1"/>
    <col min="5893" max="5893" width="10.7109375" style="6" bestFit="1" customWidth="1"/>
    <col min="5894" max="5894" width="1.5703125" style="6" customWidth="1"/>
    <col min="5895" max="6141" width="11.5703125" style="6"/>
    <col min="6142" max="6142" width="3.5703125" style="6" customWidth="1"/>
    <col min="6143" max="6143" width="38" style="6" customWidth="1"/>
    <col min="6144" max="6144" width="5.5703125" style="6" bestFit="1" customWidth="1"/>
    <col min="6145" max="6145" width="11.85546875" style="6" customWidth="1"/>
    <col min="6146" max="6146" width="7" style="6" customWidth="1"/>
    <col min="6147" max="6147" width="10.28515625" style="6" bestFit="1" customWidth="1"/>
    <col min="6148" max="6148" width="9.5703125" style="6" customWidth="1"/>
    <col min="6149" max="6149" width="10.7109375" style="6" bestFit="1" customWidth="1"/>
    <col min="6150" max="6150" width="1.5703125" style="6" customWidth="1"/>
    <col min="6151" max="6397" width="11.5703125" style="6"/>
    <col min="6398" max="6398" width="3.5703125" style="6" customWidth="1"/>
    <col min="6399" max="6399" width="38" style="6" customWidth="1"/>
    <col min="6400" max="6400" width="5.5703125" style="6" bestFit="1" customWidth="1"/>
    <col min="6401" max="6401" width="11.85546875" style="6" customWidth="1"/>
    <col min="6402" max="6402" width="7" style="6" customWidth="1"/>
    <col min="6403" max="6403" width="10.28515625" style="6" bestFit="1" customWidth="1"/>
    <col min="6404" max="6404" width="9.5703125" style="6" customWidth="1"/>
    <col min="6405" max="6405" width="10.7109375" style="6" bestFit="1" customWidth="1"/>
    <col min="6406" max="6406" width="1.5703125" style="6" customWidth="1"/>
    <col min="6407" max="6653" width="11.5703125" style="6"/>
    <col min="6654" max="6654" width="3.5703125" style="6" customWidth="1"/>
    <col min="6655" max="6655" width="38" style="6" customWidth="1"/>
    <col min="6656" max="6656" width="5.5703125" style="6" bestFit="1" customWidth="1"/>
    <col min="6657" max="6657" width="11.85546875" style="6" customWidth="1"/>
    <col min="6658" max="6658" width="7" style="6" customWidth="1"/>
    <col min="6659" max="6659" width="10.28515625" style="6" bestFit="1" customWidth="1"/>
    <col min="6660" max="6660" width="9.5703125" style="6" customWidth="1"/>
    <col min="6661" max="6661" width="10.7109375" style="6" bestFit="1" customWidth="1"/>
    <col min="6662" max="6662" width="1.5703125" style="6" customWidth="1"/>
    <col min="6663" max="6909" width="11.5703125" style="6"/>
    <col min="6910" max="6910" width="3.5703125" style="6" customWidth="1"/>
    <col min="6911" max="6911" width="38" style="6" customWidth="1"/>
    <col min="6912" max="6912" width="5.5703125" style="6" bestFit="1" customWidth="1"/>
    <col min="6913" max="6913" width="11.85546875" style="6" customWidth="1"/>
    <col min="6914" max="6914" width="7" style="6" customWidth="1"/>
    <col min="6915" max="6915" width="10.28515625" style="6" bestFit="1" customWidth="1"/>
    <col min="6916" max="6916" width="9.5703125" style="6" customWidth="1"/>
    <col min="6917" max="6917" width="10.7109375" style="6" bestFit="1" customWidth="1"/>
    <col min="6918" max="6918" width="1.5703125" style="6" customWidth="1"/>
    <col min="6919" max="7165" width="11.5703125" style="6"/>
    <col min="7166" max="7166" width="3.5703125" style="6" customWidth="1"/>
    <col min="7167" max="7167" width="38" style="6" customWidth="1"/>
    <col min="7168" max="7168" width="5.5703125" style="6" bestFit="1" customWidth="1"/>
    <col min="7169" max="7169" width="11.85546875" style="6" customWidth="1"/>
    <col min="7170" max="7170" width="7" style="6" customWidth="1"/>
    <col min="7171" max="7171" width="10.28515625" style="6" bestFit="1" customWidth="1"/>
    <col min="7172" max="7172" width="9.5703125" style="6" customWidth="1"/>
    <col min="7173" max="7173" width="10.7109375" style="6" bestFit="1" customWidth="1"/>
    <col min="7174" max="7174" width="1.5703125" style="6" customWidth="1"/>
    <col min="7175" max="7421" width="11.5703125" style="6"/>
    <col min="7422" max="7422" width="3.5703125" style="6" customWidth="1"/>
    <col min="7423" max="7423" width="38" style="6" customWidth="1"/>
    <col min="7424" max="7424" width="5.5703125" style="6" bestFit="1" customWidth="1"/>
    <col min="7425" max="7425" width="11.85546875" style="6" customWidth="1"/>
    <col min="7426" max="7426" width="7" style="6" customWidth="1"/>
    <col min="7427" max="7427" width="10.28515625" style="6" bestFit="1" customWidth="1"/>
    <col min="7428" max="7428" width="9.5703125" style="6" customWidth="1"/>
    <col min="7429" max="7429" width="10.7109375" style="6" bestFit="1" customWidth="1"/>
    <col min="7430" max="7430" width="1.5703125" style="6" customWidth="1"/>
    <col min="7431" max="7677" width="11.5703125" style="6"/>
    <col min="7678" max="7678" width="3.5703125" style="6" customWidth="1"/>
    <col min="7679" max="7679" width="38" style="6" customWidth="1"/>
    <col min="7680" max="7680" width="5.5703125" style="6" bestFit="1" customWidth="1"/>
    <col min="7681" max="7681" width="11.85546875" style="6" customWidth="1"/>
    <col min="7682" max="7682" width="7" style="6" customWidth="1"/>
    <col min="7683" max="7683" width="10.28515625" style="6" bestFit="1" customWidth="1"/>
    <col min="7684" max="7684" width="9.5703125" style="6" customWidth="1"/>
    <col min="7685" max="7685" width="10.7109375" style="6" bestFit="1" customWidth="1"/>
    <col min="7686" max="7686" width="1.5703125" style="6" customWidth="1"/>
    <col min="7687" max="7933" width="11.5703125" style="6"/>
    <col min="7934" max="7934" width="3.5703125" style="6" customWidth="1"/>
    <col min="7935" max="7935" width="38" style="6" customWidth="1"/>
    <col min="7936" max="7936" width="5.5703125" style="6" bestFit="1" customWidth="1"/>
    <col min="7937" max="7937" width="11.85546875" style="6" customWidth="1"/>
    <col min="7938" max="7938" width="7" style="6" customWidth="1"/>
    <col min="7939" max="7939" width="10.28515625" style="6" bestFit="1" customWidth="1"/>
    <col min="7940" max="7940" width="9.5703125" style="6" customWidth="1"/>
    <col min="7941" max="7941" width="10.7109375" style="6" bestFit="1" customWidth="1"/>
    <col min="7942" max="7942" width="1.5703125" style="6" customWidth="1"/>
    <col min="7943" max="8189" width="11.5703125" style="6"/>
    <col min="8190" max="8190" width="3.5703125" style="6" customWidth="1"/>
    <col min="8191" max="8191" width="38" style="6" customWidth="1"/>
    <col min="8192" max="8192" width="5.5703125" style="6" bestFit="1" customWidth="1"/>
    <col min="8193" max="8193" width="11.85546875" style="6" customWidth="1"/>
    <col min="8194" max="8194" width="7" style="6" customWidth="1"/>
    <col min="8195" max="8195" width="10.28515625" style="6" bestFit="1" customWidth="1"/>
    <col min="8196" max="8196" width="9.5703125" style="6" customWidth="1"/>
    <col min="8197" max="8197" width="10.7109375" style="6" bestFit="1" customWidth="1"/>
    <col min="8198" max="8198" width="1.5703125" style="6" customWidth="1"/>
    <col min="8199" max="8445" width="11.5703125" style="6"/>
    <col min="8446" max="8446" width="3.5703125" style="6" customWidth="1"/>
    <col min="8447" max="8447" width="38" style="6" customWidth="1"/>
    <col min="8448" max="8448" width="5.5703125" style="6" bestFit="1" customWidth="1"/>
    <col min="8449" max="8449" width="11.85546875" style="6" customWidth="1"/>
    <col min="8450" max="8450" width="7" style="6" customWidth="1"/>
    <col min="8451" max="8451" width="10.28515625" style="6" bestFit="1" customWidth="1"/>
    <col min="8452" max="8452" width="9.5703125" style="6" customWidth="1"/>
    <col min="8453" max="8453" width="10.7109375" style="6" bestFit="1" customWidth="1"/>
    <col min="8454" max="8454" width="1.5703125" style="6" customWidth="1"/>
    <col min="8455" max="8701" width="11.5703125" style="6"/>
    <col min="8702" max="8702" width="3.5703125" style="6" customWidth="1"/>
    <col min="8703" max="8703" width="38" style="6" customWidth="1"/>
    <col min="8704" max="8704" width="5.5703125" style="6" bestFit="1" customWidth="1"/>
    <col min="8705" max="8705" width="11.85546875" style="6" customWidth="1"/>
    <col min="8706" max="8706" width="7" style="6" customWidth="1"/>
    <col min="8707" max="8707" width="10.28515625" style="6" bestFit="1" customWidth="1"/>
    <col min="8708" max="8708" width="9.5703125" style="6" customWidth="1"/>
    <col min="8709" max="8709" width="10.7109375" style="6" bestFit="1" customWidth="1"/>
    <col min="8710" max="8710" width="1.5703125" style="6" customWidth="1"/>
    <col min="8711" max="8957" width="11.5703125" style="6"/>
    <col min="8958" max="8958" width="3.5703125" style="6" customWidth="1"/>
    <col min="8959" max="8959" width="38" style="6" customWidth="1"/>
    <col min="8960" max="8960" width="5.5703125" style="6" bestFit="1" customWidth="1"/>
    <col min="8961" max="8961" width="11.85546875" style="6" customWidth="1"/>
    <col min="8962" max="8962" width="7" style="6" customWidth="1"/>
    <col min="8963" max="8963" width="10.28515625" style="6" bestFit="1" customWidth="1"/>
    <col min="8964" max="8964" width="9.5703125" style="6" customWidth="1"/>
    <col min="8965" max="8965" width="10.7109375" style="6" bestFit="1" customWidth="1"/>
    <col min="8966" max="8966" width="1.5703125" style="6" customWidth="1"/>
    <col min="8967" max="9213" width="11.5703125" style="6"/>
    <col min="9214" max="9214" width="3.5703125" style="6" customWidth="1"/>
    <col min="9215" max="9215" width="38" style="6" customWidth="1"/>
    <col min="9216" max="9216" width="5.5703125" style="6" bestFit="1" customWidth="1"/>
    <col min="9217" max="9217" width="11.85546875" style="6" customWidth="1"/>
    <col min="9218" max="9218" width="7" style="6" customWidth="1"/>
    <col min="9219" max="9219" width="10.28515625" style="6" bestFit="1" customWidth="1"/>
    <col min="9220" max="9220" width="9.5703125" style="6" customWidth="1"/>
    <col min="9221" max="9221" width="10.7109375" style="6" bestFit="1" customWidth="1"/>
    <col min="9222" max="9222" width="1.5703125" style="6" customWidth="1"/>
    <col min="9223" max="9469" width="11.5703125" style="6"/>
    <col min="9470" max="9470" width="3.5703125" style="6" customWidth="1"/>
    <col min="9471" max="9471" width="38" style="6" customWidth="1"/>
    <col min="9472" max="9472" width="5.5703125" style="6" bestFit="1" customWidth="1"/>
    <col min="9473" max="9473" width="11.85546875" style="6" customWidth="1"/>
    <col min="9474" max="9474" width="7" style="6" customWidth="1"/>
    <col min="9475" max="9475" width="10.28515625" style="6" bestFit="1" customWidth="1"/>
    <col min="9476" max="9476" width="9.5703125" style="6" customWidth="1"/>
    <col min="9477" max="9477" width="10.7109375" style="6" bestFit="1" customWidth="1"/>
    <col min="9478" max="9478" width="1.5703125" style="6" customWidth="1"/>
    <col min="9479" max="9725" width="11.5703125" style="6"/>
    <col min="9726" max="9726" width="3.5703125" style="6" customWidth="1"/>
    <col min="9727" max="9727" width="38" style="6" customWidth="1"/>
    <col min="9728" max="9728" width="5.5703125" style="6" bestFit="1" customWidth="1"/>
    <col min="9729" max="9729" width="11.85546875" style="6" customWidth="1"/>
    <col min="9730" max="9730" width="7" style="6" customWidth="1"/>
    <col min="9731" max="9731" width="10.28515625" style="6" bestFit="1" customWidth="1"/>
    <col min="9732" max="9732" width="9.5703125" style="6" customWidth="1"/>
    <col min="9733" max="9733" width="10.7109375" style="6" bestFit="1" customWidth="1"/>
    <col min="9734" max="9734" width="1.5703125" style="6" customWidth="1"/>
    <col min="9735" max="9981" width="11.5703125" style="6"/>
    <col min="9982" max="9982" width="3.5703125" style="6" customWidth="1"/>
    <col min="9983" max="9983" width="38" style="6" customWidth="1"/>
    <col min="9984" max="9984" width="5.5703125" style="6" bestFit="1" customWidth="1"/>
    <col min="9985" max="9985" width="11.85546875" style="6" customWidth="1"/>
    <col min="9986" max="9986" width="7" style="6" customWidth="1"/>
    <col min="9987" max="9987" width="10.28515625" style="6" bestFit="1" customWidth="1"/>
    <col min="9988" max="9988" width="9.5703125" style="6" customWidth="1"/>
    <col min="9989" max="9989" width="10.7109375" style="6" bestFit="1" customWidth="1"/>
    <col min="9990" max="9990" width="1.5703125" style="6" customWidth="1"/>
    <col min="9991" max="10237" width="11.5703125" style="6"/>
    <col min="10238" max="10238" width="3.5703125" style="6" customWidth="1"/>
    <col min="10239" max="10239" width="38" style="6" customWidth="1"/>
    <col min="10240" max="10240" width="5.5703125" style="6" bestFit="1" customWidth="1"/>
    <col min="10241" max="10241" width="11.85546875" style="6" customWidth="1"/>
    <col min="10242" max="10242" width="7" style="6" customWidth="1"/>
    <col min="10243" max="10243" width="10.28515625" style="6" bestFit="1" customWidth="1"/>
    <col min="10244" max="10244" width="9.5703125" style="6" customWidth="1"/>
    <col min="10245" max="10245" width="10.7109375" style="6" bestFit="1" customWidth="1"/>
    <col min="10246" max="10246" width="1.5703125" style="6" customWidth="1"/>
    <col min="10247" max="10493" width="11.5703125" style="6"/>
    <col min="10494" max="10494" width="3.5703125" style="6" customWidth="1"/>
    <col min="10495" max="10495" width="38" style="6" customWidth="1"/>
    <col min="10496" max="10496" width="5.5703125" style="6" bestFit="1" customWidth="1"/>
    <col min="10497" max="10497" width="11.85546875" style="6" customWidth="1"/>
    <col min="10498" max="10498" width="7" style="6" customWidth="1"/>
    <col min="10499" max="10499" width="10.28515625" style="6" bestFit="1" customWidth="1"/>
    <col min="10500" max="10500" width="9.5703125" style="6" customWidth="1"/>
    <col min="10501" max="10501" width="10.7109375" style="6" bestFit="1" customWidth="1"/>
    <col min="10502" max="10502" width="1.5703125" style="6" customWidth="1"/>
    <col min="10503" max="10749" width="11.5703125" style="6"/>
    <col min="10750" max="10750" width="3.5703125" style="6" customWidth="1"/>
    <col min="10751" max="10751" width="38" style="6" customWidth="1"/>
    <col min="10752" max="10752" width="5.5703125" style="6" bestFit="1" customWidth="1"/>
    <col min="10753" max="10753" width="11.85546875" style="6" customWidth="1"/>
    <col min="10754" max="10754" width="7" style="6" customWidth="1"/>
    <col min="10755" max="10755" width="10.28515625" style="6" bestFit="1" customWidth="1"/>
    <col min="10756" max="10756" width="9.5703125" style="6" customWidth="1"/>
    <col min="10757" max="10757" width="10.7109375" style="6" bestFit="1" customWidth="1"/>
    <col min="10758" max="10758" width="1.5703125" style="6" customWidth="1"/>
    <col min="10759" max="11005" width="11.5703125" style="6"/>
    <col min="11006" max="11006" width="3.5703125" style="6" customWidth="1"/>
    <col min="11007" max="11007" width="38" style="6" customWidth="1"/>
    <col min="11008" max="11008" width="5.5703125" style="6" bestFit="1" customWidth="1"/>
    <col min="11009" max="11009" width="11.85546875" style="6" customWidth="1"/>
    <col min="11010" max="11010" width="7" style="6" customWidth="1"/>
    <col min="11011" max="11011" width="10.28515625" style="6" bestFit="1" customWidth="1"/>
    <col min="11012" max="11012" width="9.5703125" style="6" customWidth="1"/>
    <col min="11013" max="11013" width="10.7109375" style="6" bestFit="1" customWidth="1"/>
    <col min="11014" max="11014" width="1.5703125" style="6" customWidth="1"/>
    <col min="11015" max="11261" width="11.5703125" style="6"/>
    <col min="11262" max="11262" width="3.5703125" style="6" customWidth="1"/>
    <col min="11263" max="11263" width="38" style="6" customWidth="1"/>
    <col min="11264" max="11264" width="5.5703125" style="6" bestFit="1" customWidth="1"/>
    <col min="11265" max="11265" width="11.85546875" style="6" customWidth="1"/>
    <col min="11266" max="11266" width="7" style="6" customWidth="1"/>
    <col min="11267" max="11267" width="10.28515625" style="6" bestFit="1" customWidth="1"/>
    <col min="11268" max="11268" width="9.5703125" style="6" customWidth="1"/>
    <col min="11269" max="11269" width="10.7109375" style="6" bestFit="1" customWidth="1"/>
    <col min="11270" max="11270" width="1.5703125" style="6" customWidth="1"/>
    <col min="11271" max="11517" width="11.5703125" style="6"/>
    <col min="11518" max="11518" width="3.5703125" style="6" customWidth="1"/>
    <col min="11519" max="11519" width="38" style="6" customWidth="1"/>
    <col min="11520" max="11520" width="5.5703125" style="6" bestFit="1" customWidth="1"/>
    <col min="11521" max="11521" width="11.85546875" style="6" customWidth="1"/>
    <col min="11522" max="11522" width="7" style="6" customWidth="1"/>
    <col min="11523" max="11523" width="10.28515625" style="6" bestFit="1" customWidth="1"/>
    <col min="11524" max="11524" width="9.5703125" style="6" customWidth="1"/>
    <col min="11525" max="11525" width="10.7109375" style="6" bestFit="1" customWidth="1"/>
    <col min="11526" max="11526" width="1.5703125" style="6" customWidth="1"/>
    <col min="11527" max="11773" width="11.5703125" style="6"/>
    <col min="11774" max="11774" width="3.5703125" style="6" customWidth="1"/>
    <col min="11775" max="11775" width="38" style="6" customWidth="1"/>
    <col min="11776" max="11776" width="5.5703125" style="6" bestFit="1" customWidth="1"/>
    <col min="11777" max="11777" width="11.85546875" style="6" customWidth="1"/>
    <col min="11778" max="11778" width="7" style="6" customWidth="1"/>
    <col min="11779" max="11779" width="10.28515625" style="6" bestFit="1" customWidth="1"/>
    <col min="11780" max="11780" width="9.5703125" style="6" customWidth="1"/>
    <col min="11781" max="11781" width="10.7109375" style="6" bestFit="1" customWidth="1"/>
    <col min="11782" max="11782" width="1.5703125" style="6" customWidth="1"/>
    <col min="11783" max="12029" width="11.5703125" style="6"/>
    <col min="12030" max="12030" width="3.5703125" style="6" customWidth="1"/>
    <col min="12031" max="12031" width="38" style="6" customWidth="1"/>
    <col min="12032" max="12032" width="5.5703125" style="6" bestFit="1" customWidth="1"/>
    <col min="12033" max="12033" width="11.85546875" style="6" customWidth="1"/>
    <col min="12034" max="12034" width="7" style="6" customWidth="1"/>
    <col min="12035" max="12035" width="10.28515625" style="6" bestFit="1" customWidth="1"/>
    <col min="12036" max="12036" width="9.5703125" style="6" customWidth="1"/>
    <col min="12037" max="12037" width="10.7109375" style="6" bestFit="1" customWidth="1"/>
    <col min="12038" max="12038" width="1.5703125" style="6" customWidth="1"/>
    <col min="12039" max="12285" width="11.5703125" style="6"/>
    <col min="12286" max="12286" width="3.5703125" style="6" customWidth="1"/>
    <col min="12287" max="12287" width="38" style="6" customWidth="1"/>
    <col min="12288" max="12288" width="5.5703125" style="6" bestFit="1" customWidth="1"/>
    <col min="12289" max="12289" width="11.85546875" style="6" customWidth="1"/>
    <col min="12290" max="12290" width="7" style="6" customWidth="1"/>
    <col min="12291" max="12291" width="10.28515625" style="6" bestFit="1" customWidth="1"/>
    <col min="12292" max="12292" width="9.5703125" style="6" customWidth="1"/>
    <col min="12293" max="12293" width="10.7109375" style="6" bestFit="1" customWidth="1"/>
    <col min="12294" max="12294" width="1.5703125" style="6" customWidth="1"/>
    <col min="12295" max="12541" width="11.5703125" style="6"/>
    <col min="12542" max="12542" width="3.5703125" style="6" customWidth="1"/>
    <col min="12543" max="12543" width="38" style="6" customWidth="1"/>
    <col min="12544" max="12544" width="5.5703125" style="6" bestFit="1" customWidth="1"/>
    <col min="12545" max="12545" width="11.85546875" style="6" customWidth="1"/>
    <col min="12546" max="12546" width="7" style="6" customWidth="1"/>
    <col min="12547" max="12547" width="10.28515625" style="6" bestFit="1" customWidth="1"/>
    <col min="12548" max="12548" width="9.5703125" style="6" customWidth="1"/>
    <col min="12549" max="12549" width="10.7109375" style="6" bestFit="1" customWidth="1"/>
    <col min="12550" max="12550" width="1.5703125" style="6" customWidth="1"/>
    <col min="12551" max="12797" width="11.5703125" style="6"/>
    <col min="12798" max="12798" width="3.5703125" style="6" customWidth="1"/>
    <col min="12799" max="12799" width="38" style="6" customWidth="1"/>
    <col min="12800" max="12800" width="5.5703125" style="6" bestFit="1" customWidth="1"/>
    <col min="12801" max="12801" width="11.85546875" style="6" customWidth="1"/>
    <col min="12802" max="12802" width="7" style="6" customWidth="1"/>
    <col min="12803" max="12803" width="10.28515625" style="6" bestFit="1" customWidth="1"/>
    <col min="12804" max="12804" width="9.5703125" style="6" customWidth="1"/>
    <col min="12805" max="12805" width="10.7109375" style="6" bestFit="1" customWidth="1"/>
    <col min="12806" max="12806" width="1.5703125" style="6" customWidth="1"/>
    <col min="12807" max="13053" width="11.5703125" style="6"/>
    <col min="13054" max="13054" width="3.5703125" style="6" customWidth="1"/>
    <col min="13055" max="13055" width="38" style="6" customWidth="1"/>
    <col min="13056" max="13056" width="5.5703125" style="6" bestFit="1" customWidth="1"/>
    <col min="13057" max="13057" width="11.85546875" style="6" customWidth="1"/>
    <col min="13058" max="13058" width="7" style="6" customWidth="1"/>
    <col min="13059" max="13059" width="10.28515625" style="6" bestFit="1" customWidth="1"/>
    <col min="13060" max="13060" width="9.5703125" style="6" customWidth="1"/>
    <col min="13061" max="13061" width="10.7109375" style="6" bestFit="1" customWidth="1"/>
    <col min="13062" max="13062" width="1.5703125" style="6" customWidth="1"/>
    <col min="13063" max="13309" width="11.5703125" style="6"/>
    <col min="13310" max="13310" width="3.5703125" style="6" customWidth="1"/>
    <col min="13311" max="13311" width="38" style="6" customWidth="1"/>
    <col min="13312" max="13312" width="5.5703125" style="6" bestFit="1" customWidth="1"/>
    <col min="13313" max="13313" width="11.85546875" style="6" customWidth="1"/>
    <col min="13314" max="13314" width="7" style="6" customWidth="1"/>
    <col min="13315" max="13315" width="10.28515625" style="6" bestFit="1" customWidth="1"/>
    <col min="13316" max="13316" width="9.5703125" style="6" customWidth="1"/>
    <col min="13317" max="13317" width="10.7109375" style="6" bestFit="1" customWidth="1"/>
    <col min="13318" max="13318" width="1.5703125" style="6" customWidth="1"/>
    <col min="13319" max="13565" width="11.5703125" style="6"/>
    <col min="13566" max="13566" width="3.5703125" style="6" customWidth="1"/>
    <col min="13567" max="13567" width="38" style="6" customWidth="1"/>
    <col min="13568" max="13568" width="5.5703125" style="6" bestFit="1" customWidth="1"/>
    <col min="13569" max="13569" width="11.85546875" style="6" customWidth="1"/>
    <col min="13570" max="13570" width="7" style="6" customWidth="1"/>
    <col min="13571" max="13571" width="10.28515625" style="6" bestFit="1" customWidth="1"/>
    <col min="13572" max="13572" width="9.5703125" style="6" customWidth="1"/>
    <col min="13573" max="13573" width="10.7109375" style="6" bestFit="1" customWidth="1"/>
    <col min="13574" max="13574" width="1.5703125" style="6" customWidth="1"/>
    <col min="13575" max="13821" width="11.5703125" style="6"/>
    <col min="13822" max="13822" width="3.5703125" style="6" customWidth="1"/>
    <col min="13823" max="13823" width="38" style="6" customWidth="1"/>
    <col min="13824" max="13824" width="5.5703125" style="6" bestFit="1" customWidth="1"/>
    <col min="13825" max="13825" width="11.85546875" style="6" customWidth="1"/>
    <col min="13826" max="13826" width="7" style="6" customWidth="1"/>
    <col min="13827" max="13827" width="10.28515625" style="6" bestFit="1" customWidth="1"/>
    <col min="13828" max="13828" width="9.5703125" style="6" customWidth="1"/>
    <col min="13829" max="13829" width="10.7109375" style="6" bestFit="1" customWidth="1"/>
    <col min="13830" max="13830" width="1.5703125" style="6" customWidth="1"/>
    <col min="13831" max="14077" width="11.5703125" style="6"/>
    <col min="14078" max="14078" width="3.5703125" style="6" customWidth="1"/>
    <col min="14079" max="14079" width="38" style="6" customWidth="1"/>
    <col min="14080" max="14080" width="5.5703125" style="6" bestFit="1" customWidth="1"/>
    <col min="14081" max="14081" width="11.85546875" style="6" customWidth="1"/>
    <col min="14082" max="14082" width="7" style="6" customWidth="1"/>
    <col min="14083" max="14083" width="10.28515625" style="6" bestFit="1" customWidth="1"/>
    <col min="14084" max="14084" width="9.5703125" style="6" customWidth="1"/>
    <col min="14085" max="14085" width="10.7109375" style="6" bestFit="1" customWidth="1"/>
    <col min="14086" max="14086" width="1.5703125" style="6" customWidth="1"/>
    <col min="14087" max="14333" width="11.5703125" style="6"/>
    <col min="14334" max="14334" width="3.5703125" style="6" customWidth="1"/>
    <col min="14335" max="14335" width="38" style="6" customWidth="1"/>
    <col min="14336" max="14336" width="5.5703125" style="6" bestFit="1" customWidth="1"/>
    <col min="14337" max="14337" width="11.85546875" style="6" customWidth="1"/>
    <col min="14338" max="14338" width="7" style="6" customWidth="1"/>
    <col min="14339" max="14339" width="10.28515625" style="6" bestFit="1" customWidth="1"/>
    <col min="14340" max="14340" width="9.5703125" style="6" customWidth="1"/>
    <col min="14341" max="14341" width="10.7109375" style="6" bestFit="1" customWidth="1"/>
    <col min="14342" max="14342" width="1.5703125" style="6" customWidth="1"/>
    <col min="14343" max="14589" width="11.5703125" style="6"/>
    <col min="14590" max="14590" width="3.5703125" style="6" customWidth="1"/>
    <col min="14591" max="14591" width="38" style="6" customWidth="1"/>
    <col min="14592" max="14592" width="5.5703125" style="6" bestFit="1" customWidth="1"/>
    <col min="14593" max="14593" width="11.85546875" style="6" customWidth="1"/>
    <col min="14594" max="14594" width="7" style="6" customWidth="1"/>
    <col min="14595" max="14595" width="10.28515625" style="6" bestFit="1" customWidth="1"/>
    <col min="14596" max="14596" width="9.5703125" style="6" customWidth="1"/>
    <col min="14597" max="14597" width="10.7109375" style="6" bestFit="1" customWidth="1"/>
    <col min="14598" max="14598" width="1.5703125" style="6" customWidth="1"/>
    <col min="14599" max="14845" width="11.5703125" style="6"/>
    <col min="14846" max="14846" width="3.5703125" style="6" customWidth="1"/>
    <col min="14847" max="14847" width="38" style="6" customWidth="1"/>
    <col min="14848" max="14848" width="5.5703125" style="6" bestFit="1" customWidth="1"/>
    <col min="14849" max="14849" width="11.85546875" style="6" customWidth="1"/>
    <col min="14850" max="14850" width="7" style="6" customWidth="1"/>
    <col min="14851" max="14851" width="10.28515625" style="6" bestFit="1" customWidth="1"/>
    <col min="14852" max="14852" width="9.5703125" style="6" customWidth="1"/>
    <col min="14853" max="14853" width="10.7109375" style="6" bestFit="1" customWidth="1"/>
    <col min="14854" max="14854" width="1.5703125" style="6" customWidth="1"/>
    <col min="14855" max="15101" width="11.5703125" style="6"/>
    <col min="15102" max="15102" width="3.5703125" style="6" customWidth="1"/>
    <col min="15103" max="15103" width="38" style="6" customWidth="1"/>
    <col min="15104" max="15104" width="5.5703125" style="6" bestFit="1" customWidth="1"/>
    <col min="15105" max="15105" width="11.85546875" style="6" customWidth="1"/>
    <col min="15106" max="15106" width="7" style="6" customWidth="1"/>
    <col min="15107" max="15107" width="10.28515625" style="6" bestFit="1" customWidth="1"/>
    <col min="15108" max="15108" width="9.5703125" style="6" customWidth="1"/>
    <col min="15109" max="15109" width="10.7109375" style="6" bestFit="1" customWidth="1"/>
    <col min="15110" max="15110" width="1.5703125" style="6" customWidth="1"/>
    <col min="15111" max="15357" width="11.5703125" style="6"/>
    <col min="15358" max="15358" width="3.5703125" style="6" customWidth="1"/>
    <col min="15359" max="15359" width="38" style="6" customWidth="1"/>
    <col min="15360" max="15360" width="5.5703125" style="6" bestFit="1" customWidth="1"/>
    <col min="15361" max="15361" width="11.85546875" style="6" customWidth="1"/>
    <col min="15362" max="15362" width="7" style="6" customWidth="1"/>
    <col min="15363" max="15363" width="10.28515625" style="6" bestFit="1" customWidth="1"/>
    <col min="15364" max="15364" width="9.5703125" style="6" customWidth="1"/>
    <col min="15365" max="15365" width="10.7109375" style="6" bestFit="1" customWidth="1"/>
    <col min="15366" max="15366" width="1.5703125" style="6" customWidth="1"/>
    <col min="15367" max="15613" width="11.5703125" style="6"/>
    <col min="15614" max="15614" width="3.5703125" style="6" customWidth="1"/>
    <col min="15615" max="15615" width="38" style="6" customWidth="1"/>
    <col min="15616" max="15616" width="5.5703125" style="6" bestFit="1" customWidth="1"/>
    <col min="15617" max="15617" width="11.85546875" style="6" customWidth="1"/>
    <col min="15618" max="15618" width="7" style="6" customWidth="1"/>
    <col min="15619" max="15619" width="10.28515625" style="6" bestFit="1" customWidth="1"/>
    <col min="15620" max="15620" width="9.5703125" style="6" customWidth="1"/>
    <col min="15621" max="15621" width="10.7109375" style="6" bestFit="1" customWidth="1"/>
    <col min="15622" max="15622" width="1.5703125" style="6" customWidth="1"/>
    <col min="15623" max="15869" width="11.5703125" style="6"/>
    <col min="15870" max="15870" width="3.5703125" style="6" customWidth="1"/>
    <col min="15871" max="15871" width="38" style="6" customWidth="1"/>
    <col min="15872" max="15872" width="5.5703125" style="6" bestFit="1" customWidth="1"/>
    <col min="15873" max="15873" width="11.85546875" style="6" customWidth="1"/>
    <col min="15874" max="15874" width="7" style="6" customWidth="1"/>
    <col min="15875" max="15875" width="10.28515625" style="6" bestFit="1" customWidth="1"/>
    <col min="15876" max="15876" width="9.5703125" style="6" customWidth="1"/>
    <col min="15877" max="15877" width="10.7109375" style="6" bestFit="1" customWidth="1"/>
    <col min="15878" max="15878" width="1.5703125" style="6" customWidth="1"/>
    <col min="15879" max="16125" width="11.5703125" style="6"/>
    <col min="16126" max="16126" width="3.5703125" style="6" customWidth="1"/>
    <col min="16127" max="16127" width="38" style="6" customWidth="1"/>
    <col min="16128" max="16128" width="5.5703125" style="6" bestFit="1" customWidth="1"/>
    <col min="16129" max="16129" width="11.85546875" style="6" customWidth="1"/>
    <col min="16130" max="16130" width="7" style="6" customWidth="1"/>
    <col min="16131" max="16131" width="10.28515625" style="6" bestFit="1" customWidth="1"/>
    <col min="16132" max="16132" width="9.5703125" style="6" customWidth="1"/>
    <col min="16133" max="16133" width="10.7109375" style="6" bestFit="1" customWidth="1"/>
    <col min="16134" max="16134" width="1.5703125" style="6" customWidth="1"/>
    <col min="16135" max="16384" width="11.5703125" style="6"/>
  </cols>
  <sheetData>
    <row r="5" spans="1:14" x14ac:dyDescent="0.25">
      <c r="A5" s="1" t="s">
        <v>0</v>
      </c>
      <c r="B5" s="2"/>
      <c r="C5" s="2"/>
    </row>
    <row r="6" spans="1:14" ht="9" customHeight="1" x14ac:dyDescent="0.25">
      <c r="A6" s="1"/>
      <c r="B6" s="2"/>
      <c r="C6" s="2"/>
    </row>
    <row r="7" spans="1:14" s="8" customFormat="1" x14ac:dyDescent="0.25">
      <c r="A7" s="6" t="s">
        <v>1</v>
      </c>
      <c r="B7" s="7"/>
      <c r="D7" s="173" t="s">
        <v>2</v>
      </c>
      <c r="E7" s="174"/>
      <c r="F7" s="175">
        <v>45991</v>
      </c>
      <c r="G7" s="176"/>
      <c r="J7" s="9"/>
      <c r="K7" s="10"/>
      <c r="L7" s="11"/>
      <c r="M7" s="12"/>
      <c r="N7" s="13"/>
    </row>
    <row r="8" spans="1:14" s="8" customFormat="1" x14ac:dyDescent="0.25">
      <c r="A8" s="6" t="s">
        <v>3</v>
      </c>
      <c r="B8" s="7"/>
      <c r="D8" s="177" t="s">
        <v>4</v>
      </c>
      <c r="E8" s="178"/>
      <c r="F8" s="179">
        <v>60333</v>
      </c>
      <c r="G8" s="180"/>
      <c r="J8" s="9"/>
      <c r="K8" s="10"/>
      <c r="L8" s="11"/>
      <c r="M8" s="15"/>
      <c r="N8" s="13"/>
    </row>
    <row r="9" spans="1:14" s="8" customFormat="1" x14ac:dyDescent="0.25">
      <c r="A9" s="6" t="s">
        <v>5</v>
      </c>
      <c r="B9" s="7"/>
      <c r="D9" s="181" t="s">
        <v>6</v>
      </c>
      <c r="E9" s="182"/>
      <c r="F9" s="183" t="s">
        <v>7</v>
      </c>
      <c r="G9" s="184"/>
      <c r="K9" s="10"/>
      <c r="L9" s="11"/>
      <c r="M9" s="15"/>
      <c r="N9" s="13"/>
    </row>
    <row r="10" spans="1:14" s="8" customFormat="1" x14ac:dyDescent="0.25">
      <c r="A10" s="6"/>
      <c r="B10" s="7"/>
      <c r="D10" s="42" t="s">
        <v>33</v>
      </c>
      <c r="E10" s="14"/>
      <c r="F10" s="171" t="s">
        <v>34</v>
      </c>
      <c r="G10" s="172"/>
      <c r="K10" s="10"/>
      <c r="L10" s="11"/>
      <c r="M10" s="15"/>
      <c r="N10" s="13"/>
    </row>
    <row r="11" spans="1:14" s="8" customFormat="1" x14ac:dyDescent="0.25">
      <c r="A11" s="6" t="s">
        <v>8</v>
      </c>
      <c r="B11" s="7"/>
      <c r="D11" s="151" t="s">
        <v>9</v>
      </c>
      <c r="E11" s="165" t="s">
        <v>10</v>
      </c>
      <c r="F11" s="165"/>
      <c r="G11" s="166"/>
    </row>
    <row r="12" spans="1:14" s="8" customFormat="1" ht="15" x14ac:dyDescent="0.25">
      <c r="D12" s="152" t="s">
        <v>11</v>
      </c>
      <c r="E12" s="167" t="s">
        <v>12</v>
      </c>
      <c r="F12" s="167"/>
      <c r="G12" s="168"/>
    </row>
    <row r="13" spans="1:14" s="8" customFormat="1" ht="15" x14ac:dyDescent="0.25">
      <c r="D13" s="11"/>
      <c r="E13" s="22"/>
    </row>
    <row r="14" spans="1:14" s="8" customFormat="1" ht="15" x14ac:dyDescent="0.25">
      <c r="D14" s="11"/>
      <c r="E14" s="22"/>
    </row>
    <row r="15" spans="1:14" s="8" customFormat="1" ht="15" x14ac:dyDescent="0.25">
      <c r="D15" s="11"/>
      <c r="E15" s="22"/>
    </row>
    <row r="16" spans="1:14" s="23" customFormat="1" ht="14.25" x14ac:dyDescent="0.2">
      <c r="D16" s="24"/>
    </row>
    <row r="17" spans="1:7" s="23" customFormat="1" ht="14.25" x14ac:dyDescent="0.2">
      <c r="A17" s="169" t="s">
        <v>13</v>
      </c>
      <c r="B17" s="169"/>
      <c r="C17" s="169"/>
      <c r="D17" s="169"/>
      <c r="E17" s="169"/>
      <c r="F17" s="169"/>
      <c r="G17" s="169"/>
    </row>
    <row r="18" spans="1:7" s="23" customFormat="1" ht="14.25" x14ac:dyDescent="0.2">
      <c r="A18" s="24"/>
      <c r="B18" s="24"/>
      <c r="C18" s="24"/>
      <c r="D18" s="24"/>
      <c r="E18" s="24"/>
      <c r="F18" s="24"/>
      <c r="G18" s="24"/>
    </row>
    <row r="19" spans="1:7" s="8" customFormat="1" ht="15" x14ac:dyDescent="0.25">
      <c r="A19" s="8" t="s">
        <v>81</v>
      </c>
      <c r="B19" s="7"/>
      <c r="D19" s="25"/>
      <c r="E19" s="11"/>
      <c r="F19" s="25"/>
      <c r="G19" s="26"/>
    </row>
    <row r="20" spans="1:7" s="8" customFormat="1" ht="15" x14ac:dyDescent="0.25">
      <c r="A20" s="8" t="s">
        <v>82</v>
      </c>
      <c r="B20" s="7"/>
      <c r="D20" s="25"/>
      <c r="E20" s="11"/>
      <c r="F20" s="25"/>
      <c r="G20" s="26"/>
    </row>
    <row r="21" spans="1:7" s="8" customFormat="1" ht="9.75" customHeight="1" x14ac:dyDescent="0.25">
      <c r="D21" s="25"/>
      <c r="E21" s="25"/>
      <c r="F21" s="11"/>
      <c r="G21" s="25"/>
    </row>
    <row r="22" spans="1:7" s="8" customFormat="1" ht="15" x14ac:dyDescent="0.25">
      <c r="A22" s="27" t="s">
        <v>16</v>
      </c>
      <c r="B22" s="28"/>
      <c r="C22" s="27"/>
      <c r="D22" s="25" t="s">
        <v>17</v>
      </c>
      <c r="E22" s="11" t="s">
        <v>18</v>
      </c>
      <c r="F22" s="25" t="s">
        <v>19</v>
      </c>
      <c r="G22" s="11" t="s">
        <v>20</v>
      </c>
    </row>
    <row r="23" spans="1:7" s="8" customFormat="1" ht="15" x14ac:dyDescent="0.25">
      <c r="A23" s="29" t="s">
        <v>21</v>
      </c>
      <c r="B23" s="29"/>
      <c r="C23" s="29"/>
      <c r="D23" s="21" t="s">
        <v>22</v>
      </c>
      <c r="E23" s="21"/>
      <c r="F23" s="30" t="s">
        <v>23</v>
      </c>
      <c r="G23" s="18"/>
    </row>
    <row r="24" spans="1:7" s="8" customFormat="1" ht="15" x14ac:dyDescent="0.25">
      <c r="A24" s="8">
        <v>24</v>
      </c>
      <c r="B24" s="8" t="s">
        <v>24</v>
      </c>
      <c r="C24" s="9">
        <v>2024</v>
      </c>
      <c r="D24" s="33">
        <v>20254</v>
      </c>
      <c r="E24" s="11" t="s">
        <v>25</v>
      </c>
      <c r="F24" s="31">
        <v>0.6</v>
      </c>
      <c r="G24" s="13">
        <f>+F24*805</f>
        <v>483</v>
      </c>
    </row>
    <row r="25" spans="1:7" s="8" customFormat="1" ht="15" x14ac:dyDescent="0.25">
      <c r="B25" s="8" t="s">
        <v>26</v>
      </c>
      <c r="C25" s="9"/>
      <c r="D25" s="33"/>
      <c r="E25" s="11"/>
      <c r="F25" s="31"/>
      <c r="G25" s="13"/>
    </row>
    <row r="26" spans="1:7" s="8" customFormat="1" ht="7.5" customHeight="1" x14ac:dyDescent="0.25">
      <c r="C26" s="9"/>
      <c r="D26" s="33"/>
      <c r="E26" s="11"/>
      <c r="F26" s="31"/>
      <c r="G26" s="13"/>
    </row>
    <row r="27" spans="1:7" s="8" customFormat="1" ht="15" x14ac:dyDescent="0.25">
      <c r="A27" s="8">
        <v>24</v>
      </c>
      <c r="B27" s="8" t="s">
        <v>45</v>
      </c>
      <c r="C27" s="9">
        <v>2024</v>
      </c>
      <c r="D27" s="33">
        <v>20254</v>
      </c>
      <c r="E27" s="11" t="s">
        <v>25</v>
      </c>
      <c r="F27" s="31">
        <v>0.6</v>
      </c>
      <c r="G27" s="13">
        <f>+F27*805</f>
        <v>483</v>
      </c>
    </row>
    <row r="28" spans="1:7" s="8" customFormat="1" ht="15" x14ac:dyDescent="0.25">
      <c r="B28" s="8" t="s">
        <v>46</v>
      </c>
      <c r="C28" s="9"/>
      <c r="D28" s="33"/>
      <c r="E28" s="11"/>
      <c r="F28" s="31"/>
      <c r="G28" s="13"/>
    </row>
    <row r="29" spans="1:7" s="8" customFormat="1" ht="7.5" customHeight="1" x14ac:dyDescent="0.25">
      <c r="C29" s="9"/>
      <c r="D29" s="33"/>
      <c r="E29" s="11"/>
      <c r="F29" s="31"/>
      <c r="G29" s="13"/>
    </row>
    <row r="30" spans="1:7" s="8" customFormat="1" ht="15" x14ac:dyDescent="0.25">
      <c r="A30" s="8">
        <v>24</v>
      </c>
      <c r="B30" s="8" t="s">
        <v>52</v>
      </c>
      <c r="C30" s="9"/>
      <c r="D30" s="33">
        <v>20254</v>
      </c>
      <c r="E30" s="11" t="s">
        <v>25</v>
      </c>
      <c r="F30" s="31">
        <v>0.6</v>
      </c>
      <c r="G30" s="13">
        <f>+F30*805</f>
        <v>483</v>
      </c>
    </row>
    <row r="31" spans="1:7" s="8" customFormat="1" ht="15" x14ac:dyDescent="0.25">
      <c r="B31" s="8" t="s">
        <v>55</v>
      </c>
      <c r="C31" s="9"/>
      <c r="D31" s="33"/>
      <c r="E31" s="11"/>
      <c r="F31" s="31"/>
      <c r="G31" s="13"/>
    </row>
    <row r="32" spans="1:7" s="8" customFormat="1" ht="15" x14ac:dyDescent="0.25">
      <c r="C32" s="9"/>
      <c r="D32" s="33"/>
      <c r="E32" s="11"/>
      <c r="F32" s="31"/>
      <c r="G32" s="13"/>
    </row>
    <row r="33" spans="1:9" s="8" customFormat="1" ht="15" x14ac:dyDescent="0.25">
      <c r="A33" s="8">
        <v>24</v>
      </c>
      <c r="B33" s="8" t="s">
        <v>53</v>
      </c>
      <c r="C33" s="9"/>
      <c r="D33" s="33">
        <v>20254</v>
      </c>
      <c r="E33" s="11" t="s">
        <v>25</v>
      </c>
      <c r="F33" s="31">
        <v>0.6</v>
      </c>
      <c r="G33" s="13">
        <f>+F33*805</f>
        <v>483</v>
      </c>
    </row>
    <row r="34" spans="1:9" s="8" customFormat="1" ht="15" x14ac:dyDescent="0.25">
      <c r="B34" s="8" t="s">
        <v>54</v>
      </c>
      <c r="C34" s="9"/>
      <c r="D34" s="33"/>
      <c r="E34" s="11"/>
      <c r="F34" s="31"/>
      <c r="G34" s="13"/>
    </row>
    <row r="35" spans="1:9" s="8" customFormat="1" ht="15" x14ac:dyDescent="0.25">
      <c r="C35" s="9"/>
      <c r="D35" s="33"/>
      <c r="E35" s="11"/>
      <c r="F35" s="31"/>
      <c r="G35" s="13"/>
    </row>
    <row r="36" spans="1:9" s="8" customFormat="1" ht="15" x14ac:dyDescent="0.25">
      <c r="A36" s="8">
        <v>24</v>
      </c>
      <c r="B36" s="8" t="s">
        <v>56</v>
      </c>
      <c r="C36" s="9"/>
      <c r="D36" s="33">
        <v>8000</v>
      </c>
      <c r="E36" s="11" t="s">
        <v>25</v>
      </c>
      <c r="F36" s="32">
        <v>0.55000000000000004</v>
      </c>
      <c r="G36" s="13">
        <f>+F36*805</f>
        <v>442.75000000000006</v>
      </c>
    </row>
    <row r="37" spans="1:9" s="8" customFormat="1" ht="15" x14ac:dyDescent="0.25">
      <c r="C37" s="9"/>
      <c r="D37" s="33"/>
      <c r="E37" s="11"/>
      <c r="F37" s="32"/>
      <c r="G37" s="13"/>
    </row>
    <row r="38" spans="1:9" s="8" customFormat="1" ht="15" x14ac:dyDescent="0.25">
      <c r="A38" s="8">
        <v>24</v>
      </c>
      <c r="B38" s="8" t="s">
        <v>51</v>
      </c>
      <c r="C38" s="9">
        <v>2024</v>
      </c>
      <c r="D38" s="33">
        <v>20254</v>
      </c>
      <c r="E38" s="11" t="s">
        <v>25</v>
      </c>
      <c r="F38" s="31">
        <v>0.6</v>
      </c>
      <c r="G38" s="13">
        <f>+F38*805</f>
        <v>483</v>
      </c>
      <c r="I38" s="8" t="s">
        <v>156</v>
      </c>
    </row>
    <row r="39" spans="1:9" s="8" customFormat="1" ht="15" x14ac:dyDescent="0.25">
      <c r="A39" s="8">
        <v>24</v>
      </c>
      <c r="B39" s="8" t="s">
        <v>47</v>
      </c>
      <c r="C39" s="9">
        <v>2024</v>
      </c>
      <c r="D39" s="33">
        <v>20254</v>
      </c>
      <c r="E39" s="11" t="s">
        <v>25</v>
      </c>
      <c r="F39" s="31">
        <v>0.6</v>
      </c>
      <c r="G39" s="13">
        <f>+F39*805</f>
        <v>483</v>
      </c>
    </row>
    <row r="40" spans="1:9" s="8" customFormat="1" ht="15" x14ac:dyDescent="0.25">
      <c r="A40" s="8">
        <v>24</v>
      </c>
      <c r="B40" s="8" t="s">
        <v>48</v>
      </c>
      <c r="C40" s="9">
        <v>2024</v>
      </c>
      <c r="D40" s="33">
        <v>20254</v>
      </c>
      <c r="E40" s="11" t="s">
        <v>25</v>
      </c>
      <c r="F40" s="31">
        <v>0.6</v>
      </c>
      <c r="G40" s="13">
        <f>+F40*805</f>
        <v>483</v>
      </c>
    </row>
    <row r="41" spans="1:9" s="8" customFormat="1" ht="15" x14ac:dyDescent="0.25">
      <c r="A41" s="8">
        <v>24</v>
      </c>
      <c r="B41" s="8" t="s">
        <v>49</v>
      </c>
      <c r="C41" s="9">
        <v>2024</v>
      </c>
      <c r="D41" s="33">
        <v>20254</v>
      </c>
      <c r="E41" s="11" t="s">
        <v>25</v>
      </c>
      <c r="F41" s="31">
        <v>0.6</v>
      </c>
      <c r="G41" s="13">
        <f>+F41*805</f>
        <v>483</v>
      </c>
    </row>
    <row r="42" spans="1:9" s="8" customFormat="1" ht="15" x14ac:dyDescent="0.25">
      <c r="A42" s="8">
        <v>24</v>
      </c>
      <c r="B42" s="8" t="s">
        <v>50</v>
      </c>
      <c r="C42" s="9">
        <v>2024</v>
      </c>
      <c r="D42" s="33">
        <v>20254</v>
      </c>
      <c r="E42" s="11" t="s">
        <v>25</v>
      </c>
      <c r="F42" s="31">
        <v>0.6</v>
      </c>
      <c r="G42" s="13">
        <f>+F42*805</f>
        <v>483</v>
      </c>
    </row>
    <row r="43" spans="1:9" s="8" customFormat="1" ht="15" x14ac:dyDescent="0.25">
      <c r="C43" s="9"/>
      <c r="D43" s="33"/>
      <c r="E43" s="11"/>
      <c r="F43" s="31"/>
      <c r="G43" s="13"/>
    </row>
    <row r="44" spans="1:9" s="8" customFormat="1" ht="15" x14ac:dyDescent="0.25">
      <c r="C44" s="9"/>
      <c r="D44" s="10"/>
      <c r="E44" s="11"/>
      <c r="F44" s="31"/>
      <c r="G44" s="13"/>
    </row>
    <row r="45" spans="1:9" s="8" customFormat="1" ht="15" x14ac:dyDescent="0.25">
      <c r="A45" s="45">
        <v>25</v>
      </c>
      <c r="B45" s="8" t="s">
        <v>41</v>
      </c>
      <c r="C45" s="9">
        <f>+C48</f>
        <v>2024</v>
      </c>
      <c r="D45" s="33">
        <v>26173</v>
      </c>
      <c r="E45" s="46" t="s">
        <v>43</v>
      </c>
      <c r="F45" s="32">
        <v>0.3</v>
      </c>
      <c r="G45" s="13">
        <f>+F45/20*892</f>
        <v>13.379999999999999</v>
      </c>
    </row>
    <row r="46" spans="1:9" s="8" customFormat="1" ht="15" x14ac:dyDescent="0.25">
      <c r="B46" s="8" t="s">
        <v>44</v>
      </c>
      <c r="C46" s="9"/>
      <c r="D46" s="9"/>
    </row>
    <row r="47" spans="1:9" s="8" customFormat="1" ht="15" x14ac:dyDescent="0.25">
      <c r="C47" s="9"/>
      <c r="D47" s="9"/>
    </row>
    <row r="48" spans="1:9" s="8" customFormat="1" ht="15" x14ac:dyDescent="0.25">
      <c r="A48" s="45">
        <v>25</v>
      </c>
      <c r="B48" s="8" t="s">
        <v>41</v>
      </c>
      <c r="C48" s="9">
        <f>+C62</f>
        <v>2024</v>
      </c>
      <c r="D48" s="33">
        <v>26173</v>
      </c>
      <c r="E48" s="46" t="s">
        <v>43</v>
      </c>
      <c r="F48" s="32">
        <v>0.3</v>
      </c>
      <c r="G48" s="13">
        <f>+F48/20*892</f>
        <v>13.379999999999999</v>
      </c>
    </row>
    <row r="49" spans="1:9" s="8" customFormat="1" ht="15" x14ac:dyDescent="0.25">
      <c r="B49" s="8" t="s">
        <v>42</v>
      </c>
      <c r="C49" s="9"/>
      <c r="D49" s="9"/>
    </row>
    <row r="50" spans="1:9" s="8" customFormat="1" ht="15" x14ac:dyDescent="0.25">
      <c r="C50" s="9"/>
      <c r="D50" s="10"/>
      <c r="E50" s="11"/>
      <c r="F50" s="31"/>
      <c r="G50" s="13"/>
    </row>
    <row r="51" spans="1:9" s="8" customFormat="1" ht="15" x14ac:dyDescent="0.25">
      <c r="A51" s="45">
        <v>25</v>
      </c>
      <c r="B51" s="8" t="s">
        <v>41</v>
      </c>
      <c r="C51" s="9">
        <f>+C48</f>
        <v>2024</v>
      </c>
      <c r="D51" s="33">
        <v>26173</v>
      </c>
      <c r="E51" s="46" t="s">
        <v>43</v>
      </c>
      <c r="F51" s="32">
        <v>0.3</v>
      </c>
      <c r="G51" s="13">
        <f>+F51/20*892</f>
        <v>13.379999999999999</v>
      </c>
    </row>
    <row r="52" spans="1:9" s="8" customFormat="1" ht="15" x14ac:dyDescent="0.25">
      <c r="B52" s="8" t="s">
        <v>57</v>
      </c>
      <c r="C52" s="9"/>
      <c r="D52" s="9"/>
    </row>
    <row r="53" spans="1:9" s="8" customFormat="1" ht="15" x14ac:dyDescent="0.25">
      <c r="C53" s="9"/>
      <c r="D53" s="10"/>
      <c r="E53" s="11"/>
      <c r="F53" s="31"/>
      <c r="G53" s="13"/>
    </row>
    <row r="54" spans="1:9" s="8" customFormat="1" ht="15" x14ac:dyDescent="0.25">
      <c r="A54" s="8">
        <v>27</v>
      </c>
      <c r="B54" s="8" t="s">
        <v>41</v>
      </c>
      <c r="C54" s="9"/>
      <c r="D54" s="33">
        <v>74906</v>
      </c>
      <c r="E54" s="11" t="s">
        <v>25</v>
      </c>
      <c r="F54" s="32">
        <v>0.3</v>
      </c>
      <c r="G54" s="13">
        <f>+F54*1215</f>
        <v>364.5</v>
      </c>
      <c r="H54" s="13"/>
    </row>
    <row r="55" spans="1:9" s="8" customFormat="1" ht="15" x14ac:dyDescent="0.25">
      <c r="B55" s="8" t="s">
        <v>39</v>
      </c>
      <c r="C55" s="9">
        <f>+C65</f>
        <v>2024</v>
      </c>
      <c r="D55" s="9"/>
      <c r="E55" s="33"/>
      <c r="F55" s="11"/>
      <c r="G55" s="43"/>
      <c r="H55" s="13"/>
      <c r="I55" s="13"/>
    </row>
    <row r="56" spans="1:9" s="8" customFormat="1" ht="9" customHeight="1" x14ac:dyDescent="0.25">
      <c r="C56" s="9"/>
      <c r="D56" s="9"/>
      <c r="E56" s="33"/>
      <c r="F56" s="11"/>
      <c r="G56" s="43"/>
      <c r="H56" s="13"/>
      <c r="I56" s="13"/>
    </row>
    <row r="57" spans="1:9" s="8" customFormat="1" ht="15" x14ac:dyDescent="0.25">
      <c r="A57" s="8">
        <v>27</v>
      </c>
      <c r="B57" s="8" t="s">
        <v>41</v>
      </c>
      <c r="C57" s="9">
        <f>+C24</f>
        <v>2024</v>
      </c>
      <c r="D57" s="33">
        <v>40972</v>
      </c>
      <c r="E57" s="11" t="s">
        <v>25</v>
      </c>
      <c r="F57" s="32">
        <v>0.55000000000000004</v>
      </c>
      <c r="G57" s="13">
        <f>+F57*1215</f>
        <v>668.25</v>
      </c>
    </row>
    <row r="58" spans="1:9" s="8" customFormat="1" ht="15" x14ac:dyDescent="0.25">
      <c r="B58" s="8" t="s">
        <v>35</v>
      </c>
      <c r="C58" s="9"/>
      <c r="D58" s="10"/>
      <c r="E58" s="11"/>
      <c r="F58" s="31"/>
      <c r="G58" s="13"/>
    </row>
    <row r="59" spans="1:9" s="8" customFormat="1" ht="15" x14ac:dyDescent="0.25">
      <c r="B59" s="8" t="s">
        <v>36</v>
      </c>
      <c r="C59" s="9"/>
      <c r="D59" s="10"/>
      <c r="E59" s="11"/>
      <c r="F59" s="31"/>
      <c r="G59" s="13"/>
    </row>
    <row r="60" spans="1:9" s="8" customFormat="1" ht="6.75" customHeight="1" x14ac:dyDescent="0.25">
      <c r="C60" s="9"/>
      <c r="D60" s="10"/>
      <c r="E60" s="11"/>
      <c r="F60" s="31"/>
      <c r="G60" s="13"/>
    </row>
    <row r="61" spans="1:9" s="8" customFormat="1" ht="15" x14ac:dyDescent="0.25">
      <c r="A61" s="8">
        <v>27</v>
      </c>
      <c r="B61" s="8" t="s">
        <v>41</v>
      </c>
      <c r="C61" s="9"/>
      <c r="D61" s="33">
        <v>26173</v>
      </c>
      <c r="E61" s="11" t="s">
        <v>25</v>
      </c>
      <c r="F61" s="32">
        <v>0.3</v>
      </c>
      <c r="G61" s="13">
        <f>+F61/20*892</f>
        <v>13.379999999999999</v>
      </c>
    </row>
    <row r="62" spans="1:9" s="8" customFormat="1" ht="15" x14ac:dyDescent="0.25">
      <c r="B62" s="44" t="s">
        <v>40</v>
      </c>
      <c r="C62" s="9">
        <f>+C55</f>
        <v>2024</v>
      </c>
      <c r="D62" s="9"/>
      <c r="E62" s="33"/>
      <c r="F62" s="11"/>
      <c r="G62" s="43"/>
      <c r="H62" s="13"/>
    </row>
    <row r="63" spans="1:9" s="8" customFormat="1" ht="3" customHeight="1" x14ac:dyDescent="0.25">
      <c r="C63" s="9"/>
      <c r="D63" s="9"/>
    </row>
    <row r="64" spans="1:9" s="8" customFormat="1" ht="15" x14ac:dyDescent="0.25">
      <c r="A64" s="8">
        <v>27</v>
      </c>
      <c r="B64" s="8" t="s">
        <v>37</v>
      </c>
      <c r="C64" s="9"/>
      <c r="D64" s="25">
        <v>12040</v>
      </c>
      <c r="E64" s="11" t="s">
        <v>25</v>
      </c>
      <c r="F64" s="32">
        <v>0.3</v>
      </c>
      <c r="G64" s="13">
        <f>+F64*1215</f>
        <v>364.5</v>
      </c>
      <c r="I64" s="13"/>
    </row>
    <row r="65" spans="1:9" s="8" customFormat="1" ht="15" x14ac:dyDescent="0.25">
      <c r="B65" s="8" t="s">
        <v>38</v>
      </c>
      <c r="C65" s="9">
        <v>2024</v>
      </c>
      <c r="D65" s="9"/>
      <c r="E65" s="25"/>
      <c r="F65" s="11"/>
      <c r="G65" s="43"/>
      <c r="H65" s="13"/>
      <c r="I65" s="13"/>
    </row>
    <row r="66" spans="1:9" s="8" customFormat="1" ht="7.5" customHeight="1" x14ac:dyDescent="0.25">
      <c r="C66" s="9"/>
      <c r="D66" s="9"/>
      <c r="E66" s="25"/>
      <c r="F66" s="11"/>
      <c r="G66" s="43"/>
      <c r="H66" s="13"/>
      <c r="I66" s="13"/>
    </row>
    <row r="67" spans="1:9" x14ac:dyDescent="0.25">
      <c r="A67" s="132">
        <v>23</v>
      </c>
      <c r="B67" s="132" t="s">
        <v>115</v>
      </c>
      <c r="C67" s="133"/>
      <c r="D67" s="150">
        <v>4673</v>
      </c>
      <c r="E67" s="137" t="s">
        <v>25</v>
      </c>
      <c r="F67" s="31">
        <v>0.6</v>
      </c>
      <c r="G67" s="13">
        <v>212.4</v>
      </c>
    </row>
    <row r="68" spans="1:9" x14ac:dyDescent="0.25">
      <c r="A68" s="132"/>
      <c r="B68" s="132" t="s">
        <v>116</v>
      </c>
      <c r="C68" s="133"/>
      <c r="D68" s="134"/>
      <c r="E68" s="132"/>
      <c r="F68" s="135"/>
      <c r="G68" s="136"/>
    </row>
    <row r="69" spans="1:9" ht="6.75" customHeight="1" x14ac:dyDescent="0.25">
      <c r="A69" s="132"/>
      <c r="B69" s="132"/>
      <c r="C69" s="133"/>
      <c r="D69" s="134"/>
      <c r="E69" s="132"/>
      <c r="F69" s="135"/>
      <c r="G69" s="136"/>
    </row>
    <row r="70" spans="1:9" x14ac:dyDescent="0.25">
      <c r="A70" s="132">
        <v>33</v>
      </c>
      <c r="B70" s="132" t="s">
        <v>117</v>
      </c>
      <c r="C70" s="133"/>
      <c r="D70" s="146">
        <v>120</v>
      </c>
      <c r="E70" s="132" t="s">
        <v>104</v>
      </c>
      <c r="F70" s="138">
        <v>5.5</v>
      </c>
      <c r="G70" s="136">
        <v>660</v>
      </c>
    </row>
    <row r="71" spans="1:9" x14ac:dyDescent="0.25">
      <c r="A71" s="132"/>
      <c r="B71" s="132" t="s">
        <v>118</v>
      </c>
      <c r="C71" s="133"/>
      <c r="D71" s="145"/>
      <c r="E71" s="134"/>
      <c r="F71" s="132"/>
      <c r="G71" s="135"/>
      <c r="H71" s="136"/>
    </row>
    <row r="72" spans="1:9" x14ac:dyDescent="0.25">
      <c r="A72" s="132"/>
      <c r="B72" s="132" t="s">
        <v>119</v>
      </c>
      <c r="C72" s="132"/>
      <c r="D72" s="145"/>
      <c r="E72" s="132"/>
      <c r="F72" s="132"/>
      <c r="G72" s="132"/>
      <c r="H72" s="132"/>
    </row>
    <row r="73" spans="1:9" x14ac:dyDescent="0.25">
      <c r="A73" s="132"/>
      <c r="B73" s="132" t="s">
        <v>120</v>
      </c>
      <c r="C73" s="132"/>
      <c r="D73" s="145"/>
      <c r="E73" s="132"/>
      <c r="F73" s="132"/>
      <c r="G73" s="132"/>
      <c r="H73" s="132"/>
    </row>
    <row r="74" spans="1:9" x14ac:dyDescent="0.25">
      <c r="A74" s="132"/>
      <c r="B74" s="132" t="s">
        <v>121</v>
      </c>
      <c r="C74" s="132"/>
      <c r="D74" s="145"/>
      <c r="E74" s="132"/>
      <c r="F74" s="132"/>
      <c r="G74" s="132"/>
      <c r="H74" s="132"/>
    </row>
    <row r="75" spans="1:9" x14ac:dyDescent="0.25">
      <c r="A75" s="132"/>
      <c r="B75" s="132" t="s">
        <v>122</v>
      </c>
      <c r="C75" s="132"/>
      <c r="D75" s="145"/>
      <c r="E75" s="132"/>
      <c r="F75" s="132"/>
      <c r="G75" s="132"/>
      <c r="H75" s="132"/>
    </row>
    <row r="76" spans="1:9" x14ac:dyDescent="0.25">
      <c r="A76" s="132"/>
      <c r="B76" s="132"/>
      <c r="C76" s="132"/>
      <c r="D76" s="145"/>
      <c r="E76" s="132"/>
      <c r="F76" s="132"/>
      <c r="G76" s="132"/>
      <c r="H76" s="132"/>
    </row>
    <row r="77" spans="1:9" s="8" customFormat="1" ht="15" x14ac:dyDescent="0.25">
      <c r="A77" s="8">
        <v>28</v>
      </c>
      <c r="B77" s="8" t="s">
        <v>142</v>
      </c>
      <c r="C77" s="9"/>
      <c r="D77" s="160">
        <v>120</v>
      </c>
      <c r="E77" s="11" t="s">
        <v>104</v>
      </c>
      <c r="F77" s="34">
        <v>1</v>
      </c>
      <c r="G77" s="13">
        <f>+F77*D77</f>
        <v>120</v>
      </c>
    </row>
    <row r="78" spans="1:9" s="8" customFormat="1" ht="15" x14ac:dyDescent="0.25">
      <c r="B78" s="8" t="s">
        <v>143</v>
      </c>
      <c r="C78" s="9"/>
      <c r="D78" s="109"/>
      <c r="E78" s="11"/>
      <c r="F78" s="15"/>
      <c r="G78" s="13"/>
      <c r="I78" s="13"/>
    </row>
    <row r="79" spans="1:9" s="8" customFormat="1" ht="15" x14ac:dyDescent="0.25">
      <c r="D79" s="11"/>
      <c r="E79" s="11"/>
      <c r="F79" s="154"/>
      <c r="G79" s="9"/>
    </row>
    <row r="80" spans="1:9" s="8" customFormat="1" ht="15" customHeight="1" x14ac:dyDescent="0.25">
      <c r="A80" s="8">
        <v>40</v>
      </c>
      <c r="B80" s="8" t="s">
        <v>144</v>
      </c>
      <c r="C80" s="9"/>
      <c r="D80" s="109">
        <v>12542</v>
      </c>
      <c r="E80" s="164" t="s">
        <v>145</v>
      </c>
      <c r="F80" s="155">
        <v>1.5</v>
      </c>
      <c r="G80" s="13">
        <f>+F80*666</f>
        <v>999</v>
      </c>
    </row>
    <row r="81" spans="1:9" s="8" customFormat="1" ht="15" x14ac:dyDescent="0.25">
      <c r="B81" s="8" t="s">
        <v>147</v>
      </c>
      <c r="C81" s="9">
        <v>2022</v>
      </c>
      <c r="D81" s="109"/>
      <c r="E81" s="164"/>
      <c r="F81" s="15" t="s">
        <v>146</v>
      </c>
      <c r="G81" s="13"/>
      <c r="I81" s="13"/>
    </row>
    <row r="83" spans="1:9" x14ac:dyDescent="0.25">
      <c r="A83" s="8">
        <v>35</v>
      </c>
      <c r="B83" s="8" t="s">
        <v>123</v>
      </c>
      <c r="C83" s="8">
        <v>2024</v>
      </c>
      <c r="D83" s="33">
        <v>3708539.2199999997</v>
      </c>
      <c r="E83" s="11" t="s">
        <v>43</v>
      </c>
      <c r="F83" s="155" t="s">
        <v>128</v>
      </c>
      <c r="G83" s="13">
        <v>5715.9</v>
      </c>
    </row>
    <row r="84" spans="1:9" x14ac:dyDescent="0.25">
      <c r="A84" s="8"/>
      <c r="B84" s="8"/>
      <c r="C84" s="8"/>
      <c r="D84" s="33"/>
      <c r="E84" s="11"/>
      <c r="F84" s="114"/>
      <c r="G84" s="13"/>
    </row>
    <row r="85" spans="1:9" x14ac:dyDescent="0.25">
      <c r="A85" s="8">
        <v>35</v>
      </c>
      <c r="B85" s="8" t="s">
        <v>124</v>
      </c>
      <c r="C85" s="8">
        <v>2024</v>
      </c>
      <c r="D85" s="33">
        <v>3520943.2199999997</v>
      </c>
      <c r="E85" s="11" t="s">
        <v>43</v>
      </c>
      <c r="F85" s="155" t="s">
        <v>129</v>
      </c>
      <c r="G85" s="13">
        <v>985.5</v>
      </c>
    </row>
    <row r="86" spans="1:9" x14ac:dyDescent="0.25">
      <c r="A86" s="8"/>
      <c r="B86" s="8"/>
      <c r="C86" s="8"/>
      <c r="D86" s="33"/>
      <c r="E86" s="11"/>
      <c r="F86" s="114"/>
      <c r="G86" s="13"/>
    </row>
    <row r="87" spans="1:9" x14ac:dyDescent="0.25">
      <c r="A87" s="8">
        <v>35</v>
      </c>
      <c r="B87" s="8" t="s">
        <v>125</v>
      </c>
      <c r="C87" s="8">
        <v>2024</v>
      </c>
      <c r="D87" s="33">
        <v>3708539.2199999997</v>
      </c>
      <c r="E87" s="11" t="s">
        <v>43</v>
      </c>
      <c r="F87" s="155" t="s">
        <v>130</v>
      </c>
      <c r="G87" s="13">
        <v>394.20000000000005</v>
      </c>
    </row>
    <row r="89" spans="1:9" x14ac:dyDescent="0.25">
      <c r="A89" s="8">
        <v>35</v>
      </c>
      <c r="B89" s="8" t="s">
        <v>126</v>
      </c>
      <c r="C89" s="9"/>
      <c r="D89" s="33">
        <v>300</v>
      </c>
      <c r="E89" s="11" t="s">
        <v>43</v>
      </c>
      <c r="F89" s="120" t="s">
        <v>131</v>
      </c>
      <c r="G89" s="13">
        <v>212.72499999999999</v>
      </c>
    </row>
    <row r="90" spans="1:9" x14ac:dyDescent="0.25">
      <c r="A90" s="8"/>
      <c r="B90" s="8" t="s">
        <v>127</v>
      </c>
      <c r="C90" s="9"/>
      <c r="D90" s="109"/>
      <c r="E90" s="11"/>
      <c r="F90" s="11"/>
      <c r="G90" s="13"/>
    </row>
    <row r="91" spans="1:9" x14ac:dyDescent="0.25">
      <c r="A91" s="8"/>
      <c r="B91" s="8"/>
      <c r="C91" s="9"/>
      <c r="D91" s="109"/>
      <c r="E91" s="11"/>
      <c r="F91" s="11"/>
      <c r="G91" s="13"/>
    </row>
    <row r="92" spans="1:9" x14ac:dyDescent="0.25">
      <c r="A92" s="8">
        <v>21</v>
      </c>
      <c r="B92" s="8" t="s">
        <v>155</v>
      </c>
      <c r="C92" s="8"/>
      <c r="D92" s="109">
        <v>150000</v>
      </c>
      <c r="E92" s="11" t="s">
        <v>25</v>
      </c>
      <c r="F92" s="149">
        <v>0.3</v>
      </c>
      <c r="G92" s="110">
        <f>+F92*1864</f>
        <v>559.19999999999993</v>
      </c>
    </row>
    <row r="93" spans="1:9" x14ac:dyDescent="0.25">
      <c r="A93" s="8"/>
      <c r="B93" s="8" t="s">
        <v>148</v>
      </c>
      <c r="C93" s="8"/>
      <c r="D93" s="109"/>
      <c r="E93" s="8"/>
      <c r="F93" s="8"/>
      <c r="G93" s="8"/>
      <c r="H93" s="8"/>
    </row>
    <row r="94" spans="1:9" x14ac:dyDescent="0.25">
      <c r="A94" s="8"/>
      <c r="B94" s="8" t="s">
        <v>149</v>
      </c>
      <c r="C94" s="8"/>
      <c r="D94" s="25"/>
      <c r="E94" s="25"/>
      <c r="F94" s="11"/>
      <c r="G94" s="25"/>
      <c r="H94" s="8"/>
    </row>
    <row r="95" spans="1:9" x14ac:dyDescent="0.25">
      <c r="A95" s="8"/>
      <c r="B95" s="8" t="s">
        <v>150</v>
      </c>
      <c r="C95" s="9"/>
      <c r="D95" s="8"/>
      <c r="E95" s="109"/>
      <c r="F95" s="33"/>
      <c r="G95" s="11"/>
      <c r="H95" s="110"/>
    </row>
    <row r="96" spans="1:9" x14ac:dyDescent="0.25">
      <c r="A96" s="8"/>
      <c r="B96" s="8" t="s">
        <v>151</v>
      </c>
      <c r="C96" s="9"/>
      <c r="D96" s="8"/>
      <c r="E96" s="109"/>
      <c r="F96" s="33"/>
      <c r="G96" s="161"/>
      <c r="H96" s="110"/>
    </row>
    <row r="97" spans="1:256" x14ac:dyDescent="0.25">
      <c r="A97" s="8"/>
      <c r="B97" s="8" t="s">
        <v>152</v>
      </c>
      <c r="C97" s="9"/>
      <c r="D97" s="8"/>
      <c r="E97" s="109"/>
      <c r="F97" s="33"/>
      <c r="G97" s="11"/>
      <c r="H97" s="110"/>
    </row>
    <row r="98" spans="1:256" x14ac:dyDescent="0.25">
      <c r="A98" s="8"/>
      <c r="B98" s="8" t="s">
        <v>153</v>
      </c>
      <c r="C98" s="9"/>
      <c r="D98" s="8"/>
      <c r="E98" s="109"/>
      <c r="F98" s="33"/>
      <c r="G98" s="161"/>
      <c r="H98" s="110"/>
    </row>
    <row r="99" spans="1:256" x14ac:dyDescent="0.25">
      <c r="A99" s="45"/>
      <c r="B99" s="163" t="s">
        <v>154</v>
      </c>
      <c r="C99" s="162"/>
      <c r="D99" s="162"/>
      <c r="E99" s="162"/>
      <c r="F99" s="33"/>
      <c r="G99" s="11"/>
      <c r="H99" s="110"/>
    </row>
    <row r="101" spans="1:256" x14ac:dyDescent="0.25">
      <c r="A101" s="132"/>
      <c r="B101" s="132"/>
      <c r="C101" s="132"/>
      <c r="D101" s="145"/>
      <c r="E101" s="132"/>
      <c r="F101" s="132"/>
      <c r="G101" s="132"/>
      <c r="H101" s="132"/>
    </row>
    <row r="102" spans="1:256" s="8" customFormat="1" ht="15" x14ac:dyDescent="0.25">
      <c r="A102" s="8">
        <v>16</v>
      </c>
      <c r="B102" s="8" t="s">
        <v>27</v>
      </c>
      <c r="C102" s="9"/>
      <c r="D102" s="33"/>
      <c r="E102" s="11"/>
      <c r="F102" s="31"/>
      <c r="G102" s="13">
        <v>20</v>
      </c>
    </row>
    <row r="103" spans="1:256" s="8" customFormat="1" ht="15" x14ac:dyDescent="0.25">
      <c r="B103" s="8" t="s">
        <v>28</v>
      </c>
      <c r="D103" s="25"/>
      <c r="E103" s="11"/>
      <c r="F103" s="31"/>
      <c r="G103" s="13"/>
    </row>
    <row r="104" spans="1:256" s="8" customFormat="1" ht="15" x14ac:dyDescent="0.25">
      <c r="A104" s="29"/>
      <c r="B104" s="29"/>
      <c r="C104" s="18"/>
      <c r="D104" s="144"/>
      <c r="E104" s="21"/>
      <c r="F104" s="21"/>
      <c r="G104" s="35"/>
    </row>
    <row r="105" spans="1:256" s="8" customFormat="1" ht="15" x14ac:dyDescent="0.25">
      <c r="A105" s="7"/>
      <c r="B105" s="7"/>
      <c r="D105" s="9" t="s">
        <v>29</v>
      </c>
      <c r="E105" s="7"/>
      <c r="F105" s="25"/>
      <c r="G105" s="13">
        <f>SUM(G24:G104)</f>
        <v>16119.445000000002</v>
      </c>
    </row>
    <row r="106" spans="1:256" s="8" customFormat="1" ht="15" x14ac:dyDescent="0.25">
      <c r="D106" s="11" t="s">
        <v>30</v>
      </c>
      <c r="E106" s="7"/>
      <c r="F106" s="25"/>
      <c r="G106" s="13">
        <f>+G105*0.19</f>
        <v>3062.6945500000002</v>
      </c>
    </row>
    <row r="107" spans="1:256" s="8" customFormat="1" ht="22.5" customHeight="1" thickBot="1" x14ac:dyDescent="0.3">
      <c r="D107" s="39" t="s">
        <v>31</v>
      </c>
      <c r="E107" s="38"/>
      <c r="F107" s="39"/>
      <c r="G107" s="40">
        <f>SUM(G105:G106)</f>
        <v>19182.13955</v>
      </c>
      <c r="H107" s="13">
        <f>+G107-'[1]EGF 2023'!G42</f>
        <v>17925.975549999999</v>
      </c>
    </row>
    <row r="108" spans="1:256" ht="16.5" thickTop="1" x14ac:dyDescent="0.25">
      <c r="A108" s="8"/>
      <c r="B108" s="8"/>
      <c r="C108" s="8"/>
      <c r="D108" s="25"/>
      <c r="E108" s="11"/>
      <c r="F108" s="25"/>
      <c r="G108" s="13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</row>
    <row r="109" spans="1:256" ht="21" customHeight="1" x14ac:dyDescent="0.25">
      <c r="A109" s="8" t="s">
        <v>114</v>
      </c>
      <c r="B109" s="8"/>
      <c r="C109" s="8"/>
      <c r="D109" s="11"/>
      <c r="E109" s="22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</row>
    <row r="110" spans="1:256" x14ac:dyDescent="0.25">
      <c r="A110" s="8"/>
      <c r="B110" s="7"/>
      <c r="C110" s="8"/>
      <c r="D110" s="11"/>
      <c r="E110" s="22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</row>
    <row r="111" spans="1:256" x14ac:dyDescent="0.25">
      <c r="A111" s="8"/>
      <c r="B111" s="8"/>
      <c r="C111" s="8"/>
      <c r="D111" s="11"/>
      <c r="E111" s="22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</row>
    <row r="112" spans="1:256" x14ac:dyDescent="0.25">
      <c r="A112" s="8"/>
      <c r="B112" s="8"/>
      <c r="C112" s="8"/>
      <c r="D112" s="11"/>
      <c r="E112" s="22"/>
      <c r="F112" s="8"/>
      <c r="G112" s="8"/>
      <c r="H112" s="8"/>
    </row>
    <row r="113" spans="1:8" x14ac:dyDescent="0.25">
      <c r="A113" s="8"/>
      <c r="B113" s="8"/>
      <c r="C113" s="8"/>
      <c r="D113" s="11"/>
      <c r="E113" s="22"/>
      <c r="F113" s="8"/>
      <c r="G113" s="8"/>
      <c r="H113" s="8"/>
    </row>
    <row r="114" spans="1:8" x14ac:dyDescent="0.25">
      <c r="B114" s="29"/>
      <c r="D114" s="153"/>
      <c r="E114" s="6"/>
      <c r="F114" s="6"/>
    </row>
    <row r="117" spans="1:8" x14ac:dyDescent="0.25">
      <c r="A117" s="170" t="s">
        <v>32</v>
      </c>
      <c r="B117" s="170"/>
      <c r="C117" s="170"/>
      <c r="D117" s="170"/>
      <c r="E117" s="170"/>
      <c r="F117" s="170"/>
      <c r="G117" s="170"/>
    </row>
  </sheetData>
  <mergeCells count="12">
    <mergeCell ref="F10:G10"/>
    <mergeCell ref="D7:E7"/>
    <mergeCell ref="F7:G7"/>
    <mergeCell ref="D8:E8"/>
    <mergeCell ref="F8:G8"/>
    <mergeCell ref="D9:E9"/>
    <mergeCell ref="F9:G9"/>
    <mergeCell ref="E80:E81"/>
    <mergeCell ref="E11:G11"/>
    <mergeCell ref="E12:G12"/>
    <mergeCell ref="A17:G17"/>
    <mergeCell ref="A117:G1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8F70-C81A-4918-AE88-BBD631754D81}">
  <dimension ref="A5:S52"/>
  <sheetViews>
    <sheetView topLeftCell="A16" workbookViewId="0">
      <selection activeCell="A44" sqref="A44"/>
    </sheetView>
  </sheetViews>
  <sheetFormatPr baseColWidth="10" defaultColWidth="11.5703125" defaultRowHeight="15.75" x14ac:dyDescent="0.25"/>
  <cols>
    <col min="1" max="1" width="3.5703125" style="52" customWidth="1"/>
    <col min="2" max="2" width="30.5703125" style="52" customWidth="1"/>
    <col min="3" max="3" width="10.140625" style="52" customWidth="1"/>
    <col min="4" max="4" width="3" style="49" customWidth="1"/>
    <col min="5" max="5" width="13" style="50" bestFit="1" customWidth="1"/>
    <col min="6" max="6" width="7" style="51" customWidth="1"/>
    <col min="7" max="7" width="9.140625" style="52" customWidth="1"/>
    <col min="8" max="8" width="10.7109375" style="52" bestFit="1" customWidth="1"/>
    <col min="9" max="9" width="1.140625" style="52" customWidth="1"/>
    <col min="10" max="256" width="11.5703125" style="52"/>
    <col min="257" max="257" width="3.5703125" style="52" customWidth="1"/>
    <col min="258" max="258" width="30.5703125" style="52" customWidth="1"/>
    <col min="259" max="259" width="10.140625" style="52" customWidth="1"/>
    <col min="260" max="260" width="3" style="52" customWidth="1"/>
    <col min="261" max="261" width="13" style="52" bestFit="1" customWidth="1"/>
    <col min="262" max="262" width="7" style="52" customWidth="1"/>
    <col min="263" max="263" width="9.140625" style="52" customWidth="1"/>
    <col min="264" max="264" width="10.7109375" style="52" bestFit="1" customWidth="1"/>
    <col min="265" max="265" width="1.140625" style="52" customWidth="1"/>
    <col min="266" max="512" width="11.5703125" style="52"/>
    <col min="513" max="513" width="3.5703125" style="52" customWidth="1"/>
    <col min="514" max="514" width="30.5703125" style="52" customWidth="1"/>
    <col min="515" max="515" width="10.140625" style="52" customWidth="1"/>
    <col min="516" max="516" width="3" style="52" customWidth="1"/>
    <col min="517" max="517" width="13" style="52" bestFit="1" customWidth="1"/>
    <col min="518" max="518" width="7" style="52" customWidth="1"/>
    <col min="519" max="519" width="9.140625" style="52" customWidth="1"/>
    <col min="520" max="520" width="10.7109375" style="52" bestFit="1" customWidth="1"/>
    <col min="521" max="521" width="1.140625" style="52" customWidth="1"/>
    <col min="522" max="768" width="11.5703125" style="52"/>
    <col min="769" max="769" width="3.5703125" style="52" customWidth="1"/>
    <col min="770" max="770" width="30.5703125" style="52" customWidth="1"/>
    <col min="771" max="771" width="10.140625" style="52" customWidth="1"/>
    <col min="772" max="772" width="3" style="52" customWidth="1"/>
    <col min="773" max="773" width="13" style="52" bestFit="1" customWidth="1"/>
    <col min="774" max="774" width="7" style="52" customWidth="1"/>
    <col min="775" max="775" width="9.140625" style="52" customWidth="1"/>
    <col min="776" max="776" width="10.7109375" style="52" bestFit="1" customWidth="1"/>
    <col min="777" max="777" width="1.140625" style="52" customWidth="1"/>
    <col min="778" max="1024" width="11.5703125" style="52"/>
    <col min="1025" max="1025" width="3.5703125" style="52" customWidth="1"/>
    <col min="1026" max="1026" width="30.5703125" style="52" customWidth="1"/>
    <col min="1027" max="1027" width="10.140625" style="52" customWidth="1"/>
    <col min="1028" max="1028" width="3" style="52" customWidth="1"/>
    <col min="1029" max="1029" width="13" style="52" bestFit="1" customWidth="1"/>
    <col min="1030" max="1030" width="7" style="52" customWidth="1"/>
    <col min="1031" max="1031" width="9.140625" style="52" customWidth="1"/>
    <col min="1032" max="1032" width="10.7109375" style="52" bestFit="1" customWidth="1"/>
    <col min="1033" max="1033" width="1.140625" style="52" customWidth="1"/>
    <col min="1034" max="1280" width="11.5703125" style="52"/>
    <col min="1281" max="1281" width="3.5703125" style="52" customWidth="1"/>
    <col min="1282" max="1282" width="30.5703125" style="52" customWidth="1"/>
    <col min="1283" max="1283" width="10.140625" style="52" customWidth="1"/>
    <col min="1284" max="1284" width="3" style="52" customWidth="1"/>
    <col min="1285" max="1285" width="13" style="52" bestFit="1" customWidth="1"/>
    <col min="1286" max="1286" width="7" style="52" customWidth="1"/>
    <col min="1287" max="1287" width="9.140625" style="52" customWidth="1"/>
    <col min="1288" max="1288" width="10.7109375" style="52" bestFit="1" customWidth="1"/>
    <col min="1289" max="1289" width="1.140625" style="52" customWidth="1"/>
    <col min="1290" max="1536" width="11.5703125" style="52"/>
    <col min="1537" max="1537" width="3.5703125" style="52" customWidth="1"/>
    <col min="1538" max="1538" width="30.5703125" style="52" customWidth="1"/>
    <col min="1539" max="1539" width="10.140625" style="52" customWidth="1"/>
    <col min="1540" max="1540" width="3" style="52" customWidth="1"/>
    <col min="1541" max="1541" width="13" style="52" bestFit="1" customWidth="1"/>
    <col min="1542" max="1542" width="7" style="52" customWidth="1"/>
    <col min="1543" max="1543" width="9.140625" style="52" customWidth="1"/>
    <col min="1544" max="1544" width="10.7109375" style="52" bestFit="1" customWidth="1"/>
    <col min="1545" max="1545" width="1.140625" style="52" customWidth="1"/>
    <col min="1546" max="1792" width="11.5703125" style="52"/>
    <col min="1793" max="1793" width="3.5703125" style="52" customWidth="1"/>
    <col min="1794" max="1794" width="30.5703125" style="52" customWidth="1"/>
    <col min="1795" max="1795" width="10.140625" style="52" customWidth="1"/>
    <col min="1796" max="1796" width="3" style="52" customWidth="1"/>
    <col min="1797" max="1797" width="13" style="52" bestFit="1" customWidth="1"/>
    <col min="1798" max="1798" width="7" style="52" customWidth="1"/>
    <col min="1799" max="1799" width="9.140625" style="52" customWidth="1"/>
    <col min="1800" max="1800" width="10.7109375" style="52" bestFit="1" customWidth="1"/>
    <col min="1801" max="1801" width="1.140625" style="52" customWidth="1"/>
    <col min="1802" max="2048" width="11.5703125" style="52"/>
    <col min="2049" max="2049" width="3.5703125" style="52" customWidth="1"/>
    <col min="2050" max="2050" width="30.5703125" style="52" customWidth="1"/>
    <col min="2051" max="2051" width="10.140625" style="52" customWidth="1"/>
    <col min="2052" max="2052" width="3" style="52" customWidth="1"/>
    <col min="2053" max="2053" width="13" style="52" bestFit="1" customWidth="1"/>
    <col min="2054" max="2054" width="7" style="52" customWidth="1"/>
    <col min="2055" max="2055" width="9.140625" style="52" customWidth="1"/>
    <col min="2056" max="2056" width="10.7109375" style="52" bestFit="1" customWidth="1"/>
    <col min="2057" max="2057" width="1.140625" style="52" customWidth="1"/>
    <col min="2058" max="2304" width="11.5703125" style="52"/>
    <col min="2305" max="2305" width="3.5703125" style="52" customWidth="1"/>
    <col min="2306" max="2306" width="30.5703125" style="52" customWidth="1"/>
    <col min="2307" max="2307" width="10.140625" style="52" customWidth="1"/>
    <col min="2308" max="2308" width="3" style="52" customWidth="1"/>
    <col min="2309" max="2309" width="13" style="52" bestFit="1" customWidth="1"/>
    <col min="2310" max="2310" width="7" style="52" customWidth="1"/>
    <col min="2311" max="2311" width="9.140625" style="52" customWidth="1"/>
    <col min="2312" max="2312" width="10.7109375" style="52" bestFit="1" customWidth="1"/>
    <col min="2313" max="2313" width="1.140625" style="52" customWidth="1"/>
    <col min="2314" max="2560" width="11.5703125" style="52"/>
    <col min="2561" max="2561" width="3.5703125" style="52" customWidth="1"/>
    <col min="2562" max="2562" width="30.5703125" style="52" customWidth="1"/>
    <col min="2563" max="2563" width="10.140625" style="52" customWidth="1"/>
    <col min="2564" max="2564" width="3" style="52" customWidth="1"/>
    <col min="2565" max="2565" width="13" style="52" bestFit="1" customWidth="1"/>
    <col min="2566" max="2566" width="7" style="52" customWidth="1"/>
    <col min="2567" max="2567" width="9.140625" style="52" customWidth="1"/>
    <col min="2568" max="2568" width="10.7109375" style="52" bestFit="1" customWidth="1"/>
    <col min="2569" max="2569" width="1.140625" style="52" customWidth="1"/>
    <col min="2570" max="2816" width="11.5703125" style="52"/>
    <col min="2817" max="2817" width="3.5703125" style="52" customWidth="1"/>
    <col min="2818" max="2818" width="30.5703125" style="52" customWidth="1"/>
    <col min="2819" max="2819" width="10.140625" style="52" customWidth="1"/>
    <col min="2820" max="2820" width="3" style="52" customWidth="1"/>
    <col min="2821" max="2821" width="13" style="52" bestFit="1" customWidth="1"/>
    <col min="2822" max="2822" width="7" style="52" customWidth="1"/>
    <col min="2823" max="2823" width="9.140625" style="52" customWidth="1"/>
    <col min="2824" max="2824" width="10.7109375" style="52" bestFit="1" customWidth="1"/>
    <col min="2825" max="2825" width="1.140625" style="52" customWidth="1"/>
    <col min="2826" max="3072" width="11.5703125" style="52"/>
    <col min="3073" max="3073" width="3.5703125" style="52" customWidth="1"/>
    <col min="3074" max="3074" width="30.5703125" style="52" customWidth="1"/>
    <col min="3075" max="3075" width="10.140625" style="52" customWidth="1"/>
    <col min="3076" max="3076" width="3" style="52" customWidth="1"/>
    <col min="3077" max="3077" width="13" style="52" bestFit="1" customWidth="1"/>
    <col min="3078" max="3078" width="7" style="52" customWidth="1"/>
    <col min="3079" max="3079" width="9.140625" style="52" customWidth="1"/>
    <col min="3080" max="3080" width="10.7109375" style="52" bestFit="1" customWidth="1"/>
    <col min="3081" max="3081" width="1.140625" style="52" customWidth="1"/>
    <col min="3082" max="3328" width="11.5703125" style="52"/>
    <col min="3329" max="3329" width="3.5703125" style="52" customWidth="1"/>
    <col min="3330" max="3330" width="30.5703125" style="52" customWidth="1"/>
    <col min="3331" max="3331" width="10.140625" style="52" customWidth="1"/>
    <col min="3332" max="3332" width="3" style="52" customWidth="1"/>
    <col min="3333" max="3333" width="13" style="52" bestFit="1" customWidth="1"/>
    <col min="3334" max="3334" width="7" style="52" customWidth="1"/>
    <col min="3335" max="3335" width="9.140625" style="52" customWidth="1"/>
    <col min="3336" max="3336" width="10.7109375" style="52" bestFit="1" customWidth="1"/>
    <col min="3337" max="3337" width="1.140625" style="52" customWidth="1"/>
    <col min="3338" max="3584" width="11.5703125" style="52"/>
    <col min="3585" max="3585" width="3.5703125" style="52" customWidth="1"/>
    <col min="3586" max="3586" width="30.5703125" style="52" customWidth="1"/>
    <col min="3587" max="3587" width="10.140625" style="52" customWidth="1"/>
    <col min="3588" max="3588" width="3" style="52" customWidth="1"/>
    <col min="3589" max="3589" width="13" style="52" bestFit="1" customWidth="1"/>
    <col min="3590" max="3590" width="7" style="52" customWidth="1"/>
    <col min="3591" max="3591" width="9.140625" style="52" customWidth="1"/>
    <col min="3592" max="3592" width="10.7109375" style="52" bestFit="1" customWidth="1"/>
    <col min="3593" max="3593" width="1.140625" style="52" customWidth="1"/>
    <col min="3594" max="3840" width="11.5703125" style="52"/>
    <col min="3841" max="3841" width="3.5703125" style="52" customWidth="1"/>
    <col min="3842" max="3842" width="30.5703125" style="52" customWidth="1"/>
    <col min="3843" max="3843" width="10.140625" style="52" customWidth="1"/>
    <col min="3844" max="3844" width="3" style="52" customWidth="1"/>
    <col min="3845" max="3845" width="13" style="52" bestFit="1" customWidth="1"/>
    <col min="3846" max="3846" width="7" style="52" customWidth="1"/>
    <col min="3847" max="3847" width="9.140625" style="52" customWidth="1"/>
    <col min="3848" max="3848" width="10.7109375" style="52" bestFit="1" customWidth="1"/>
    <col min="3849" max="3849" width="1.140625" style="52" customWidth="1"/>
    <col min="3850" max="4096" width="11.5703125" style="52"/>
    <col min="4097" max="4097" width="3.5703125" style="52" customWidth="1"/>
    <col min="4098" max="4098" width="30.5703125" style="52" customWidth="1"/>
    <col min="4099" max="4099" width="10.140625" style="52" customWidth="1"/>
    <col min="4100" max="4100" width="3" style="52" customWidth="1"/>
    <col min="4101" max="4101" width="13" style="52" bestFit="1" customWidth="1"/>
    <col min="4102" max="4102" width="7" style="52" customWidth="1"/>
    <col min="4103" max="4103" width="9.140625" style="52" customWidth="1"/>
    <col min="4104" max="4104" width="10.7109375" style="52" bestFit="1" customWidth="1"/>
    <col min="4105" max="4105" width="1.140625" style="52" customWidth="1"/>
    <col min="4106" max="4352" width="11.5703125" style="52"/>
    <col min="4353" max="4353" width="3.5703125" style="52" customWidth="1"/>
    <col min="4354" max="4354" width="30.5703125" style="52" customWidth="1"/>
    <col min="4355" max="4355" width="10.140625" style="52" customWidth="1"/>
    <col min="4356" max="4356" width="3" style="52" customWidth="1"/>
    <col min="4357" max="4357" width="13" style="52" bestFit="1" customWidth="1"/>
    <col min="4358" max="4358" width="7" style="52" customWidth="1"/>
    <col min="4359" max="4359" width="9.140625" style="52" customWidth="1"/>
    <col min="4360" max="4360" width="10.7109375" style="52" bestFit="1" customWidth="1"/>
    <col min="4361" max="4361" width="1.140625" style="52" customWidth="1"/>
    <col min="4362" max="4608" width="11.5703125" style="52"/>
    <col min="4609" max="4609" width="3.5703125" style="52" customWidth="1"/>
    <col min="4610" max="4610" width="30.5703125" style="52" customWidth="1"/>
    <col min="4611" max="4611" width="10.140625" style="52" customWidth="1"/>
    <col min="4612" max="4612" width="3" style="52" customWidth="1"/>
    <col min="4613" max="4613" width="13" style="52" bestFit="1" customWidth="1"/>
    <col min="4614" max="4614" width="7" style="52" customWidth="1"/>
    <col min="4615" max="4615" width="9.140625" style="52" customWidth="1"/>
    <col min="4616" max="4616" width="10.7109375" style="52" bestFit="1" customWidth="1"/>
    <col min="4617" max="4617" width="1.140625" style="52" customWidth="1"/>
    <col min="4618" max="4864" width="11.5703125" style="52"/>
    <col min="4865" max="4865" width="3.5703125" style="52" customWidth="1"/>
    <col min="4866" max="4866" width="30.5703125" style="52" customWidth="1"/>
    <col min="4867" max="4867" width="10.140625" style="52" customWidth="1"/>
    <col min="4868" max="4868" width="3" style="52" customWidth="1"/>
    <col min="4869" max="4869" width="13" style="52" bestFit="1" customWidth="1"/>
    <col min="4870" max="4870" width="7" style="52" customWidth="1"/>
    <col min="4871" max="4871" width="9.140625" style="52" customWidth="1"/>
    <col min="4872" max="4872" width="10.7109375" style="52" bestFit="1" customWidth="1"/>
    <col min="4873" max="4873" width="1.140625" style="52" customWidth="1"/>
    <col min="4874" max="5120" width="11.5703125" style="52"/>
    <col min="5121" max="5121" width="3.5703125" style="52" customWidth="1"/>
    <col min="5122" max="5122" width="30.5703125" style="52" customWidth="1"/>
    <col min="5123" max="5123" width="10.140625" style="52" customWidth="1"/>
    <col min="5124" max="5124" width="3" style="52" customWidth="1"/>
    <col min="5125" max="5125" width="13" style="52" bestFit="1" customWidth="1"/>
    <col min="5126" max="5126" width="7" style="52" customWidth="1"/>
    <col min="5127" max="5127" width="9.140625" style="52" customWidth="1"/>
    <col min="5128" max="5128" width="10.7109375" style="52" bestFit="1" customWidth="1"/>
    <col min="5129" max="5129" width="1.140625" style="52" customWidth="1"/>
    <col min="5130" max="5376" width="11.5703125" style="52"/>
    <col min="5377" max="5377" width="3.5703125" style="52" customWidth="1"/>
    <col min="5378" max="5378" width="30.5703125" style="52" customWidth="1"/>
    <col min="5379" max="5379" width="10.140625" style="52" customWidth="1"/>
    <col min="5380" max="5380" width="3" style="52" customWidth="1"/>
    <col min="5381" max="5381" width="13" style="52" bestFit="1" customWidth="1"/>
    <col min="5382" max="5382" width="7" style="52" customWidth="1"/>
    <col min="5383" max="5383" width="9.140625" style="52" customWidth="1"/>
    <col min="5384" max="5384" width="10.7109375" style="52" bestFit="1" customWidth="1"/>
    <col min="5385" max="5385" width="1.140625" style="52" customWidth="1"/>
    <col min="5386" max="5632" width="11.5703125" style="52"/>
    <col min="5633" max="5633" width="3.5703125" style="52" customWidth="1"/>
    <col min="5634" max="5634" width="30.5703125" style="52" customWidth="1"/>
    <col min="5635" max="5635" width="10.140625" style="52" customWidth="1"/>
    <col min="5636" max="5636" width="3" style="52" customWidth="1"/>
    <col min="5637" max="5637" width="13" style="52" bestFit="1" customWidth="1"/>
    <col min="5638" max="5638" width="7" style="52" customWidth="1"/>
    <col min="5639" max="5639" width="9.140625" style="52" customWidth="1"/>
    <col min="5640" max="5640" width="10.7109375" style="52" bestFit="1" customWidth="1"/>
    <col min="5641" max="5641" width="1.140625" style="52" customWidth="1"/>
    <col min="5642" max="5888" width="11.5703125" style="52"/>
    <col min="5889" max="5889" width="3.5703125" style="52" customWidth="1"/>
    <col min="5890" max="5890" width="30.5703125" style="52" customWidth="1"/>
    <col min="5891" max="5891" width="10.140625" style="52" customWidth="1"/>
    <col min="5892" max="5892" width="3" style="52" customWidth="1"/>
    <col min="5893" max="5893" width="13" style="52" bestFit="1" customWidth="1"/>
    <col min="5894" max="5894" width="7" style="52" customWidth="1"/>
    <col min="5895" max="5895" width="9.140625" style="52" customWidth="1"/>
    <col min="5896" max="5896" width="10.7109375" style="52" bestFit="1" customWidth="1"/>
    <col min="5897" max="5897" width="1.140625" style="52" customWidth="1"/>
    <col min="5898" max="6144" width="11.5703125" style="52"/>
    <col min="6145" max="6145" width="3.5703125" style="52" customWidth="1"/>
    <col min="6146" max="6146" width="30.5703125" style="52" customWidth="1"/>
    <col min="6147" max="6147" width="10.140625" style="52" customWidth="1"/>
    <col min="6148" max="6148" width="3" style="52" customWidth="1"/>
    <col min="6149" max="6149" width="13" style="52" bestFit="1" customWidth="1"/>
    <col min="6150" max="6150" width="7" style="52" customWidth="1"/>
    <col min="6151" max="6151" width="9.140625" style="52" customWidth="1"/>
    <col min="6152" max="6152" width="10.7109375" style="52" bestFit="1" customWidth="1"/>
    <col min="6153" max="6153" width="1.140625" style="52" customWidth="1"/>
    <col min="6154" max="6400" width="11.5703125" style="52"/>
    <col min="6401" max="6401" width="3.5703125" style="52" customWidth="1"/>
    <col min="6402" max="6402" width="30.5703125" style="52" customWidth="1"/>
    <col min="6403" max="6403" width="10.140625" style="52" customWidth="1"/>
    <col min="6404" max="6404" width="3" style="52" customWidth="1"/>
    <col min="6405" max="6405" width="13" style="52" bestFit="1" customWidth="1"/>
    <col min="6406" max="6406" width="7" style="52" customWidth="1"/>
    <col min="6407" max="6407" width="9.140625" style="52" customWidth="1"/>
    <col min="6408" max="6408" width="10.7109375" style="52" bestFit="1" customWidth="1"/>
    <col min="6409" max="6409" width="1.140625" style="52" customWidth="1"/>
    <col min="6410" max="6656" width="11.5703125" style="52"/>
    <col min="6657" max="6657" width="3.5703125" style="52" customWidth="1"/>
    <col min="6658" max="6658" width="30.5703125" style="52" customWidth="1"/>
    <col min="6659" max="6659" width="10.140625" style="52" customWidth="1"/>
    <col min="6660" max="6660" width="3" style="52" customWidth="1"/>
    <col min="6661" max="6661" width="13" style="52" bestFit="1" customWidth="1"/>
    <col min="6662" max="6662" width="7" style="52" customWidth="1"/>
    <col min="6663" max="6663" width="9.140625" style="52" customWidth="1"/>
    <col min="6664" max="6664" width="10.7109375" style="52" bestFit="1" customWidth="1"/>
    <col min="6665" max="6665" width="1.140625" style="52" customWidth="1"/>
    <col min="6666" max="6912" width="11.5703125" style="52"/>
    <col min="6913" max="6913" width="3.5703125" style="52" customWidth="1"/>
    <col min="6914" max="6914" width="30.5703125" style="52" customWidth="1"/>
    <col min="6915" max="6915" width="10.140625" style="52" customWidth="1"/>
    <col min="6916" max="6916" width="3" style="52" customWidth="1"/>
    <col min="6917" max="6917" width="13" style="52" bestFit="1" customWidth="1"/>
    <col min="6918" max="6918" width="7" style="52" customWidth="1"/>
    <col min="6919" max="6919" width="9.140625" style="52" customWidth="1"/>
    <col min="6920" max="6920" width="10.7109375" style="52" bestFit="1" customWidth="1"/>
    <col min="6921" max="6921" width="1.140625" style="52" customWidth="1"/>
    <col min="6922" max="7168" width="11.5703125" style="52"/>
    <col min="7169" max="7169" width="3.5703125" style="52" customWidth="1"/>
    <col min="7170" max="7170" width="30.5703125" style="52" customWidth="1"/>
    <col min="7171" max="7171" width="10.140625" style="52" customWidth="1"/>
    <col min="7172" max="7172" width="3" style="52" customWidth="1"/>
    <col min="7173" max="7173" width="13" style="52" bestFit="1" customWidth="1"/>
    <col min="7174" max="7174" width="7" style="52" customWidth="1"/>
    <col min="7175" max="7175" width="9.140625" style="52" customWidth="1"/>
    <col min="7176" max="7176" width="10.7109375" style="52" bestFit="1" customWidth="1"/>
    <col min="7177" max="7177" width="1.140625" style="52" customWidth="1"/>
    <col min="7178" max="7424" width="11.5703125" style="52"/>
    <col min="7425" max="7425" width="3.5703125" style="52" customWidth="1"/>
    <col min="7426" max="7426" width="30.5703125" style="52" customWidth="1"/>
    <col min="7427" max="7427" width="10.140625" style="52" customWidth="1"/>
    <col min="7428" max="7428" width="3" style="52" customWidth="1"/>
    <col min="7429" max="7429" width="13" style="52" bestFit="1" customWidth="1"/>
    <col min="7430" max="7430" width="7" style="52" customWidth="1"/>
    <col min="7431" max="7431" width="9.140625" style="52" customWidth="1"/>
    <col min="7432" max="7432" width="10.7109375" style="52" bestFit="1" customWidth="1"/>
    <col min="7433" max="7433" width="1.140625" style="52" customWidth="1"/>
    <col min="7434" max="7680" width="11.5703125" style="52"/>
    <col min="7681" max="7681" width="3.5703125" style="52" customWidth="1"/>
    <col min="7682" max="7682" width="30.5703125" style="52" customWidth="1"/>
    <col min="7683" max="7683" width="10.140625" style="52" customWidth="1"/>
    <col min="7684" max="7684" width="3" style="52" customWidth="1"/>
    <col min="7685" max="7685" width="13" style="52" bestFit="1" customWidth="1"/>
    <col min="7686" max="7686" width="7" style="52" customWidth="1"/>
    <col min="7687" max="7687" width="9.140625" style="52" customWidth="1"/>
    <col min="7688" max="7688" width="10.7109375" style="52" bestFit="1" customWidth="1"/>
    <col min="7689" max="7689" width="1.140625" style="52" customWidth="1"/>
    <col min="7690" max="7936" width="11.5703125" style="52"/>
    <col min="7937" max="7937" width="3.5703125" style="52" customWidth="1"/>
    <col min="7938" max="7938" width="30.5703125" style="52" customWidth="1"/>
    <col min="7939" max="7939" width="10.140625" style="52" customWidth="1"/>
    <col min="7940" max="7940" width="3" style="52" customWidth="1"/>
    <col min="7941" max="7941" width="13" style="52" bestFit="1" customWidth="1"/>
    <col min="7942" max="7942" width="7" style="52" customWidth="1"/>
    <col min="7943" max="7943" width="9.140625" style="52" customWidth="1"/>
    <col min="7944" max="7944" width="10.7109375" style="52" bestFit="1" customWidth="1"/>
    <col min="7945" max="7945" width="1.140625" style="52" customWidth="1"/>
    <col min="7946" max="8192" width="11.5703125" style="52"/>
    <col min="8193" max="8193" width="3.5703125" style="52" customWidth="1"/>
    <col min="8194" max="8194" width="30.5703125" style="52" customWidth="1"/>
    <col min="8195" max="8195" width="10.140625" style="52" customWidth="1"/>
    <col min="8196" max="8196" width="3" style="52" customWidth="1"/>
    <col min="8197" max="8197" width="13" style="52" bestFit="1" customWidth="1"/>
    <col min="8198" max="8198" width="7" style="52" customWidth="1"/>
    <col min="8199" max="8199" width="9.140625" style="52" customWidth="1"/>
    <col min="8200" max="8200" width="10.7109375" style="52" bestFit="1" customWidth="1"/>
    <col min="8201" max="8201" width="1.140625" style="52" customWidth="1"/>
    <col min="8202" max="8448" width="11.5703125" style="52"/>
    <col min="8449" max="8449" width="3.5703125" style="52" customWidth="1"/>
    <col min="8450" max="8450" width="30.5703125" style="52" customWidth="1"/>
    <col min="8451" max="8451" width="10.140625" style="52" customWidth="1"/>
    <col min="8452" max="8452" width="3" style="52" customWidth="1"/>
    <col min="8453" max="8453" width="13" style="52" bestFit="1" customWidth="1"/>
    <col min="8454" max="8454" width="7" style="52" customWidth="1"/>
    <col min="8455" max="8455" width="9.140625" style="52" customWidth="1"/>
    <col min="8456" max="8456" width="10.7109375" style="52" bestFit="1" customWidth="1"/>
    <col min="8457" max="8457" width="1.140625" style="52" customWidth="1"/>
    <col min="8458" max="8704" width="11.5703125" style="52"/>
    <col min="8705" max="8705" width="3.5703125" style="52" customWidth="1"/>
    <col min="8706" max="8706" width="30.5703125" style="52" customWidth="1"/>
    <col min="8707" max="8707" width="10.140625" style="52" customWidth="1"/>
    <col min="8708" max="8708" width="3" style="52" customWidth="1"/>
    <col min="8709" max="8709" width="13" style="52" bestFit="1" customWidth="1"/>
    <col min="8710" max="8710" width="7" style="52" customWidth="1"/>
    <col min="8711" max="8711" width="9.140625" style="52" customWidth="1"/>
    <col min="8712" max="8712" width="10.7109375" style="52" bestFit="1" customWidth="1"/>
    <col min="8713" max="8713" width="1.140625" style="52" customWidth="1"/>
    <col min="8714" max="8960" width="11.5703125" style="52"/>
    <col min="8961" max="8961" width="3.5703125" style="52" customWidth="1"/>
    <col min="8962" max="8962" width="30.5703125" style="52" customWidth="1"/>
    <col min="8963" max="8963" width="10.140625" style="52" customWidth="1"/>
    <col min="8964" max="8964" width="3" style="52" customWidth="1"/>
    <col min="8965" max="8965" width="13" style="52" bestFit="1" customWidth="1"/>
    <col min="8966" max="8966" width="7" style="52" customWidth="1"/>
    <col min="8967" max="8967" width="9.140625" style="52" customWidth="1"/>
    <col min="8968" max="8968" width="10.7109375" style="52" bestFit="1" customWidth="1"/>
    <col min="8969" max="8969" width="1.140625" style="52" customWidth="1"/>
    <col min="8970" max="9216" width="11.5703125" style="52"/>
    <col min="9217" max="9217" width="3.5703125" style="52" customWidth="1"/>
    <col min="9218" max="9218" width="30.5703125" style="52" customWidth="1"/>
    <col min="9219" max="9219" width="10.140625" style="52" customWidth="1"/>
    <col min="9220" max="9220" width="3" style="52" customWidth="1"/>
    <col min="9221" max="9221" width="13" style="52" bestFit="1" customWidth="1"/>
    <col min="9222" max="9222" width="7" style="52" customWidth="1"/>
    <col min="9223" max="9223" width="9.140625" style="52" customWidth="1"/>
    <col min="9224" max="9224" width="10.7109375" style="52" bestFit="1" customWidth="1"/>
    <col min="9225" max="9225" width="1.140625" style="52" customWidth="1"/>
    <col min="9226" max="9472" width="11.5703125" style="52"/>
    <col min="9473" max="9473" width="3.5703125" style="52" customWidth="1"/>
    <col min="9474" max="9474" width="30.5703125" style="52" customWidth="1"/>
    <col min="9475" max="9475" width="10.140625" style="52" customWidth="1"/>
    <col min="9476" max="9476" width="3" style="52" customWidth="1"/>
    <col min="9477" max="9477" width="13" style="52" bestFit="1" customWidth="1"/>
    <col min="9478" max="9478" width="7" style="52" customWidth="1"/>
    <col min="9479" max="9479" width="9.140625" style="52" customWidth="1"/>
    <col min="9480" max="9480" width="10.7109375" style="52" bestFit="1" customWidth="1"/>
    <col min="9481" max="9481" width="1.140625" style="52" customWidth="1"/>
    <col min="9482" max="9728" width="11.5703125" style="52"/>
    <col min="9729" max="9729" width="3.5703125" style="52" customWidth="1"/>
    <col min="9730" max="9730" width="30.5703125" style="52" customWidth="1"/>
    <col min="9731" max="9731" width="10.140625" style="52" customWidth="1"/>
    <col min="9732" max="9732" width="3" style="52" customWidth="1"/>
    <col min="9733" max="9733" width="13" style="52" bestFit="1" customWidth="1"/>
    <col min="9734" max="9734" width="7" style="52" customWidth="1"/>
    <col min="9735" max="9735" width="9.140625" style="52" customWidth="1"/>
    <col min="9736" max="9736" width="10.7109375" style="52" bestFit="1" customWidth="1"/>
    <col min="9737" max="9737" width="1.140625" style="52" customWidth="1"/>
    <col min="9738" max="9984" width="11.5703125" style="52"/>
    <col min="9985" max="9985" width="3.5703125" style="52" customWidth="1"/>
    <col min="9986" max="9986" width="30.5703125" style="52" customWidth="1"/>
    <col min="9987" max="9987" width="10.140625" style="52" customWidth="1"/>
    <col min="9988" max="9988" width="3" style="52" customWidth="1"/>
    <col min="9989" max="9989" width="13" style="52" bestFit="1" customWidth="1"/>
    <col min="9990" max="9990" width="7" style="52" customWidth="1"/>
    <col min="9991" max="9991" width="9.140625" style="52" customWidth="1"/>
    <col min="9992" max="9992" width="10.7109375" style="52" bestFit="1" customWidth="1"/>
    <col min="9993" max="9993" width="1.140625" style="52" customWidth="1"/>
    <col min="9994" max="10240" width="11.5703125" style="52"/>
    <col min="10241" max="10241" width="3.5703125" style="52" customWidth="1"/>
    <col min="10242" max="10242" width="30.5703125" style="52" customWidth="1"/>
    <col min="10243" max="10243" width="10.140625" style="52" customWidth="1"/>
    <col min="10244" max="10244" width="3" style="52" customWidth="1"/>
    <col min="10245" max="10245" width="13" style="52" bestFit="1" customWidth="1"/>
    <col min="10246" max="10246" width="7" style="52" customWidth="1"/>
    <col min="10247" max="10247" width="9.140625" style="52" customWidth="1"/>
    <col min="10248" max="10248" width="10.7109375" style="52" bestFit="1" customWidth="1"/>
    <col min="10249" max="10249" width="1.140625" style="52" customWidth="1"/>
    <col min="10250" max="10496" width="11.5703125" style="52"/>
    <col min="10497" max="10497" width="3.5703125" style="52" customWidth="1"/>
    <col min="10498" max="10498" width="30.5703125" style="52" customWidth="1"/>
    <col min="10499" max="10499" width="10.140625" style="52" customWidth="1"/>
    <col min="10500" max="10500" width="3" style="52" customWidth="1"/>
    <col min="10501" max="10501" width="13" style="52" bestFit="1" customWidth="1"/>
    <col min="10502" max="10502" width="7" style="52" customWidth="1"/>
    <col min="10503" max="10503" width="9.140625" style="52" customWidth="1"/>
    <col min="10504" max="10504" width="10.7109375" style="52" bestFit="1" customWidth="1"/>
    <col min="10505" max="10505" width="1.140625" style="52" customWidth="1"/>
    <col min="10506" max="10752" width="11.5703125" style="52"/>
    <col min="10753" max="10753" width="3.5703125" style="52" customWidth="1"/>
    <col min="10754" max="10754" width="30.5703125" style="52" customWidth="1"/>
    <col min="10755" max="10755" width="10.140625" style="52" customWidth="1"/>
    <col min="10756" max="10756" width="3" style="52" customWidth="1"/>
    <col min="10757" max="10757" width="13" style="52" bestFit="1" customWidth="1"/>
    <col min="10758" max="10758" width="7" style="52" customWidth="1"/>
    <col min="10759" max="10759" width="9.140625" style="52" customWidth="1"/>
    <col min="10760" max="10760" width="10.7109375" style="52" bestFit="1" customWidth="1"/>
    <col min="10761" max="10761" width="1.140625" style="52" customWidth="1"/>
    <col min="10762" max="11008" width="11.5703125" style="52"/>
    <col min="11009" max="11009" width="3.5703125" style="52" customWidth="1"/>
    <col min="11010" max="11010" width="30.5703125" style="52" customWidth="1"/>
    <col min="11011" max="11011" width="10.140625" style="52" customWidth="1"/>
    <col min="11012" max="11012" width="3" style="52" customWidth="1"/>
    <col min="11013" max="11013" width="13" style="52" bestFit="1" customWidth="1"/>
    <col min="11014" max="11014" width="7" style="52" customWidth="1"/>
    <col min="11015" max="11015" width="9.140625" style="52" customWidth="1"/>
    <col min="11016" max="11016" width="10.7109375" style="52" bestFit="1" customWidth="1"/>
    <col min="11017" max="11017" width="1.140625" style="52" customWidth="1"/>
    <col min="11018" max="11264" width="11.5703125" style="52"/>
    <col min="11265" max="11265" width="3.5703125" style="52" customWidth="1"/>
    <col min="11266" max="11266" width="30.5703125" style="52" customWidth="1"/>
    <col min="11267" max="11267" width="10.140625" style="52" customWidth="1"/>
    <col min="11268" max="11268" width="3" style="52" customWidth="1"/>
    <col min="11269" max="11269" width="13" style="52" bestFit="1" customWidth="1"/>
    <col min="11270" max="11270" width="7" style="52" customWidth="1"/>
    <col min="11271" max="11271" width="9.140625" style="52" customWidth="1"/>
    <col min="11272" max="11272" width="10.7109375" style="52" bestFit="1" customWidth="1"/>
    <col min="11273" max="11273" width="1.140625" style="52" customWidth="1"/>
    <col min="11274" max="11520" width="11.5703125" style="52"/>
    <col min="11521" max="11521" width="3.5703125" style="52" customWidth="1"/>
    <col min="11522" max="11522" width="30.5703125" style="52" customWidth="1"/>
    <col min="11523" max="11523" width="10.140625" style="52" customWidth="1"/>
    <col min="11524" max="11524" width="3" style="52" customWidth="1"/>
    <col min="11525" max="11525" width="13" style="52" bestFit="1" customWidth="1"/>
    <col min="11526" max="11526" width="7" style="52" customWidth="1"/>
    <col min="11527" max="11527" width="9.140625" style="52" customWidth="1"/>
    <col min="11528" max="11528" width="10.7109375" style="52" bestFit="1" customWidth="1"/>
    <col min="11529" max="11529" width="1.140625" style="52" customWidth="1"/>
    <col min="11530" max="11776" width="11.5703125" style="52"/>
    <col min="11777" max="11777" width="3.5703125" style="52" customWidth="1"/>
    <col min="11778" max="11778" width="30.5703125" style="52" customWidth="1"/>
    <col min="11779" max="11779" width="10.140625" style="52" customWidth="1"/>
    <col min="11780" max="11780" width="3" style="52" customWidth="1"/>
    <col min="11781" max="11781" width="13" style="52" bestFit="1" customWidth="1"/>
    <col min="11782" max="11782" width="7" style="52" customWidth="1"/>
    <col min="11783" max="11783" width="9.140625" style="52" customWidth="1"/>
    <col min="11784" max="11784" width="10.7109375" style="52" bestFit="1" customWidth="1"/>
    <col min="11785" max="11785" width="1.140625" style="52" customWidth="1"/>
    <col min="11786" max="12032" width="11.5703125" style="52"/>
    <col min="12033" max="12033" width="3.5703125" style="52" customWidth="1"/>
    <col min="12034" max="12034" width="30.5703125" style="52" customWidth="1"/>
    <col min="12035" max="12035" width="10.140625" style="52" customWidth="1"/>
    <col min="12036" max="12036" width="3" style="52" customWidth="1"/>
    <col min="12037" max="12037" width="13" style="52" bestFit="1" customWidth="1"/>
    <col min="12038" max="12038" width="7" style="52" customWidth="1"/>
    <col min="12039" max="12039" width="9.140625" style="52" customWidth="1"/>
    <col min="12040" max="12040" width="10.7109375" style="52" bestFit="1" customWidth="1"/>
    <col min="12041" max="12041" width="1.140625" style="52" customWidth="1"/>
    <col min="12042" max="12288" width="11.5703125" style="52"/>
    <col min="12289" max="12289" width="3.5703125" style="52" customWidth="1"/>
    <col min="12290" max="12290" width="30.5703125" style="52" customWidth="1"/>
    <col min="12291" max="12291" width="10.140625" style="52" customWidth="1"/>
    <col min="12292" max="12292" width="3" style="52" customWidth="1"/>
    <col min="12293" max="12293" width="13" style="52" bestFit="1" customWidth="1"/>
    <col min="12294" max="12294" width="7" style="52" customWidth="1"/>
    <col min="12295" max="12295" width="9.140625" style="52" customWidth="1"/>
    <col min="12296" max="12296" width="10.7109375" style="52" bestFit="1" customWidth="1"/>
    <col min="12297" max="12297" width="1.140625" style="52" customWidth="1"/>
    <col min="12298" max="12544" width="11.5703125" style="52"/>
    <col min="12545" max="12545" width="3.5703125" style="52" customWidth="1"/>
    <col min="12546" max="12546" width="30.5703125" style="52" customWidth="1"/>
    <col min="12547" max="12547" width="10.140625" style="52" customWidth="1"/>
    <col min="12548" max="12548" width="3" style="52" customWidth="1"/>
    <col min="12549" max="12549" width="13" style="52" bestFit="1" customWidth="1"/>
    <col min="12550" max="12550" width="7" style="52" customWidth="1"/>
    <col min="12551" max="12551" width="9.140625" style="52" customWidth="1"/>
    <col min="12552" max="12552" width="10.7109375" style="52" bestFit="1" customWidth="1"/>
    <col min="12553" max="12553" width="1.140625" style="52" customWidth="1"/>
    <col min="12554" max="12800" width="11.5703125" style="52"/>
    <col min="12801" max="12801" width="3.5703125" style="52" customWidth="1"/>
    <col min="12802" max="12802" width="30.5703125" style="52" customWidth="1"/>
    <col min="12803" max="12803" width="10.140625" style="52" customWidth="1"/>
    <col min="12804" max="12804" width="3" style="52" customWidth="1"/>
    <col min="12805" max="12805" width="13" style="52" bestFit="1" customWidth="1"/>
    <col min="12806" max="12806" width="7" style="52" customWidth="1"/>
    <col min="12807" max="12807" width="9.140625" style="52" customWidth="1"/>
    <col min="12808" max="12808" width="10.7109375" style="52" bestFit="1" customWidth="1"/>
    <col min="12809" max="12809" width="1.140625" style="52" customWidth="1"/>
    <col min="12810" max="13056" width="11.5703125" style="52"/>
    <col min="13057" max="13057" width="3.5703125" style="52" customWidth="1"/>
    <col min="13058" max="13058" width="30.5703125" style="52" customWidth="1"/>
    <col min="13059" max="13059" width="10.140625" style="52" customWidth="1"/>
    <col min="13060" max="13060" width="3" style="52" customWidth="1"/>
    <col min="13061" max="13061" width="13" style="52" bestFit="1" customWidth="1"/>
    <col min="13062" max="13062" width="7" style="52" customWidth="1"/>
    <col min="13063" max="13063" width="9.140625" style="52" customWidth="1"/>
    <col min="13064" max="13064" width="10.7109375" style="52" bestFit="1" customWidth="1"/>
    <col min="13065" max="13065" width="1.140625" style="52" customWidth="1"/>
    <col min="13066" max="13312" width="11.5703125" style="52"/>
    <col min="13313" max="13313" width="3.5703125" style="52" customWidth="1"/>
    <col min="13314" max="13314" width="30.5703125" style="52" customWidth="1"/>
    <col min="13315" max="13315" width="10.140625" style="52" customWidth="1"/>
    <col min="13316" max="13316" width="3" style="52" customWidth="1"/>
    <col min="13317" max="13317" width="13" style="52" bestFit="1" customWidth="1"/>
    <col min="13318" max="13318" width="7" style="52" customWidth="1"/>
    <col min="13319" max="13319" width="9.140625" style="52" customWidth="1"/>
    <col min="13320" max="13320" width="10.7109375" style="52" bestFit="1" customWidth="1"/>
    <col min="13321" max="13321" width="1.140625" style="52" customWidth="1"/>
    <col min="13322" max="13568" width="11.5703125" style="52"/>
    <col min="13569" max="13569" width="3.5703125" style="52" customWidth="1"/>
    <col min="13570" max="13570" width="30.5703125" style="52" customWidth="1"/>
    <col min="13571" max="13571" width="10.140625" style="52" customWidth="1"/>
    <col min="13572" max="13572" width="3" style="52" customWidth="1"/>
    <col min="13573" max="13573" width="13" style="52" bestFit="1" customWidth="1"/>
    <col min="13574" max="13574" width="7" style="52" customWidth="1"/>
    <col min="13575" max="13575" width="9.140625" style="52" customWidth="1"/>
    <col min="13576" max="13576" width="10.7109375" style="52" bestFit="1" customWidth="1"/>
    <col min="13577" max="13577" width="1.140625" style="52" customWidth="1"/>
    <col min="13578" max="13824" width="11.5703125" style="52"/>
    <col min="13825" max="13825" width="3.5703125" style="52" customWidth="1"/>
    <col min="13826" max="13826" width="30.5703125" style="52" customWidth="1"/>
    <col min="13827" max="13827" width="10.140625" style="52" customWidth="1"/>
    <col min="13828" max="13828" width="3" style="52" customWidth="1"/>
    <col min="13829" max="13829" width="13" style="52" bestFit="1" customWidth="1"/>
    <col min="13830" max="13830" width="7" style="52" customWidth="1"/>
    <col min="13831" max="13831" width="9.140625" style="52" customWidth="1"/>
    <col min="13832" max="13832" width="10.7109375" style="52" bestFit="1" customWidth="1"/>
    <col min="13833" max="13833" width="1.140625" style="52" customWidth="1"/>
    <col min="13834" max="14080" width="11.5703125" style="52"/>
    <col min="14081" max="14081" width="3.5703125" style="52" customWidth="1"/>
    <col min="14082" max="14082" width="30.5703125" style="52" customWidth="1"/>
    <col min="14083" max="14083" width="10.140625" style="52" customWidth="1"/>
    <col min="14084" max="14084" width="3" style="52" customWidth="1"/>
    <col min="14085" max="14085" width="13" style="52" bestFit="1" customWidth="1"/>
    <col min="14086" max="14086" width="7" style="52" customWidth="1"/>
    <col min="14087" max="14087" width="9.140625" style="52" customWidth="1"/>
    <col min="14088" max="14088" width="10.7109375" style="52" bestFit="1" customWidth="1"/>
    <col min="14089" max="14089" width="1.140625" style="52" customWidth="1"/>
    <col min="14090" max="14336" width="11.5703125" style="52"/>
    <col min="14337" max="14337" width="3.5703125" style="52" customWidth="1"/>
    <col min="14338" max="14338" width="30.5703125" style="52" customWidth="1"/>
    <col min="14339" max="14339" width="10.140625" style="52" customWidth="1"/>
    <col min="14340" max="14340" width="3" style="52" customWidth="1"/>
    <col min="14341" max="14341" width="13" style="52" bestFit="1" customWidth="1"/>
    <col min="14342" max="14342" width="7" style="52" customWidth="1"/>
    <col min="14343" max="14343" width="9.140625" style="52" customWidth="1"/>
    <col min="14344" max="14344" width="10.7109375" style="52" bestFit="1" customWidth="1"/>
    <col min="14345" max="14345" width="1.140625" style="52" customWidth="1"/>
    <col min="14346" max="14592" width="11.5703125" style="52"/>
    <col min="14593" max="14593" width="3.5703125" style="52" customWidth="1"/>
    <col min="14594" max="14594" width="30.5703125" style="52" customWidth="1"/>
    <col min="14595" max="14595" width="10.140625" style="52" customWidth="1"/>
    <col min="14596" max="14596" width="3" style="52" customWidth="1"/>
    <col min="14597" max="14597" width="13" style="52" bestFit="1" customWidth="1"/>
    <col min="14598" max="14598" width="7" style="52" customWidth="1"/>
    <col min="14599" max="14599" width="9.140625" style="52" customWidth="1"/>
    <col min="14600" max="14600" width="10.7109375" style="52" bestFit="1" customWidth="1"/>
    <col min="14601" max="14601" width="1.140625" style="52" customWidth="1"/>
    <col min="14602" max="14848" width="11.5703125" style="52"/>
    <col min="14849" max="14849" width="3.5703125" style="52" customWidth="1"/>
    <col min="14850" max="14850" width="30.5703125" style="52" customWidth="1"/>
    <col min="14851" max="14851" width="10.140625" style="52" customWidth="1"/>
    <col min="14852" max="14852" width="3" style="52" customWidth="1"/>
    <col min="14853" max="14853" width="13" style="52" bestFit="1" customWidth="1"/>
    <col min="14854" max="14854" width="7" style="52" customWidth="1"/>
    <col min="14855" max="14855" width="9.140625" style="52" customWidth="1"/>
    <col min="14856" max="14856" width="10.7109375" style="52" bestFit="1" customWidth="1"/>
    <col min="14857" max="14857" width="1.140625" style="52" customWidth="1"/>
    <col min="14858" max="15104" width="11.5703125" style="52"/>
    <col min="15105" max="15105" width="3.5703125" style="52" customWidth="1"/>
    <col min="15106" max="15106" width="30.5703125" style="52" customWidth="1"/>
    <col min="15107" max="15107" width="10.140625" style="52" customWidth="1"/>
    <col min="15108" max="15108" width="3" style="52" customWidth="1"/>
    <col min="15109" max="15109" width="13" style="52" bestFit="1" customWidth="1"/>
    <col min="15110" max="15110" width="7" style="52" customWidth="1"/>
    <col min="15111" max="15111" width="9.140625" style="52" customWidth="1"/>
    <col min="15112" max="15112" width="10.7109375" style="52" bestFit="1" customWidth="1"/>
    <col min="15113" max="15113" width="1.140625" style="52" customWidth="1"/>
    <col min="15114" max="15360" width="11.5703125" style="52"/>
    <col min="15361" max="15361" width="3.5703125" style="52" customWidth="1"/>
    <col min="15362" max="15362" width="30.5703125" style="52" customWidth="1"/>
    <col min="15363" max="15363" width="10.140625" style="52" customWidth="1"/>
    <col min="15364" max="15364" width="3" style="52" customWidth="1"/>
    <col min="15365" max="15365" width="13" style="52" bestFit="1" customWidth="1"/>
    <col min="15366" max="15366" width="7" style="52" customWidth="1"/>
    <col min="15367" max="15367" width="9.140625" style="52" customWidth="1"/>
    <col min="15368" max="15368" width="10.7109375" style="52" bestFit="1" customWidth="1"/>
    <col min="15369" max="15369" width="1.140625" style="52" customWidth="1"/>
    <col min="15370" max="15616" width="11.5703125" style="52"/>
    <col min="15617" max="15617" width="3.5703125" style="52" customWidth="1"/>
    <col min="15618" max="15618" width="30.5703125" style="52" customWidth="1"/>
    <col min="15619" max="15619" width="10.140625" style="52" customWidth="1"/>
    <col min="15620" max="15620" width="3" style="52" customWidth="1"/>
    <col min="15621" max="15621" width="13" style="52" bestFit="1" customWidth="1"/>
    <col min="15622" max="15622" width="7" style="52" customWidth="1"/>
    <col min="15623" max="15623" width="9.140625" style="52" customWidth="1"/>
    <col min="15624" max="15624" width="10.7109375" style="52" bestFit="1" customWidth="1"/>
    <col min="15625" max="15625" width="1.140625" style="52" customWidth="1"/>
    <col min="15626" max="15872" width="11.5703125" style="52"/>
    <col min="15873" max="15873" width="3.5703125" style="52" customWidth="1"/>
    <col min="15874" max="15874" width="30.5703125" style="52" customWidth="1"/>
    <col min="15875" max="15875" width="10.140625" style="52" customWidth="1"/>
    <col min="15876" max="15876" width="3" style="52" customWidth="1"/>
    <col min="15877" max="15877" width="13" style="52" bestFit="1" customWidth="1"/>
    <col min="15878" max="15878" width="7" style="52" customWidth="1"/>
    <col min="15879" max="15879" width="9.140625" style="52" customWidth="1"/>
    <col min="15880" max="15880" width="10.7109375" style="52" bestFit="1" customWidth="1"/>
    <col min="15881" max="15881" width="1.140625" style="52" customWidth="1"/>
    <col min="15882" max="16128" width="11.5703125" style="52"/>
    <col min="16129" max="16129" width="3.5703125" style="52" customWidth="1"/>
    <col min="16130" max="16130" width="30.5703125" style="52" customWidth="1"/>
    <col min="16131" max="16131" width="10.140625" style="52" customWidth="1"/>
    <col min="16132" max="16132" width="3" style="52" customWidth="1"/>
    <col min="16133" max="16133" width="13" style="52" bestFit="1" customWidth="1"/>
    <col min="16134" max="16134" width="7" style="52" customWidth="1"/>
    <col min="16135" max="16135" width="9.140625" style="52" customWidth="1"/>
    <col min="16136" max="16136" width="10.7109375" style="52" bestFit="1" customWidth="1"/>
    <col min="16137" max="16137" width="1.140625" style="52" customWidth="1"/>
    <col min="16138" max="16384" width="11.5703125" style="52"/>
  </cols>
  <sheetData>
    <row r="5" spans="1:18" x14ac:dyDescent="0.25">
      <c r="A5" s="47" t="s">
        <v>0</v>
      </c>
      <c r="B5" s="48"/>
      <c r="C5" s="48"/>
    </row>
    <row r="6" spans="1:18" ht="9" customHeight="1" x14ac:dyDescent="0.25">
      <c r="A6" s="47"/>
      <c r="B6" s="48"/>
      <c r="C6" s="48"/>
    </row>
    <row r="7" spans="1:18" s="8" customFormat="1" ht="15" x14ac:dyDescent="0.25">
      <c r="A7" s="8" t="s">
        <v>58</v>
      </c>
      <c r="B7" s="7"/>
      <c r="D7" s="25"/>
      <c r="E7" s="173" t="s">
        <v>2</v>
      </c>
      <c r="F7" s="189"/>
      <c r="G7" s="175">
        <v>44277</v>
      </c>
      <c r="H7" s="190"/>
    </row>
    <row r="8" spans="1:18" s="8" customFormat="1" ht="15" x14ac:dyDescent="0.25">
      <c r="A8" s="8" t="s">
        <v>59</v>
      </c>
      <c r="B8" s="7"/>
      <c r="D8" s="25"/>
      <c r="E8" s="177" t="s">
        <v>4</v>
      </c>
      <c r="F8" s="178"/>
      <c r="G8" s="179">
        <v>10215</v>
      </c>
      <c r="H8" s="180"/>
      <c r="K8" s="53"/>
      <c r="L8" s="54"/>
      <c r="M8" s="55"/>
      <c r="N8" s="56"/>
      <c r="O8" s="57"/>
      <c r="P8" s="58"/>
      <c r="Q8" s="59"/>
    </row>
    <row r="9" spans="1:18" s="8" customFormat="1" ht="15" x14ac:dyDescent="0.25">
      <c r="A9" s="8" t="s">
        <v>60</v>
      </c>
      <c r="B9" s="7"/>
      <c r="D9" s="25"/>
      <c r="E9" s="181" t="s">
        <v>6</v>
      </c>
      <c r="F9" s="182"/>
      <c r="G9" s="183" t="s">
        <v>61</v>
      </c>
      <c r="H9" s="184"/>
    </row>
    <row r="10" spans="1:18" s="8" customFormat="1" ht="15" x14ac:dyDescent="0.25">
      <c r="B10" s="7"/>
      <c r="D10" s="25"/>
      <c r="E10" s="16" t="s">
        <v>33</v>
      </c>
      <c r="F10" s="14"/>
      <c r="G10" s="183" t="s">
        <v>75</v>
      </c>
      <c r="H10" s="184"/>
    </row>
    <row r="11" spans="1:18" s="8" customFormat="1" ht="15" x14ac:dyDescent="0.25">
      <c r="A11" s="23" t="s">
        <v>63</v>
      </c>
      <c r="D11" s="25"/>
      <c r="E11" s="19" t="s">
        <v>9</v>
      </c>
      <c r="F11" s="165" t="s">
        <v>64</v>
      </c>
      <c r="G11" s="165"/>
      <c r="H11" s="166"/>
    </row>
    <row r="12" spans="1:18" s="8" customFormat="1" x14ac:dyDescent="0.25">
      <c r="D12" s="25"/>
      <c r="E12" s="20" t="s">
        <v>11</v>
      </c>
      <c r="F12" s="185" t="s">
        <v>12</v>
      </c>
      <c r="G12" s="185"/>
      <c r="H12" s="186"/>
      <c r="K12" s="57"/>
      <c r="L12" s="57"/>
      <c r="M12" s="60"/>
      <c r="N12" s="61"/>
      <c r="O12" s="56"/>
      <c r="P12" s="57"/>
      <c r="Q12" s="58"/>
      <c r="R12" s="59"/>
    </row>
    <row r="13" spans="1:18" s="8" customFormat="1" ht="15" x14ac:dyDescent="0.25">
      <c r="D13" s="25"/>
      <c r="E13" s="11"/>
      <c r="F13" s="22"/>
      <c r="K13" s="57"/>
    </row>
    <row r="14" spans="1:18" s="57" customFormat="1" ht="15" x14ac:dyDescent="0.25">
      <c r="D14" s="62"/>
      <c r="E14" s="63"/>
      <c r="F14" s="64"/>
    </row>
    <row r="15" spans="1:18" s="66" customFormat="1" ht="14.25" x14ac:dyDescent="0.2">
      <c r="A15" s="187" t="s">
        <v>13</v>
      </c>
      <c r="B15" s="187"/>
      <c r="C15" s="187"/>
      <c r="D15" s="187"/>
      <c r="E15" s="187"/>
      <c r="F15" s="187"/>
      <c r="G15" s="187"/>
      <c r="H15" s="187"/>
    </row>
    <row r="16" spans="1:18" s="66" customFormat="1" ht="14.25" x14ac:dyDescent="0.2">
      <c r="A16" s="65"/>
      <c r="B16" s="65"/>
      <c r="C16" s="65"/>
      <c r="D16" s="65"/>
      <c r="E16" s="65"/>
      <c r="F16" s="65"/>
      <c r="G16" s="65"/>
      <c r="H16" s="65"/>
    </row>
    <row r="17" spans="1:19" s="66" customFormat="1" ht="14.25" x14ac:dyDescent="0.2">
      <c r="A17" s="65"/>
      <c r="B17" s="65"/>
      <c r="C17" s="65"/>
      <c r="D17" s="65"/>
      <c r="E17" s="65"/>
      <c r="F17" s="65"/>
      <c r="G17" s="65"/>
      <c r="H17" s="65"/>
    </row>
    <row r="18" spans="1:19" s="8" customFormat="1" ht="15" x14ac:dyDescent="0.25">
      <c r="A18" s="8" t="s">
        <v>81</v>
      </c>
      <c r="B18" s="7"/>
      <c r="D18" s="25"/>
      <c r="E18" s="11"/>
      <c r="F18" s="25"/>
      <c r="G18" s="26"/>
    </row>
    <row r="19" spans="1:19" s="8" customFormat="1" ht="15" x14ac:dyDescent="0.25">
      <c r="A19" s="8" t="s">
        <v>82</v>
      </c>
      <c r="B19" s="7"/>
      <c r="D19" s="25"/>
      <c r="E19" s="11"/>
      <c r="F19" s="25"/>
      <c r="G19" s="26"/>
    </row>
    <row r="20" spans="1:19" s="57" customFormat="1" ht="15" x14ac:dyDescent="0.25">
      <c r="D20" s="62"/>
      <c r="E20" s="62"/>
      <c r="F20" s="63"/>
      <c r="G20" s="62"/>
      <c r="L20" s="68"/>
    </row>
    <row r="21" spans="1:19" s="57" customFormat="1" ht="15" x14ac:dyDescent="0.25">
      <c r="A21" s="70" t="s">
        <v>16</v>
      </c>
      <c r="B21" s="71"/>
      <c r="C21" s="70"/>
      <c r="D21" s="62"/>
      <c r="E21" s="62" t="s">
        <v>74</v>
      </c>
      <c r="F21" s="63" t="s">
        <v>18</v>
      </c>
      <c r="G21" s="62" t="s">
        <v>67</v>
      </c>
      <c r="H21" s="63" t="s">
        <v>20</v>
      </c>
      <c r="L21" s="68"/>
    </row>
    <row r="22" spans="1:19" s="57" customFormat="1" ht="15" x14ac:dyDescent="0.25">
      <c r="A22" s="72" t="s">
        <v>21</v>
      </c>
      <c r="B22" s="72"/>
      <c r="C22" s="73" t="s">
        <v>76</v>
      </c>
      <c r="D22" s="74"/>
      <c r="E22" s="75"/>
      <c r="F22" s="75"/>
      <c r="G22" s="76" t="s">
        <v>68</v>
      </c>
      <c r="H22" s="73"/>
      <c r="K22" s="77"/>
      <c r="L22" s="69"/>
      <c r="M22" s="78"/>
      <c r="N22" s="78"/>
      <c r="O22" s="69"/>
    </row>
    <row r="23" spans="1:19" s="57" customFormat="1" ht="5.25" customHeight="1" x14ac:dyDescent="0.25">
      <c r="C23" s="60"/>
      <c r="D23" s="61"/>
      <c r="E23" s="56"/>
      <c r="G23" s="58"/>
      <c r="H23" s="59"/>
      <c r="K23" s="77"/>
      <c r="L23" s="69"/>
      <c r="M23" s="78"/>
      <c r="N23" s="78"/>
      <c r="O23" s="69"/>
    </row>
    <row r="24" spans="1:19" s="8" customFormat="1" ht="15" x14ac:dyDescent="0.25">
      <c r="A24" s="92">
        <v>34</v>
      </c>
      <c r="B24" s="92" t="s">
        <v>78</v>
      </c>
      <c r="C24" s="106" t="s">
        <v>77</v>
      </c>
      <c r="D24" s="94"/>
      <c r="E24" s="95"/>
      <c r="F24" s="96"/>
      <c r="G24" s="92"/>
      <c r="H24" s="92"/>
      <c r="M24" s="97"/>
      <c r="N24" s="98"/>
      <c r="O24" s="99"/>
      <c r="Q24" s="100"/>
      <c r="R24" s="13"/>
    </row>
    <row r="25" spans="1:19" s="8" customFormat="1" ht="15" x14ac:dyDescent="0.25">
      <c r="A25" s="92"/>
      <c r="B25" s="101" t="s">
        <v>71</v>
      </c>
      <c r="C25" s="93"/>
      <c r="D25" s="94"/>
      <c r="E25" s="102">
        <v>14</v>
      </c>
      <c r="F25" s="92"/>
      <c r="G25" s="103">
        <v>2</v>
      </c>
      <c r="H25" s="104">
        <f>+G25*E25</f>
        <v>28</v>
      </c>
      <c r="N25" s="97"/>
      <c r="O25" s="98"/>
      <c r="P25" s="99"/>
      <c r="R25" s="100"/>
      <c r="S25" s="13"/>
    </row>
    <row r="26" spans="1:19" s="8" customFormat="1" ht="15" x14ac:dyDescent="0.25">
      <c r="A26" s="92"/>
      <c r="B26" s="101" t="s">
        <v>69</v>
      </c>
      <c r="C26" s="93"/>
      <c r="D26" s="105"/>
      <c r="E26" s="102">
        <v>13</v>
      </c>
      <c r="F26" s="92"/>
      <c r="G26" s="103">
        <v>60</v>
      </c>
      <c r="H26" s="104">
        <f>+G26*E26</f>
        <v>780</v>
      </c>
      <c r="M26" s="44"/>
      <c r="N26" s="98"/>
      <c r="O26" s="99"/>
      <c r="Q26" s="100"/>
      <c r="R26" s="13"/>
    </row>
    <row r="27" spans="1:19" s="8" customFormat="1" ht="15" x14ac:dyDescent="0.25">
      <c r="A27" s="92"/>
      <c r="B27" s="92" t="s">
        <v>72</v>
      </c>
      <c r="C27" s="93"/>
      <c r="D27" s="105"/>
      <c r="E27" s="102">
        <v>-1</v>
      </c>
      <c r="F27" s="92"/>
      <c r="G27" s="103">
        <f>+G26</f>
        <v>60</v>
      </c>
      <c r="H27" s="104">
        <f>+G27*E27</f>
        <v>-60</v>
      </c>
      <c r="L27" s="92"/>
      <c r="M27" s="93"/>
      <c r="N27" s="94"/>
      <c r="O27" s="102"/>
      <c r="P27" s="92"/>
      <c r="Q27" s="103"/>
      <c r="R27" s="104"/>
    </row>
    <row r="28" spans="1:19" s="8" customFormat="1" ht="15" x14ac:dyDescent="0.25">
      <c r="A28" s="92"/>
      <c r="B28" s="92" t="s">
        <v>73</v>
      </c>
      <c r="C28" s="93"/>
      <c r="D28" s="94"/>
      <c r="E28" s="102">
        <v>-3</v>
      </c>
      <c r="F28" s="92"/>
      <c r="G28" s="103">
        <f>+G26-45</f>
        <v>15</v>
      </c>
      <c r="H28" s="104">
        <f>+G28*E28</f>
        <v>-45</v>
      </c>
    </row>
    <row r="29" spans="1:19" s="57" customFormat="1" ht="5.25" customHeight="1" x14ac:dyDescent="0.25">
      <c r="C29" s="60"/>
      <c r="D29" s="61"/>
      <c r="E29" s="56"/>
      <c r="G29" s="58"/>
      <c r="H29" s="59"/>
      <c r="K29" s="77"/>
      <c r="L29" s="69"/>
      <c r="M29" s="78"/>
      <c r="N29" s="78"/>
      <c r="O29" s="69"/>
    </row>
    <row r="30" spans="1:19" s="8" customFormat="1" ht="15" x14ac:dyDescent="0.25">
      <c r="A30" s="92">
        <v>34</v>
      </c>
      <c r="B30" s="92" t="s">
        <v>79</v>
      </c>
      <c r="C30" s="106" t="s">
        <v>80</v>
      </c>
      <c r="D30" s="94"/>
      <c r="E30" s="95"/>
      <c r="F30" s="96"/>
      <c r="G30" s="92"/>
      <c r="H30" s="92"/>
      <c r="N30" s="97"/>
      <c r="O30" s="98"/>
      <c r="P30" s="99"/>
      <c r="R30" s="100"/>
      <c r="S30" s="13"/>
    </row>
    <row r="31" spans="1:19" s="8" customFormat="1" ht="15" x14ac:dyDescent="0.25">
      <c r="A31" s="92"/>
      <c r="B31" s="101" t="s">
        <v>71</v>
      </c>
      <c r="C31" s="93"/>
      <c r="D31" s="94"/>
      <c r="E31" s="102">
        <v>14</v>
      </c>
      <c r="F31" s="92"/>
      <c r="G31" s="103">
        <v>4</v>
      </c>
      <c r="H31" s="104">
        <f>+G31*E31</f>
        <v>56</v>
      </c>
      <c r="N31" s="97"/>
      <c r="O31" s="98"/>
      <c r="P31" s="99"/>
      <c r="R31" s="100"/>
      <c r="S31" s="13"/>
    </row>
    <row r="32" spans="1:19" s="8" customFormat="1" ht="15" x14ac:dyDescent="0.25">
      <c r="A32" s="92"/>
      <c r="B32" s="101" t="s">
        <v>69</v>
      </c>
      <c r="C32" s="93"/>
      <c r="D32" s="105"/>
      <c r="E32" s="102">
        <f>+E26</f>
        <v>13</v>
      </c>
      <c r="F32" s="92"/>
      <c r="G32" s="103">
        <v>73</v>
      </c>
      <c r="H32" s="104">
        <f>+G32*E32</f>
        <v>949</v>
      </c>
      <c r="N32" s="97"/>
      <c r="O32" s="98"/>
      <c r="P32" s="99"/>
      <c r="R32" s="100"/>
      <c r="S32" s="13"/>
    </row>
    <row r="33" spans="1:18" s="8" customFormat="1" ht="15" x14ac:dyDescent="0.25">
      <c r="A33" s="92"/>
      <c r="B33" s="92" t="s">
        <v>72</v>
      </c>
      <c r="C33" s="93"/>
      <c r="D33" s="105"/>
      <c r="E33" s="102">
        <v>-1</v>
      </c>
      <c r="F33" s="92"/>
      <c r="G33" s="103">
        <f>+G32</f>
        <v>73</v>
      </c>
      <c r="H33" s="104">
        <f>+G33*E33</f>
        <v>-73</v>
      </c>
      <c r="L33" s="92"/>
      <c r="M33" s="93"/>
      <c r="N33" s="94"/>
      <c r="O33" s="102"/>
      <c r="P33" s="92"/>
      <c r="Q33" s="103"/>
      <c r="R33" s="104"/>
    </row>
    <row r="34" spans="1:18" s="8" customFormat="1" ht="15" x14ac:dyDescent="0.25">
      <c r="A34" s="92"/>
      <c r="B34" s="92" t="s">
        <v>73</v>
      </c>
      <c r="C34" s="93"/>
      <c r="D34" s="94"/>
      <c r="E34" s="102">
        <v>-3</v>
      </c>
      <c r="F34" s="92"/>
      <c r="G34" s="103">
        <f>+G32-45</f>
        <v>28</v>
      </c>
      <c r="H34" s="104">
        <f>+G34*E34</f>
        <v>-84</v>
      </c>
    </row>
    <row r="35" spans="1:18" s="57" customFormat="1" ht="5.25" customHeight="1" x14ac:dyDescent="0.25">
      <c r="C35" s="60"/>
      <c r="D35" s="61"/>
      <c r="E35" s="56"/>
      <c r="G35" s="58"/>
      <c r="H35" s="59"/>
      <c r="K35" s="77"/>
      <c r="L35" s="69"/>
      <c r="M35" s="78"/>
      <c r="N35" s="78"/>
      <c r="O35" s="69"/>
    </row>
    <row r="36" spans="1:18" s="57" customFormat="1" ht="15" x14ac:dyDescent="0.25">
      <c r="A36" s="57">
        <v>16</v>
      </c>
      <c r="B36" s="57" t="s">
        <v>27</v>
      </c>
      <c r="C36" s="60"/>
      <c r="D36" s="61"/>
      <c r="E36" s="56"/>
      <c r="G36" s="58"/>
      <c r="H36" s="59"/>
      <c r="K36" s="77"/>
      <c r="L36" s="69"/>
      <c r="M36" s="78"/>
      <c r="N36" s="78"/>
      <c r="O36" s="69"/>
    </row>
    <row r="37" spans="1:18" s="57" customFormat="1" ht="15" x14ac:dyDescent="0.25">
      <c r="B37" s="57" t="s">
        <v>28</v>
      </c>
      <c r="C37" s="60"/>
      <c r="D37" s="61"/>
      <c r="E37" s="56"/>
      <c r="G37" s="58"/>
      <c r="H37" s="59">
        <v>15</v>
      </c>
      <c r="K37" s="77"/>
      <c r="L37" s="69"/>
      <c r="M37" s="78"/>
      <c r="N37" s="78"/>
      <c r="O37" s="69"/>
    </row>
    <row r="38" spans="1:18" s="57" customFormat="1" ht="6.75" customHeight="1" x14ac:dyDescent="0.25">
      <c r="C38" s="61"/>
      <c r="D38" s="61"/>
      <c r="E38" s="79"/>
      <c r="F38" s="72"/>
      <c r="G38" s="75"/>
      <c r="H38" s="80"/>
      <c r="K38" s="77"/>
      <c r="L38" s="69"/>
      <c r="M38" s="78"/>
      <c r="N38" s="78"/>
      <c r="O38" s="69"/>
    </row>
    <row r="39" spans="1:18" s="57" customFormat="1" ht="15" x14ac:dyDescent="0.25">
      <c r="A39" s="67"/>
      <c r="B39" s="67"/>
      <c r="E39" s="57" t="s">
        <v>29</v>
      </c>
      <c r="F39" s="67"/>
      <c r="G39" s="62"/>
      <c r="H39" s="59">
        <f>SUM(H23:H37)</f>
        <v>1566</v>
      </c>
      <c r="J39" s="59"/>
      <c r="K39" s="77"/>
      <c r="L39" s="69"/>
      <c r="M39" s="78"/>
      <c r="N39" s="78"/>
      <c r="O39" s="69"/>
    </row>
    <row r="40" spans="1:18" s="57" customFormat="1" ht="15" x14ac:dyDescent="0.25">
      <c r="E40" s="81" t="s">
        <v>70</v>
      </c>
      <c r="F40" s="67"/>
      <c r="G40" s="62"/>
      <c r="H40" s="59">
        <f>+H39*0.16</f>
        <v>250.56</v>
      </c>
      <c r="K40" s="77"/>
      <c r="L40" s="69"/>
      <c r="M40" s="78"/>
      <c r="N40" s="78"/>
      <c r="O40" s="69"/>
    </row>
    <row r="41" spans="1:18" s="57" customFormat="1" thickBot="1" x14ac:dyDescent="0.3">
      <c r="E41" s="82" t="s">
        <v>31</v>
      </c>
      <c r="F41" s="83"/>
      <c r="G41" s="84"/>
      <c r="H41" s="85">
        <f>SUM(H39:H40)</f>
        <v>1816.56</v>
      </c>
      <c r="J41" s="59"/>
      <c r="K41" s="77"/>
      <c r="L41" s="69"/>
      <c r="M41" s="78"/>
      <c r="N41" s="78"/>
      <c r="O41" s="69"/>
    </row>
    <row r="42" spans="1:18" s="57" customFormat="1" ht="6" customHeight="1" thickTop="1" x14ac:dyDescent="0.25">
      <c r="E42" s="86"/>
      <c r="F42" s="63"/>
      <c r="G42" s="62"/>
      <c r="H42" s="59"/>
      <c r="J42" s="59"/>
      <c r="K42" s="77"/>
      <c r="L42" s="69"/>
      <c r="M42" s="78"/>
      <c r="N42" s="78"/>
      <c r="O42" s="69"/>
    </row>
    <row r="43" spans="1:18" s="57" customFormat="1" ht="15" x14ac:dyDescent="0.25">
      <c r="A43" s="8" t="s">
        <v>114</v>
      </c>
      <c r="B43" s="67"/>
      <c r="D43" s="62"/>
      <c r="E43" s="63"/>
      <c r="F43" s="64"/>
    </row>
    <row r="44" spans="1:18" s="57" customFormat="1" ht="15" x14ac:dyDescent="0.25">
      <c r="D44" s="62"/>
      <c r="E44" s="63"/>
      <c r="F44" s="64"/>
    </row>
    <row r="45" spans="1:18" s="57" customFormat="1" ht="15" x14ac:dyDescent="0.25">
      <c r="D45" s="62"/>
      <c r="E45" s="63"/>
      <c r="F45" s="64"/>
    </row>
    <row r="47" spans="1:18" s="87" customFormat="1" ht="15" x14ac:dyDescent="0.25">
      <c r="B47" s="88"/>
      <c r="D47" s="89"/>
      <c r="E47" s="90"/>
      <c r="F47" s="89"/>
      <c r="G47" s="91"/>
    </row>
    <row r="48" spans="1:18" s="87" customFormat="1" ht="15" x14ac:dyDescent="0.25">
      <c r="D48" s="89"/>
      <c r="E48" s="90"/>
      <c r="F48" s="89"/>
      <c r="G48" s="91"/>
    </row>
    <row r="49" spans="1:8" s="87" customFormat="1" ht="15" x14ac:dyDescent="0.25">
      <c r="D49" s="89"/>
      <c r="E49" s="90"/>
      <c r="F49" s="89"/>
      <c r="G49" s="91"/>
    </row>
    <row r="50" spans="1:8" s="87" customFormat="1" ht="15" x14ac:dyDescent="0.25">
      <c r="D50" s="89"/>
      <c r="E50" s="90"/>
      <c r="F50" s="89"/>
      <c r="G50" s="91"/>
    </row>
    <row r="51" spans="1:8" x14ac:dyDescent="0.25">
      <c r="D51" s="52"/>
      <c r="E51" s="52"/>
      <c r="F51" s="52"/>
    </row>
    <row r="52" spans="1:8" x14ac:dyDescent="0.25">
      <c r="A52" s="188" t="s">
        <v>32</v>
      </c>
      <c r="B52" s="188"/>
      <c r="C52" s="188"/>
      <c r="D52" s="188"/>
      <c r="E52" s="188"/>
      <c r="F52" s="188"/>
      <c r="G52" s="188"/>
      <c r="H52" s="188"/>
    </row>
  </sheetData>
  <mergeCells count="11">
    <mergeCell ref="E7:F7"/>
    <mergeCell ref="G7:H7"/>
    <mergeCell ref="E8:F8"/>
    <mergeCell ref="G8:H8"/>
    <mergeCell ref="E9:F9"/>
    <mergeCell ref="G9:H9"/>
    <mergeCell ref="G10:H10"/>
    <mergeCell ref="F11:H11"/>
    <mergeCell ref="F12:H12"/>
    <mergeCell ref="A15:H15"/>
    <mergeCell ref="A52:H52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8706-A5DA-4018-9CD9-D6EAE5D7536A}">
  <dimension ref="A5:Q49"/>
  <sheetViews>
    <sheetView topLeftCell="A19" workbookViewId="0">
      <selection activeCell="F56" sqref="F56"/>
    </sheetView>
  </sheetViews>
  <sheetFormatPr baseColWidth="10" defaultColWidth="11.5703125" defaultRowHeight="15.75" x14ac:dyDescent="0.25"/>
  <cols>
    <col min="1" max="1" width="3.5703125" style="6" customWidth="1"/>
    <col min="2" max="2" width="4.5703125" style="6" customWidth="1"/>
    <col min="3" max="3" width="20.85546875" style="6" customWidth="1"/>
    <col min="4" max="4" width="15.5703125" style="3" customWidth="1"/>
    <col min="5" max="5" width="12.85546875" style="4" customWidth="1"/>
    <col min="6" max="6" width="9.85546875" style="5" bestFit="1" customWidth="1"/>
    <col min="7" max="7" width="8.140625" style="6" customWidth="1"/>
    <col min="8" max="8" width="9.5703125" style="6" bestFit="1" customWidth="1"/>
    <col min="9" max="256" width="11.5703125" style="6"/>
    <col min="257" max="257" width="3.5703125" style="6" customWidth="1"/>
    <col min="258" max="258" width="4.5703125" style="6" customWidth="1"/>
    <col min="259" max="259" width="20.85546875" style="6" customWidth="1"/>
    <col min="260" max="260" width="15.5703125" style="6" customWidth="1"/>
    <col min="261" max="261" width="12.85546875" style="6" customWidth="1"/>
    <col min="262" max="262" width="9.85546875" style="6" bestFit="1" customWidth="1"/>
    <col min="263" max="263" width="8.140625" style="6" customWidth="1"/>
    <col min="264" max="264" width="9.5703125" style="6" bestFit="1" customWidth="1"/>
    <col min="265" max="512" width="11.5703125" style="6"/>
    <col min="513" max="513" width="3.5703125" style="6" customWidth="1"/>
    <col min="514" max="514" width="4.5703125" style="6" customWidth="1"/>
    <col min="515" max="515" width="20.85546875" style="6" customWidth="1"/>
    <col min="516" max="516" width="15.5703125" style="6" customWidth="1"/>
    <col min="517" max="517" width="12.85546875" style="6" customWidth="1"/>
    <col min="518" max="518" width="9.85546875" style="6" bestFit="1" customWidth="1"/>
    <col min="519" max="519" width="8.140625" style="6" customWidth="1"/>
    <col min="520" max="520" width="9.5703125" style="6" bestFit="1" customWidth="1"/>
    <col min="521" max="768" width="11.5703125" style="6"/>
    <col min="769" max="769" width="3.5703125" style="6" customWidth="1"/>
    <col min="770" max="770" width="4.5703125" style="6" customWidth="1"/>
    <col min="771" max="771" width="20.85546875" style="6" customWidth="1"/>
    <col min="772" max="772" width="15.5703125" style="6" customWidth="1"/>
    <col min="773" max="773" width="12.85546875" style="6" customWidth="1"/>
    <col min="774" max="774" width="9.85546875" style="6" bestFit="1" customWidth="1"/>
    <col min="775" max="775" width="8.140625" style="6" customWidth="1"/>
    <col min="776" max="776" width="9.5703125" style="6" bestFit="1" customWidth="1"/>
    <col min="777" max="1024" width="11.5703125" style="6"/>
    <col min="1025" max="1025" width="3.5703125" style="6" customWidth="1"/>
    <col min="1026" max="1026" width="4.5703125" style="6" customWidth="1"/>
    <col min="1027" max="1027" width="20.85546875" style="6" customWidth="1"/>
    <col min="1028" max="1028" width="15.5703125" style="6" customWidth="1"/>
    <col min="1029" max="1029" width="12.85546875" style="6" customWidth="1"/>
    <col min="1030" max="1030" width="9.85546875" style="6" bestFit="1" customWidth="1"/>
    <col min="1031" max="1031" width="8.140625" style="6" customWidth="1"/>
    <col min="1032" max="1032" width="9.5703125" style="6" bestFit="1" customWidth="1"/>
    <col min="1033" max="1280" width="11.5703125" style="6"/>
    <col min="1281" max="1281" width="3.5703125" style="6" customWidth="1"/>
    <col min="1282" max="1282" width="4.5703125" style="6" customWidth="1"/>
    <col min="1283" max="1283" width="20.85546875" style="6" customWidth="1"/>
    <col min="1284" max="1284" width="15.5703125" style="6" customWidth="1"/>
    <col min="1285" max="1285" width="12.85546875" style="6" customWidth="1"/>
    <col min="1286" max="1286" width="9.85546875" style="6" bestFit="1" customWidth="1"/>
    <col min="1287" max="1287" width="8.140625" style="6" customWidth="1"/>
    <col min="1288" max="1288" width="9.5703125" style="6" bestFit="1" customWidth="1"/>
    <col min="1289" max="1536" width="11.5703125" style="6"/>
    <col min="1537" max="1537" width="3.5703125" style="6" customWidth="1"/>
    <col min="1538" max="1538" width="4.5703125" style="6" customWidth="1"/>
    <col min="1539" max="1539" width="20.85546875" style="6" customWidth="1"/>
    <col min="1540" max="1540" width="15.5703125" style="6" customWidth="1"/>
    <col min="1541" max="1541" width="12.85546875" style="6" customWidth="1"/>
    <col min="1542" max="1542" width="9.85546875" style="6" bestFit="1" customWidth="1"/>
    <col min="1543" max="1543" width="8.140625" style="6" customWidth="1"/>
    <col min="1544" max="1544" width="9.5703125" style="6" bestFit="1" customWidth="1"/>
    <col min="1545" max="1792" width="11.5703125" style="6"/>
    <col min="1793" max="1793" width="3.5703125" style="6" customWidth="1"/>
    <col min="1794" max="1794" width="4.5703125" style="6" customWidth="1"/>
    <col min="1795" max="1795" width="20.85546875" style="6" customWidth="1"/>
    <col min="1796" max="1796" width="15.5703125" style="6" customWidth="1"/>
    <col min="1797" max="1797" width="12.85546875" style="6" customWidth="1"/>
    <col min="1798" max="1798" width="9.85546875" style="6" bestFit="1" customWidth="1"/>
    <col min="1799" max="1799" width="8.140625" style="6" customWidth="1"/>
    <col min="1800" max="1800" width="9.5703125" style="6" bestFit="1" customWidth="1"/>
    <col min="1801" max="2048" width="11.5703125" style="6"/>
    <col min="2049" max="2049" width="3.5703125" style="6" customWidth="1"/>
    <col min="2050" max="2050" width="4.5703125" style="6" customWidth="1"/>
    <col min="2051" max="2051" width="20.85546875" style="6" customWidth="1"/>
    <col min="2052" max="2052" width="15.5703125" style="6" customWidth="1"/>
    <col min="2053" max="2053" width="12.85546875" style="6" customWidth="1"/>
    <col min="2054" max="2054" width="9.85546875" style="6" bestFit="1" customWidth="1"/>
    <col min="2055" max="2055" width="8.140625" style="6" customWidth="1"/>
    <col min="2056" max="2056" width="9.5703125" style="6" bestFit="1" customWidth="1"/>
    <col min="2057" max="2304" width="11.5703125" style="6"/>
    <col min="2305" max="2305" width="3.5703125" style="6" customWidth="1"/>
    <col min="2306" max="2306" width="4.5703125" style="6" customWidth="1"/>
    <col min="2307" max="2307" width="20.85546875" style="6" customWidth="1"/>
    <col min="2308" max="2308" width="15.5703125" style="6" customWidth="1"/>
    <col min="2309" max="2309" width="12.85546875" style="6" customWidth="1"/>
    <col min="2310" max="2310" width="9.85546875" style="6" bestFit="1" customWidth="1"/>
    <col min="2311" max="2311" width="8.140625" style="6" customWidth="1"/>
    <col min="2312" max="2312" width="9.5703125" style="6" bestFit="1" customWidth="1"/>
    <col min="2313" max="2560" width="11.5703125" style="6"/>
    <col min="2561" max="2561" width="3.5703125" style="6" customWidth="1"/>
    <col min="2562" max="2562" width="4.5703125" style="6" customWidth="1"/>
    <col min="2563" max="2563" width="20.85546875" style="6" customWidth="1"/>
    <col min="2564" max="2564" width="15.5703125" style="6" customWidth="1"/>
    <col min="2565" max="2565" width="12.85546875" style="6" customWidth="1"/>
    <col min="2566" max="2566" width="9.85546875" style="6" bestFit="1" customWidth="1"/>
    <col min="2567" max="2567" width="8.140625" style="6" customWidth="1"/>
    <col min="2568" max="2568" width="9.5703125" style="6" bestFit="1" customWidth="1"/>
    <col min="2569" max="2816" width="11.5703125" style="6"/>
    <col min="2817" max="2817" width="3.5703125" style="6" customWidth="1"/>
    <col min="2818" max="2818" width="4.5703125" style="6" customWidth="1"/>
    <col min="2819" max="2819" width="20.85546875" style="6" customWidth="1"/>
    <col min="2820" max="2820" width="15.5703125" style="6" customWidth="1"/>
    <col min="2821" max="2821" width="12.85546875" style="6" customWidth="1"/>
    <col min="2822" max="2822" width="9.85546875" style="6" bestFit="1" customWidth="1"/>
    <col min="2823" max="2823" width="8.140625" style="6" customWidth="1"/>
    <col min="2824" max="2824" width="9.5703125" style="6" bestFit="1" customWidth="1"/>
    <col min="2825" max="3072" width="11.5703125" style="6"/>
    <col min="3073" max="3073" width="3.5703125" style="6" customWidth="1"/>
    <col min="3074" max="3074" width="4.5703125" style="6" customWidth="1"/>
    <col min="3075" max="3075" width="20.85546875" style="6" customWidth="1"/>
    <col min="3076" max="3076" width="15.5703125" style="6" customWidth="1"/>
    <col min="3077" max="3077" width="12.85546875" style="6" customWidth="1"/>
    <col min="3078" max="3078" width="9.85546875" style="6" bestFit="1" customWidth="1"/>
    <col min="3079" max="3079" width="8.140625" style="6" customWidth="1"/>
    <col min="3080" max="3080" width="9.5703125" style="6" bestFit="1" customWidth="1"/>
    <col min="3081" max="3328" width="11.5703125" style="6"/>
    <col min="3329" max="3329" width="3.5703125" style="6" customWidth="1"/>
    <col min="3330" max="3330" width="4.5703125" style="6" customWidth="1"/>
    <col min="3331" max="3331" width="20.85546875" style="6" customWidth="1"/>
    <col min="3332" max="3332" width="15.5703125" style="6" customWidth="1"/>
    <col min="3333" max="3333" width="12.85546875" style="6" customWidth="1"/>
    <col min="3334" max="3334" width="9.85546875" style="6" bestFit="1" customWidth="1"/>
    <col min="3335" max="3335" width="8.140625" style="6" customWidth="1"/>
    <col min="3336" max="3336" width="9.5703125" style="6" bestFit="1" customWidth="1"/>
    <col min="3337" max="3584" width="11.5703125" style="6"/>
    <col min="3585" max="3585" width="3.5703125" style="6" customWidth="1"/>
    <col min="3586" max="3586" width="4.5703125" style="6" customWidth="1"/>
    <col min="3587" max="3587" width="20.85546875" style="6" customWidth="1"/>
    <col min="3588" max="3588" width="15.5703125" style="6" customWidth="1"/>
    <col min="3589" max="3589" width="12.85546875" style="6" customWidth="1"/>
    <col min="3590" max="3590" width="9.85546875" style="6" bestFit="1" customWidth="1"/>
    <col min="3591" max="3591" width="8.140625" style="6" customWidth="1"/>
    <col min="3592" max="3592" width="9.5703125" style="6" bestFit="1" customWidth="1"/>
    <col min="3593" max="3840" width="11.5703125" style="6"/>
    <col min="3841" max="3841" width="3.5703125" style="6" customWidth="1"/>
    <col min="3842" max="3842" width="4.5703125" style="6" customWidth="1"/>
    <col min="3843" max="3843" width="20.85546875" style="6" customWidth="1"/>
    <col min="3844" max="3844" width="15.5703125" style="6" customWidth="1"/>
    <col min="3845" max="3845" width="12.85546875" style="6" customWidth="1"/>
    <col min="3846" max="3846" width="9.85546875" style="6" bestFit="1" customWidth="1"/>
    <col min="3847" max="3847" width="8.140625" style="6" customWidth="1"/>
    <col min="3848" max="3848" width="9.5703125" style="6" bestFit="1" customWidth="1"/>
    <col min="3849" max="4096" width="11.5703125" style="6"/>
    <col min="4097" max="4097" width="3.5703125" style="6" customWidth="1"/>
    <col min="4098" max="4098" width="4.5703125" style="6" customWidth="1"/>
    <col min="4099" max="4099" width="20.85546875" style="6" customWidth="1"/>
    <col min="4100" max="4100" width="15.5703125" style="6" customWidth="1"/>
    <col min="4101" max="4101" width="12.85546875" style="6" customWidth="1"/>
    <col min="4102" max="4102" width="9.85546875" style="6" bestFit="1" customWidth="1"/>
    <col min="4103" max="4103" width="8.140625" style="6" customWidth="1"/>
    <col min="4104" max="4104" width="9.5703125" style="6" bestFit="1" customWidth="1"/>
    <col min="4105" max="4352" width="11.5703125" style="6"/>
    <col min="4353" max="4353" width="3.5703125" style="6" customWidth="1"/>
    <col min="4354" max="4354" width="4.5703125" style="6" customWidth="1"/>
    <col min="4355" max="4355" width="20.85546875" style="6" customWidth="1"/>
    <col min="4356" max="4356" width="15.5703125" style="6" customWidth="1"/>
    <col min="4357" max="4357" width="12.85546875" style="6" customWidth="1"/>
    <col min="4358" max="4358" width="9.85546875" style="6" bestFit="1" customWidth="1"/>
    <col min="4359" max="4359" width="8.140625" style="6" customWidth="1"/>
    <col min="4360" max="4360" width="9.5703125" style="6" bestFit="1" customWidth="1"/>
    <col min="4361" max="4608" width="11.5703125" style="6"/>
    <col min="4609" max="4609" width="3.5703125" style="6" customWidth="1"/>
    <col min="4610" max="4610" width="4.5703125" style="6" customWidth="1"/>
    <col min="4611" max="4611" width="20.85546875" style="6" customWidth="1"/>
    <col min="4612" max="4612" width="15.5703125" style="6" customWidth="1"/>
    <col min="4613" max="4613" width="12.85546875" style="6" customWidth="1"/>
    <col min="4614" max="4614" width="9.85546875" style="6" bestFit="1" customWidth="1"/>
    <col min="4615" max="4615" width="8.140625" style="6" customWidth="1"/>
    <col min="4616" max="4616" width="9.5703125" style="6" bestFit="1" customWidth="1"/>
    <col min="4617" max="4864" width="11.5703125" style="6"/>
    <col min="4865" max="4865" width="3.5703125" style="6" customWidth="1"/>
    <col min="4866" max="4866" width="4.5703125" style="6" customWidth="1"/>
    <col min="4867" max="4867" width="20.85546875" style="6" customWidth="1"/>
    <col min="4868" max="4868" width="15.5703125" style="6" customWidth="1"/>
    <col min="4869" max="4869" width="12.85546875" style="6" customWidth="1"/>
    <col min="4870" max="4870" width="9.85546875" style="6" bestFit="1" customWidth="1"/>
    <col min="4871" max="4871" width="8.140625" style="6" customWidth="1"/>
    <col min="4872" max="4872" width="9.5703125" style="6" bestFit="1" customWidth="1"/>
    <col min="4873" max="5120" width="11.5703125" style="6"/>
    <col min="5121" max="5121" width="3.5703125" style="6" customWidth="1"/>
    <col min="5122" max="5122" width="4.5703125" style="6" customWidth="1"/>
    <col min="5123" max="5123" width="20.85546875" style="6" customWidth="1"/>
    <col min="5124" max="5124" width="15.5703125" style="6" customWidth="1"/>
    <col min="5125" max="5125" width="12.85546875" style="6" customWidth="1"/>
    <col min="5126" max="5126" width="9.85546875" style="6" bestFit="1" customWidth="1"/>
    <col min="5127" max="5127" width="8.140625" style="6" customWidth="1"/>
    <col min="5128" max="5128" width="9.5703125" style="6" bestFit="1" customWidth="1"/>
    <col min="5129" max="5376" width="11.5703125" style="6"/>
    <col min="5377" max="5377" width="3.5703125" style="6" customWidth="1"/>
    <col min="5378" max="5378" width="4.5703125" style="6" customWidth="1"/>
    <col min="5379" max="5379" width="20.85546875" style="6" customWidth="1"/>
    <col min="5380" max="5380" width="15.5703125" style="6" customWidth="1"/>
    <col min="5381" max="5381" width="12.85546875" style="6" customWidth="1"/>
    <col min="5382" max="5382" width="9.85546875" style="6" bestFit="1" customWidth="1"/>
    <col min="5383" max="5383" width="8.140625" style="6" customWidth="1"/>
    <col min="5384" max="5384" width="9.5703125" style="6" bestFit="1" customWidth="1"/>
    <col min="5385" max="5632" width="11.5703125" style="6"/>
    <col min="5633" max="5633" width="3.5703125" style="6" customWidth="1"/>
    <col min="5634" max="5634" width="4.5703125" style="6" customWidth="1"/>
    <col min="5635" max="5635" width="20.85546875" style="6" customWidth="1"/>
    <col min="5636" max="5636" width="15.5703125" style="6" customWidth="1"/>
    <col min="5637" max="5637" width="12.85546875" style="6" customWidth="1"/>
    <col min="5638" max="5638" width="9.85546875" style="6" bestFit="1" customWidth="1"/>
    <col min="5639" max="5639" width="8.140625" style="6" customWidth="1"/>
    <col min="5640" max="5640" width="9.5703125" style="6" bestFit="1" customWidth="1"/>
    <col min="5641" max="5888" width="11.5703125" style="6"/>
    <col min="5889" max="5889" width="3.5703125" style="6" customWidth="1"/>
    <col min="5890" max="5890" width="4.5703125" style="6" customWidth="1"/>
    <col min="5891" max="5891" width="20.85546875" style="6" customWidth="1"/>
    <col min="5892" max="5892" width="15.5703125" style="6" customWidth="1"/>
    <col min="5893" max="5893" width="12.85546875" style="6" customWidth="1"/>
    <col min="5894" max="5894" width="9.85546875" style="6" bestFit="1" customWidth="1"/>
    <col min="5895" max="5895" width="8.140625" style="6" customWidth="1"/>
    <col min="5896" max="5896" width="9.5703125" style="6" bestFit="1" customWidth="1"/>
    <col min="5897" max="6144" width="11.5703125" style="6"/>
    <col min="6145" max="6145" width="3.5703125" style="6" customWidth="1"/>
    <col min="6146" max="6146" width="4.5703125" style="6" customWidth="1"/>
    <col min="6147" max="6147" width="20.85546875" style="6" customWidth="1"/>
    <col min="6148" max="6148" width="15.5703125" style="6" customWidth="1"/>
    <col min="6149" max="6149" width="12.85546875" style="6" customWidth="1"/>
    <col min="6150" max="6150" width="9.85546875" style="6" bestFit="1" customWidth="1"/>
    <col min="6151" max="6151" width="8.140625" style="6" customWidth="1"/>
    <col min="6152" max="6152" width="9.5703125" style="6" bestFit="1" customWidth="1"/>
    <col min="6153" max="6400" width="11.5703125" style="6"/>
    <col min="6401" max="6401" width="3.5703125" style="6" customWidth="1"/>
    <col min="6402" max="6402" width="4.5703125" style="6" customWidth="1"/>
    <col min="6403" max="6403" width="20.85546875" style="6" customWidth="1"/>
    <col min="6404" max="6404" width="15.5703125" style="6" customWidth="1"/>
    <col min="6405" max="6405" width="12.85546875" style="6" customWidth="1"/>
    <col min="6406" max="6406" width="9.85546875" style="6" bestFit="1" customWidth="1"/>
    <col min="6407" max="6407" width="8.140625" style="6" customWidth="1"/>
    <col min="6408" max="6408" width="9.5703125" style="6" bestFit="1" customWidth="1"/>
    <col min="6409" max="6656" width="11.5703125" style="6"/>
    <col min="6657" max="6657" width="3.5703125" style="6" customWidth="1"/>
    <col min="6658" max="6658" width="4.5703125" style="6" customWidth="1"/>
    <col min="6659" max="6659" width="20.85546875" style="6" customWidth="1"/>
    <col min="6660" max="6660" width="15.5703125" style="6" customWidth="1"/>
    <col min="6661" max="6661" width="12.85546875" style="6" customWidth="1"/>
    <col min="6662" max="6662" width="9.85546875" style="6" bestFit="1" customWidth="1"/>
    <col min="6663" max="6663" width="8.140625" style="6" customWidth="1"/>
    <col min="6664" max="6664" width="9.5703125" style="6" bestFit="1" customWidth="1"/>
    <col min="6665" max="6912" width="11.5703125" style="6"/>
    <col min="6913" max="6913" width="3.5703125" style="6" customWidth="1"/>
    <col min="6914" max="6914" width="4.5703125" style="6" customWidth="1"/>
    <col min="6915" max="6915" width="20.85546875" style="6" customWidth="1"/>
    <col min="6916" max="6916" width="15.5703125" style="6" customWidth="1"/>
    <col min="6917" max="6917" width="12.85546875" style="6" customWidth="1"/>
    <col min="6918" max="6918" width="9.85546875" style="6" bestFit="1" customWidth="1"/>
    <col min="6919" max="6919" width="8.140625" style="6" customWidth="1"/>
    <col min="6920" max="6920" width="9.5703125" style="6" bestFit="1" customWidth="1"/>
    <col min="6921" max="7168" width="11.5703125" style="6"/>
    <col min="7169" max="7169" width="3.5703125" style="6" customWidth="1"/>
    <col min="7170" max="7170" width="4.5703125" style="6" customWidth="1"/>
    <col min="7171" max="7171" width="20.85546875" style="6" customWidth="1"/>
    <col min="7172" max="7172" width="15.5703125" style="6" customWidth="1"/>
    <col min="7173" max="7173" width="12.85546875" style="6" customWidth="1"/>
    <col min="7174" max="7174" width="9.85546875" style="6" bestFit="1" customWidth="1"/>
    <col min="7175" max="7175" width="8.140625" style="6" customWidth="1"/>
    <col min="7176" max="7176" width="9.5703125" style="6" bestFit="1" customWidth="1"/>
    <col min="7177" max="7424" width="11.5703125" style="6"/>
    <col min="7425" max="7425" width="3.5703125" style="6" customWidth="1"/>
    <col min="7426" max="7426" width="4.5703125" style="6" customWidth="1"/>
    <col min="7427" max="7427" width="20.85546875" style="6" customWidth="1"/>
    <col min="7428" max="7428" width="15.5703125" style="6" customWidth="1"/>
    <col min="7429" max="7429" width="12.85546875" style="6" customWidth="1"/>
    <col min="7430" max="7430" width="9.85546875" style="6" bestFit="1" customWidth="1"/>
    <col min="7431" max="7431" width="8.140625" style="6" customWidth="1"/>
    <col min="7432" max="7432" width="9.5703125" style="6" bestFit="1" customWidth="1"/>
    <col min="7433" max="7680" width="11.5703125" style="6"/>
    <col min="7681" max="7681" width="3.5703125" style="6" customWidth="1"/>
    <col min="7682" max="7682" width="4.5703125" style="6" customWidth="1"/>
    <col min="7683" max="7683" width="20.85546875" style="6" customWidth="1"/>
    <col min="7684" max="7684" width="15.5703125" style="6" customWidth="1"/>
    <col min="7685" max="7685" width="12.85546875" style="6" customWidth="1"/>
    <col min="7686" max="7686" width="9.85546875" style="6" bestFit="1" customWidth="1"/>
    <col min="7687" max="7687" width="8.140625" style="6" customWidth="1"/>
    <col min="7688" max="7688" width="9.5703125" style="6" bestFit="1" customWidth="1"/>
    <col min="7689" max="7936" width="11.5703125" style="6"/>
    <col min="7937" max="7937" width="3.5703125" style="6" customWidth="1"/>
    <col min="7938" max="7938" width="4.5703125" style="6" customWidth="1"/>
    <col min="7939" max="7939" width="20.85546875" style="6" customWidth="1"/>
    <col min="7940" max="7940" width="15.5703125" style="6" customWidth="1"/>
    <col min="7941" max="7941" width="12.85546875" style="6" customWidth="1"/>
    <col min="7942" max="7942" width="9.85546875" style="6" bestFit="1" customWidth="1"/>
    <col min="7943" max="7943" width="8.140625" style="6" customWidth="1"/>
    <col min="7944" max="7944" width="9.5703125" style="6" bestFit="1" customWidth="1"/>
    <col min="7945" max="8192" width="11.5703125" style="6"/>
    <col min="8193" max="8193" width="3.5703125" style="6" customWidth="1"/>
    <col min="8194" max="8194" width="4.5703125" style="6" customWidth="1"/>
    <col min="8195" max="8195" width="20.85546875" style="6" customWidth="1"/>
    <col min="8196" max="8196" width="15.5703125" style="6" customWidth="1"/>
    <col min="8197" max="8197" width="12.85546875" style="6" customWidth="1"/>
    <col min="8198" max="8198" width="9.85546875" style="6" bestFit="1" customWidth="1"/>
    <col min="8199" max="8199" width="8.140625" style="6" customWidth="1"/>
    <col min="8200" max="8200" width="9.5703125" style="6" bestFit="1" customWidth="1"/>
    <col min="8201" max="8448" width="11.5703125" style="6"/>
    <col min="8449" max="8449" width="3.5703125" style="6" customWidth="1"/>
    <col min="8450" max="8450" width="4.5703125" style="6" customWidth="1"/>
    <col min="8451" max="8451" width="20.85546875" style="6" customWidth="1"/>
    <col min="8452" max="8452" width="15.5703125" style="6" customWidth="1"/>
    <col min="8453" max="8453" width="12.85546875" style="6" customWidth="1"/>
    <col min="8454" max="8454" width="9.85546875" style="6" bestFit="1" customWidth="1"/>
    <col min="8455" max="8455" width="8.140625" style="6" customWidth="1"/>
    <col min="8456" max="8456" width="9.5703125" style="6" bestFit="1" customWidth="1"/>
    <col min="8457" max="8704" width="11.5703125" style="6"/>
    <col min="8705" max="8705" width="3.5703125" style="6" customWidth="1"/>
    <col min="8706" max="8706" width="4.5703125" style="6" customWidth="1"/>
    <col min="8707" max="8707" width="20.85546875" style="6" customWidth="1"/>
    <col min="8708" max="8708" width="15.5703125" style="6" customWidth="1"/>
    <col min="8709" max="8709" width="12.85546875" style="6" customWidth="1"/>
    <col min="8710" max="8710" width="9.85546875" style="6" bestFit="1" customWidth="1"/>
    <col min="8711" max="8711" width="8.140625" style="6" customWidth="1"/>
    <col min="8712" max="8712" width="9.5703125" style="6" bestFit="1" customWidth="1"/>
    <col min="8713" max="8960" width="11.5703125" style="6"/>
    <col min="8961" max="8961" width="3.5703125" style="6" customWidth="1"/>
    <col min="8962" max="8962" width="4.5703125" style="6" customWidth="1"/>
    <col min="8963" max="8963" width="20.85546875" style="6" customWidth="1"/>
    <col min="8964" max="8964" width="15.5703125" style="6" customWidth="1"/>
    <col min="8965" max="8965" width="12.85546875" style="6" customWidth="1"/>
    <col min="8966" max="8966" width="9.85546875" style="6" bestFit="1" customWidth="1"/>
    <col min="8967" max="8967" width="8.140625" style="6" customWidth="1"/>
    <col min="8968" max="8968" width="9.5703125" style="6" bestFit="1" customWidth="1"/>
    <col min="8969" max="9216" width="11.5703125" style="6"/>
    <col min="9217" max="9217" width="3.5703125" style="6" customWidth="1"/>
    <col min="9218" max="9218" width="4.5703125" style="6" customWidth="1"/>
    <col min="9219" max="9219" width="20.85546875" style="6" customWidth="1"/>
    <col min="9220" max="9220" width="15.5703125" style="6" customWidth="1"/>
    <col min="9221" max="9221" width="12.85546875" style="6" customWidth="1"/>
    <col min="9222" max="9222" width="9.85546875" style="6" bestFit="1" customWidth="1"/>
    <col min="9223" max="9223" width="8.140625" style="6" customWidth="1"/>
    <col min="9224" max="9224" width="9.5703125" style="6" bestFit="1" customWidth="1"/>
    <col min="9225" max="9472" width="11.5703125" style="6"/>
    <col min="9473" max="9473" width="3.5703125" style="6" customWidth="1"/>
    <col min="9474" max="9474" width="4.5703125" style="6" customWidth="1"/>
    <col min="9475" max="9475" width="20.85546875" style="6" customWidth="1"/>
    <col min="9476" max="9476" width="15.5703125" style="6" customWidth="1"/>
    <col min="9477" max="9477" width="12.85546875" style="6" customWidth="1"/>
    <col min="9478" max="9478" width="9.85546875" style="6" bestFit="1" customWidth="1"/>
    <col min="9479" max="9479" width="8.140625" style="6" customWidth="1"/>
    <col min="9480" max="9480" width="9.5703125" style="6" bestFit="1" customWidth="1"/>
    <col min="9481" max="9728" width="11.5703125" style="6"/>
    <col min="9729" max="9729" width="3.5703125" style="6" customWidth="1"/>
    <col min="9730" max="9730" width="4.5703125" style="6" customWidth="1"/>
    <col min="9731" max="9731" width="20.85546875" style="6" customWidth="1"/>
    <col min="9732" max="9732" width="15.5703125" style="6" customWidth="1"/>
    <col min="9733" max="9733" width="12.85546875" style="6" customWidth="1"/>
    <col min="9734" max="9734" width="9.85546875" style="6" bestFit="1" customWidth="1"/>
    <col min="9735" max="9735" width="8.140625" style="6" customWidth="1"/>
    <col min="9736" max="9736" width="9.5703125" style="6" bestFit="1" customWidth="1"/>
    <col min="9737" max="9984" width="11.5703125" style="6"/>
    <col min="9985" max="9985" width="3.5703125" style="6" customWidth="1"/>
    <col min="9986" max="9986" width="4.5703125" style="6" customWidth="1"/>
    <col min="9987" max="9987" width="20.85546875" style="6" customWidth="1"/>
    <col min="9988" max="9988" width="15.5703125" style="6" customWidth="1"/>
    <col min="9989" max="9989" width="12.85546875" style="6" customWidth="1"/>
    <col min="9990" max="9990" width="9.85546875" style="6" bestFit="1" customWidth="1"/>
    <col min="9991" max="9991" width="8.140625" style="6" customWidth="1"/>
    <col min="9992" max="9992" width="9.5703125" style="6" bestFit="1" customWidth="1"/>
    <col min="9993" max="10240" width="11.5703125" style="6"/>
    <col min="10241" max="10241" width="3.5703125" style="6" customWidth="1"/>
    <col min="10242" max="10242" width="4.5703125" style="6" customWidth="1"/>
    <col min="10243" max="10243" width="20.85546875" style="6" customWidth="1"/>
    <col min="10244" max="10244" width="15.5703125" style="6" customWidth="1"/>
    <col min="10245" max="10245" width="12.85546875" style="6" customWidth="1"/>
    <col min="10246" max="10246" width="9.85546875" style="6" bestFit="1" customWidth="1"/>
    <col min="10247" max="10247" width="8.140625" style="6" customWidth="1"/>
    <col min="10248" max="10248" width="9.5703125" style="6" bestFit="1" customWidth="1"/>
    <col min="10249" max="10496" width="11.5703125" style="6"/>
    <col min="10497" max="10497" width="3.5703125" style="6" customWidth="1"/>
    <col min="10498" max="10498" width="4.5703125" style="6" customWidth="1"/>
    <col min="10499" max="10499" width="20.85546875" style="6" customWidth="1"/>
    <col min="10500" max="10500" width="15.5703125" style="6" customWidth="1"/>
    <col min="10501" max="10501" width="12.85546875" style="6" customWidth="1"/>
    <col min="10502" max="10502" width="9.85546875" style="6" bestFit="1" customWidth="1"/>
    <col min="10503" max="10503" width="8.140625" style="6" customWidth="1"/>
    <col min="10504" max="10504" width="9.5703125" style="6" bestFit="1" customWidth="1"/>
    <col min="10505" max="10752" width="11.5703125" style="6"/>
    <col min="10753" max="10753" width="3.5703125" style="6" customWidth="1"/>
    <col min="10754" max="10754" width="4.5703125" style="6" customWidth="1"/>
    <col min="10755" max="10755" width="20.85546875" style="6" customWidth="1"/>
    <col min="10756" max="10756" width="15.5703125" style="6" customWidth="1"/>
    <col min="10757" max="10757" width="12.85546875" style="6" customWidth="1"/>
    <col min="10758" max="10758" width="9.85546875" style="6" bestFit="1" customWidth="1"/>
    <col min="10759" max="10759" width="8.140625" style="6" customWidth="1"/>
    <col min="10760" max="10760" width="9.5703125" style="6" bestFit="1" customWidth="1"/>
    <col min="10761" max="11008" width="11.5703125" style="6"/>
    <col min="11009" max="11009" width="3.5703125" style="6" customWidth="1"/>
    <col min="11010" max="11010" width="4.5703125" style="6" customWidth="1"/>
    <col min="11011" max="11011" width="20.85546875" style="6" customWidth="1"/>
    <col min="11012" max="11012" width="15.5703125" style="6" customWidth="1"/>
    <col min="11013" max="11013" width="12.85546875" style="6" customWidth="1"/>
    <col min="11014" max="11014" width="9.85546875" style="6" bestFit="1" customWidth="1"/>
    <col min="11015" max="11015" width="8.140625" style="6" customWidth="1"/>
    <col min="11016" max="11016" width="9.5703125" style="6" bestFit="1" customWidth="1"/>
    <col min="11017" max="11264" width="11.5703125" style="6"/>
    <col min="11265" max="11265" width="3.5703125" style="6" customWidth="1"/>
    <col min="11266" max="11266" width="4.5703125" style="6" customWidth="1"/>
    <col min="11267" max="11267" width="20.85546875" style="6" customWidth="1"/>
    <col min="11268" max="11268" width="15.5703125" style="6" customWidth="1"/>
    <col min="11269" max="11269" width="12.85546875" style="6" customWidth="1"/>
    <col min="11270" max="11270" width="9.85546875" style="6" bestFit="1" customWidth="1"/>
    <col min="11271" max="11271" width="8.140625" style="6" customWidth="1"/>
    <col min="11272" max="11272" width="9.5703125" style="6" bestFit="1" customWidth="1"/>
    <col min="11273" max="11520" width="11.5703125" style="6"/>
    <col min="11521" max="11521" width="3.5703125" style="6" customWidth="1"/>
    <col min="11522" max="11522" width="4.5703125" style="6" customWidth="1"/>
    <col min="11523" max="11523" width="20.85546875" style="6" customWidth="1"/>
    <col min="11524" max="11524" width="15.5703125" style="6" customWidth="1"/>
    <col min="11525" max="11525" width="12.85546875" style="6" customWidth="1"/>
    <col min="11526" max="11526" width="9.85546875" style="6" bestFit="1" customWidth="1"/>
    <col min="11527" max="11527" width="8.140625" style="6" customWidth="1"/>
    <col min="11528" max="11528" width="9.5703125" style="6" bestFit="1" customWidth="1"/>
    <col min="11529" max="11776" width="11.5703125" style="6"/>
    <col min="11777" max="11777" width="3.5703125" style="6" customWidth="1"/>
    <col min="11778" max="11778" width="4.5703125" style="6" customWidth="1"/>
    <col min="11779" max="11779" width="20.85546875" style="6" customWidth="1"/>
    <col min="11780" max="11780" width="15.5703125" style="6" customWidth="1"/>
    <col min="11781" max="11781" width="12.85546875" style="6" customWidth="1"/>
    <col min="11782" max="11782" width="9.85546875" style="6" bestFit="1" customWidth="1"/>
    <col min="11783" max="11783" width="8.140625" style="6" customWidth="1"/>
    <col min="11784" max="11784" width="9.5703125" style="6" bestFit="1" customWidth="1"/>
    <col min="11785" max="12032" width="11.5703125" style="6"/>
    <col min="12033" max="12033" width="3.5703125" style="6" customWidth="1"/>
    <col min="12034" max="12034" width="4.5703125" style="6" customWidth="1"/>
    <col min="12035" max="12035" width="20.85546875" style="6" customWidth="1"/>
    <col min="12036" max="12036" width="15.5703125" style="6" customWidth="1"/>
    <col min="12037" max="12037" width="12.85546875" style="6" customWidth="1"/>
    <col min="12038" max="12038" width="9.85546875" style="6" bestFit="1" customWidth="1"/>
    <col min="12039" max="12039" width="8.140625" style="6" customWidth="1"/>
    <col min="12040" max="12040" width="9.5703125" style="6" bestFit="1" customWidth="1"/>
    <col min="12041" max="12288" width="11.5703125" style="6"/>
    <col min="12289" max="12289" width="3.5703125" style="6" customWidth="1"/>
    <col min="12290" max="12290" width="4.5703125" style="6" customWidth="1"/>
    <col min="12291" max="12291" width="20.85546875" style="6" customWidth="1"/>
    <col min="12292" max="12292" width="15.5703125" style="6" customWidth="1"/>
    <col min="12293" max="12293" width="12.85546875" style="6" customWidth="1"/>
    <col min="12294" max="12294" width="9.85546875" style="6" bestFit="1" customWidth="1"/>
    <col min="12295" max="12295" width="8.140625" style="6" customWidth="1"/>
    <col min="12296" max="12296" width="9.5703125" style="6" bestFit="1" customWidth="1"/>
    <col min="12297" max="12544" width="11.5703125" style="6"/>
    <col min="12545" max="12545" width="3.5703125" style="6" customWidth="1"/>
    <col min="12546" max="12546" width="4.5703125" style="6" customWidth="1"/>
    <col min="12547" max="12547" width="20.85546875" style="6" customWidth="1"/>
    <col min="12548" max="12548" width="15.5703125" style="6" customWidth="1"/>
    <col min="12549" max="12549" width="12.85546875" style="6" customWidth="1"/>
    <col min="12550" max="12550" width="9.85546875" style="6" bestFit="1" customWidth="1"/>
    <col min="12551" max="12551" width="8.140625" style="6" customWidth="1"/>
    <col min="12552" max="12552" width="9.5703125" style="6" bestFit="1" customWidth="1"/>
    <col min="12553" max="12800" width="11.5703125" style="6"/>
    <col min="12801" max="12801" width="3.5703125" style="6" customWidth="1"/>
    <col min="12802" max="12802" width="4.5703125" style="6" customWidth="1"/>
    <col min="12803" max="12803" width="20.85546875" style="6" customWidth="1"/>
    <col min="12804" max="12804" width="15.5703125" style="6" customWidth="1"/>
    <col min="12805" max="12805" width="12.85546875" style="6" customWidth="1"/>
    <col min="12806" max="12806" width="9.85546875" style="6" bestFit="1" customWidth="1"/>
    <col min="12807" max="12807" width="8.140625" style="6" customWidth="1"/>
    <col min="12808" max="12808" width="9.5703125" style="6" bestFit="1" customWidth="1"/>
    <col min="12809" max="13056" width="11.5703125" style="6"/>
    <col min="13057" max="13057" width="3.5703125" style="6" customWidth="1"/>
    <col min="13058" max="13058" width="4.5703125" style="6" customWidth="1"/>
    <col min="13059" max="13059" width="20.85546875" style="6" customWidth="1"/>
    <col min="13060" max="13060" width="15.5703125" style="6" customWidth="1"/>
    <col min="13061" max="13061" width="12.85546875" style="6" customWidth="1"/>
    <col min="13062" max="13062" width="9.85546875" style="6" bestFit="1" customWidth="1"/>
    <col min="13063" max="13063" width="8.140625" style="6" customWidth="1"/>
    <col min="13064" max="13064" width="9.5703125" style="6" bestFit="1" customWidth="1"/>
    <col min="13065" max="13312" width="11.5703125" style="6"/>
    <col min="13313" max="13313" width="3.5703125" style="6" customWidth="1"/>
    <col min="13314" max="13314" width="4.5703125" style="6" customWidth="1"/>
    <col min="13315" max="13315" width="20.85546875" style="6" customWidth="1"/>
    <col min="13316" max="13316" width="15.5703125" style="6" customWidth="1"/>
    <col min="13317" max="13317" width="12.85546875" style="6" customWidth="1"/>
    <col min="13318" max="13318" width="9.85546875" style="6" bestFit="1" customWidth="1"/>
    <col min="13319" max="13319" width="8.140625" style="6" customWidth="1"/>
    <col min="13320" max="13320" width="9.5703125" style="6" bestFit="1" customWidth="1"/>
    <col min="13321" max="13568" width="11.5703125" style="6"/>
    <col min="13569" max="13569" width="3.5703125" style="6" customWidth="1"/>
    <col min="13570" max="13570" width="4.5703125" style="6" customWidth="1"/>
    <col min="13571" max="13571" width="20.85546875" style="6" customWidth="1"/>
    <col min="13572" max="13572" width="15.5703125" style="6" customWidth="1"/>
    <col min="13573" max="13573" width="12.85546875" style="6" customWidth="1"/>
    <col min="13574" max="13574" width="9.85546875" style="6" bestFit="1" customWidth="1"/>
    <col min="13575" max="13575" width="8.140625" style="6" customWidth="1"/>
    <col min="13576" max="13576" width="9.5703125" style="6" bestFit="1" customWidth="1"/>
    <col min="13577" max="13824" width="11.5703125" style="6"/>
    <col min="13825" max="13825" width="3.5703125" style="6" customWidth="1"/>
    <col min="13826" max="13826" width="4.5703125" style="6" customWidth="1"/>
    <col min="13827" max="13827" width="20.85546875" style="6" customWidth="1"/>
    <col min="13828" max="13828" width="15.5703125" style="6" customWidth="1"/>
    <col min="13829" max="13829" width="12.85546875" style="6" customWidth="1"/>
    <col min="13830" max="13830" width="9.85546875" style="6" bestFit="1" customWidth="1"/>
    <col min="13831" max="13831" width="8.140625" style="6" customWidth="1"/>
    <col min="13832" max="13832" width="9.5703125" style="6" bestFit="1" customWidth="1"/>
    <col min="13833" max="14080" width="11.5703125" style="6"/>
    <col min="14081" max="14081" width="3.5703125" style="6" customWidth="1"/>
    <col min="14082" max="14082" width="4.5703125" style="6" customWidth="1"/>
    <col min="14083" max="14083" width="20.85546875" style="6" customWidth="1"/>
    <col min="14084" max="14084" width="15.5703125" style="6" customWidth="1"/>
    <col min="14085" max="14085" width="12.85546875" style="6" customWidth="1"/>
    <col min="14086" max="14086" width="9.85546875" style="6" bestFit="1" customWidth="1"/>
    <col min="14087" max="14087" width="8.140625" style="6" customWidth="1"/>
    <col min="14088" max="14088" width="9.5703125" style="6" bestFit="1" customWidth="1"/>
    <col min="14089" max="14336" width="11.5703125" style="6"/>
    <col min="14337" max="14337" width="3.5703125" style="6" customWidth="1"/>
    <col min="14338" max="14338" width="4.5703125" style="6" customWidth="1"/>
    <col min="14339" max="14339" width="20.85546875" style="6" customWidth="1"/>
    <col min="14340" max="14340" width="15.5703125" style="6" customWidth="1"/>
    <col min="14341" max="14341" width="12.85546875" style="6" customWidth="1"/>
    <col min="14342" max="14342" width="9.85546875" style="6" bestFit="1" customWidth="1"/>
    <col min="14343" max="14343" width="8.140625" style="6" customWidth="1"/>
    <col min="14344" max="14344" width="9.5703125" style="6" bestFit="1" customWidth="1"/>
    <col min="14345" max="14592" width="11.5703125" style="6"/>
    <col min="14593" max="14593" width="3.5703125" style="6" customWidth="1"/>
    <col min="14594" max="14594" width="4.5703125" style="6" customWidth="1"/>
    <col min="14595" max="14595" width="20.85546875" style="6" customWidth="1"/>
    <col min="14596" max="14596" width="15.5703125" style="6" customWidth="1"/>
    <col min="14597" max="14597" width="12.85546875" style="6" customWidth="1"/>
    <col min="14598" max="14598" width="9.85546875" style="6" bestFit="1" customWidth="1"/>
    <col min="14599" max="14599" width="8.140625" style="6" customWidth="1"/>
    <col min="14600" max="14600" width="9.5703125" style="6" bestFit="1" customWidth="1"/>
    <col min="14601" max="14848" width="11.5703125" style="6"/>
    <col min="14849" max="14849" width="3.5703125" style="6" customWidth="1"/>
    <col min="14850" max="14850" width="4.5703125" style="6" customWidth="1"/>
    <col min="14851" max="14851" width="20.85546875" style="6" customWidth="1"/>
    <col min="14852" max="14852" width="15.5703125" style="6" customWidth="1"/>
    <col min="14853" max="14853" width="12.85546875" style="6" customWidth="1"/>
    <col min="14854" max="14854" width="9.85546875" style="6" bestFit="1" customWidth="1"/>
    <col min="14855" max="14855" width="8.140625" style="6" customWidth="1"/>
    <col min="14856" max="14856" width="9.5703125" style="6" bestFit="1" customWidth="1"/>
    <col min="14857" max="15104" width="11.5703125" style="6"/>
    <col min="15105" max="15105" width="3.5703125" style="6" customWidth="1"/>
    <col min="15106" max="15106" width="4.5703125" style="6" customWidth="1"/>
    <col min="15107" max="15107" width="20.85546875" style="6" customWidth="1"/>
    <col min="15108" max="15108" width="15.5703125" style="6" customWidth="1"/>
    <col min="15109" max="15109" width="12.85546875" style="6" customWidth="1"/>
    <col min="15110" max="15110" width="9.85546875" style="6" bestFit="1" customWidth="1"/>
    <col min="15111" max="15111" width="8.140625" style="6" customWidth="1"/>
    <col min="15112" max="15112" width="9.5703125" style="6" bestFit="1" customWidth="1"/>
    <col min="15113" max="15360" width="11.5703125" style="6"/>
    <col min="15361" max="15361" width="3.5703125" style="6" customWidth="1"/>
    <col min="15362" max="15362" width="4.5703125" style="6" customWidth="1"/>
    <col min="15363" max="15363" width="20.85546875" style="6" customWidth="1"/>
    <col min="15364" max="15364" width="15.5703125" style="6" customWidth="1"/>
    <col min="15365" max="15365" width="12.85546875" style="6" customWidth="1"/>
    <col min="15366" max="15366" width="9.85546875" style="6" bestFit="1" customWidth="1"/>
    <col min="15367" max="15367" width="8.140625" style="6" customWidth="1"/>
    <col min="15368" max="15368" width="9.5703125" style="6" bestFit="1" customWidth="1"/>
    <col min="15369" max="15616" width="11.5703125" style="6"/>
    <col min="15617" max="15617" width="3.5703125" style="6" customWidth="1"/>
    <col min="15618" max="15618" width="4.5703125" style="6" customWidth="1"/>
    <col min="15619" max="15619" width="20.85546875" style="6" customWidth="1"/>
    <col min="15620" max="15620" width="15.5703125" style="6" customWidth="1"/>
    <col min="15621" max="15621" width="12.85546875" style="6" customWidth="1"/>
    <col min="15622" max="15622" width="9.85546875" style="6" bestFit="1" customWidth="1"/>
    <col min="15623" max="15623" width="8.140625" style="6" customWidth="1"/>
    <col min="15624" max="15624" width="9.5703125" style="6" bestFit="1" customWidth="1"/>
    <col min="15625" max="15872" width="11.5703125" style="6"/>
    <col min="15873" max="15873" width="3.5703125" style="6" customWidth="1"/>
    <col min="15874" max="15874" width="4.5703125" style="6" customWidth="1"/>
    <col min="15875" max="15875" width="20.85546875" style="6" customWidth="1"/>
    <col min="15876" max="15876" width="15.5703125" style="6" customWidth="1"/>
    <col min="15877" max="15877" width="12.85546875" style="6" customWidth="1"/>
    <col min="15878" max="15878" width="9.85546875" style="6" bestFit="1" customWidth="1"/>
    <col min="15879" max="15879" width="8.140625" style="6" customWidth="1"/>
    <col min="15880" max="15880" width="9.5703125" style="6" bestFit="1" customWidth="1"/>
    <col min="15881" max="16128" width="11.5703125" style="6"/>
    <col min="16129" max="16129" width="3.5703125" style="6" customWidth="1"/>
    <col min="16130" max="16130" width="4.5703125" style="6" customWidth="1"/>
    <col min="16131" max="16131" width="20.85546875" style="6" customWidth="1"/>
    <col min="16132" max="16132" width="15.5703125" style="6" customWidth="1"/>
    <col min="16133" max="16133" width="12.85546875" style="6" customWidth="1"/>
    <col min="16134" max="16134" width="9.85546875" style="6" bestFit="1" customWidth="1"/>
    <col min="16135" max="16135" width="8.140625" style="6" customWidth="1"/>
    <col min="16136" max="16136" width="9.5703125" style="6" bestFit="1" customWidth="1"/>
    <col min="16137" max="16384" width="11.5703125" style="6"/>
  </cols>
  <sheetData>
    <row r="5" spans="1:17" x14ac:dyDescent="0.25">
      <c r="A5" s="1" t="s">
        <v>0</v>
      </c>
      <c r="B5" s="2"/>
      <c r="C5" s="2"/>
    </row>
    <row r="6" spans="1:17" ht="9" customHeight="1" x14ac:dyDescent="0.25">
      <c r="A6" s="1"/>
      <c r="B6" s="2"/>
      <c r="C6" s="2"/>
    </row>
    <row r="7" spans="1:17" s="8" customFormat="1" ht="15" x14ac:dyDescent="0.25">
      <c r="A7" s="8" t="s">
        <v>83</v>
      </c>
      <c r="B7" s="7"/>
      <c r="D7" s="25"/>
      <c r="E7" s="173" t="s">
        <v>2</v>
      </c>
      <c r="F7" s="174"/>
      <c r="G7" s="175">
        <v>45594</v>
      </c>
      <c r="H7" s="176"/>
    </row>
    <row r="8" spans="1:17" s="8" customFormat="1" ht="15" x14ac:dyDescent="0.25">
      <c r="A8" s="8" t="s">
        <v>84</v>
      </c>
      <c r="B8" s="7"/>
      <c r="D8" s="25"/>
      <c r="E8" s="177" t="s">
        <v>4</v>
      </c>
      <c r="F8" s="178"/>
      <c r="H8" s="107">
        <v>10252</v>
      </c>
      <c r="K8" s="108"/>
    </row>
    <row r="9" spans="1:17" s="8" customFormat="1" ht="15" x14ac:dyDescent="0.25">
      <c r="A9" s="8" t="s">
        <v>85</v>
      </c>
      <c r="B9" s="7"/>
      <c r="D9" s="25"/>
      <c r="E9" s="177" t="s">
        <v>6</v>
      </c>
      <c r="F9" s="178"/>
      <c r="G9" s="179" t="s">
        <v>86</v>
      </c>
      <c r="H9" s="180"/>
      <c r="K9" s="108"/>
      <c r="L9" s="9"/>
      <c r="N9" s="109"/>
      <c r="O9" s="33"/>
      <c r="P9" s="11"/>
      <c r="Q9" s="110"/>
    </row>
    <row r="10" spans="1:17" s="8" customFormat="1" ht="15" x14ac:dyDescent="0.25">
      <c r="A10" s="23" t="s">
        <v>87</v>
      </c>
      <c r="B10" s="7"/>
      <c r="D10" s="25"/>
      <c r="E10" s="16" t="s">
        <v>33</v>
      </c>
      <c r="F10" s="17"/>
      <c r="G10" s="183" t="s">
        <v>95</v>
      </c>
      <c r="H10" s="184"/>
      <c r="K10" s="108"/>
      <c r="L10" s="9"/>
      <c r="N10" s="109"/>
      <c r="O10" s="33"/>
      <c r="P10" s="11"/>
      <c r="Q10" s="110"/>
    </row>
    <row r="11" spans="1:17" s="8" customFormat="1" ht="15" x14ac:dyDescent="0.25">
      <c r="B11" s="7"/>
      <c r="D11" s="25"/>
      <c r="E11" s="19" t="s">
        <v>9</v>
      </c>
      <c r="F11" s="191" t="s">
        <v>10</v>
      </c>
      <c r="G11" s="191"/>
      <c r="H11" s="192"/>
    </row>
    <row r="12" spans="1:17" s="8" customFormat="1" ht="15" x14ac:dyDescent="0.25">
      <c r="A12" s="23"/>
      <c r="B12" s="7"/>
      <c r="D12" s="25"/>
      <c r="E12" s="20" t="s">
        <v>11</v>
      </c>
      <c r="F12" s="167" t="s">
        <v>12</v>
      </c>
      <c r="G12" s="167"/>
      <c r="H12" s="168"/>
    </row>
    <row r="13" spans="1:17" s="8" customFormat="1" ht="15" x14ac:dyDescent="0.25">
      <c r="A13" s="23"/>
      <c r="B13" s="7"/>
      <c r="D13" s="25"/>
      <c r="E13" s="11"/>
      <c r="F13" s="111"/>
      <c r="G13" s="111"/>
      <c r="H13" s="111"/>
    </row>
    <row r="14" spans="1:17" s="8" customFormat="1" ht="15" x14ac:dyDescent="0.25">
      <c r="A14" s="23"/>
      <c r="B14" s="7"/>
      <c r="D14" s="25"/>
      <c r="E14" s="11"/>
      <c r="F14" s="111"/>
      <c r="G14" s="111"/>
      <c r="H14" s="111"/>
    </row>
    <row r="15" spans="1:17" s="8" customFormat="1" ht="15" x14ac:dyDescent="0.25">
      <c r="A15" s="23"/>
      <c r="B15" s="7"/>
      <c r="D15" s="25"/>
      <c r="E15" s="11"/>
      <c r="F15" s="111"/>
      <c r="G15" s="111"/>
      <c r="H15" s="111"/>
    </row>
    <row r="16" spans="1:17" s="23" customFormat="1" ht="14.25" x14ac:dyDescent="0.2">
      <c r="A16" s="169" t="s">
        <v>13</v>
      </c>
      <c r="B16" s="169"/>
      <c r="C16" s="169"/>
      <c r="D16" s="169"/>
      <c r="E16" s="169"/>
      <c r="F16" s="169"/>
      <c r="G16" s="169"/>
      <c r="H16" s="169"/>
    </row>
    <row r="17" spans="1:8" s="23" customFormat="1" ht="14.25" x14ac:dyDescent="0.2">
      <c r="A17" s="24"/>
      <c r="B17" s="24"/>
      <c r="C17" s="24"/>
      <c r="D17" s="24"/>
      <c r="E17" s="24"/>
      <c r="F17" s="24"/>
      <c r="G17" s="24"/>
      <c r="H17" s="24"/>
    </row>
    <row r="18" spans="1:8" s="8" customFormat="1" ht="12.75" customHeight="1" x14ac:dyDescent="0.25">
      <c r="D18" s="25"/>
      <c r="E18" s="11"/>
      <c r="F18" s="22"/>
    </row>
    <row r="19" spans="1:8" s="8" customFormat="1" ht="15" x14ac:dyDescent="0.25">
      <c r="A19" s="8" t="s">
        <v>14</v>
      </c>
      <c r="B19" s="7"/>
      <c r="D19" s="25"/>
      <c r="E19" s="11"/>
      <c r="F19" s="25"/>
      <c r="G19" s="22"/>
    </row>
    <row r="20" spans="1:8" s="8" customFormat="1" ht="15" x14ac:dyDescent="0.25">
      <c r="A20" s="8" t="s">
        <v>15</v>
      </c>
      <c r="B20" s="7"/>
      <c r="D20" s="25"/>
      <c r="E20" s="11"/>
      <c r="F20" s="25"/>
      <c r="G20" s="22"/>
    </row>
    <row r="21" spans="1:8" s="8" customFormat="1" ht="9" customHeight="1" x14ac:dyDescent="0.25">
      <c r="D21" s="25"/>
      <c r="E21" s="11"/>
      <c r="F21" s="22"/>
    </row>
    <row r="22" spans="1:8" s="8" customFormat="1" ht="15" x14ac:dyDescent="0.25">
      <c r="A22" s="27" t="s">
        <v>16</v>
      </c>
      <c r="B22" s="28"/>
      <c r="C22" s="27"/>
      <c r="D22" s="25"/>
      <c r="E22" s="25" t="s">
        <v>17</v>
      </c>
      <c r="F22" s="11" t="s">
        <v>18</v>
      </c>
      <c r="G22" s="25" t="s">
        <v>88</v>
      </c>
      <c r="H22" s="11" t="s">
        <v>20</v>
      </c>
    </row>
    <row r="23" spans="1:8" s="8" customFormat="1" ht="15" x14ac:dyDescent="0.25">
      <c r="A23" s="29" t="s">
        <v>21</v>
      </c>
      <c r="B23" s="29"/>
      <c r="C23" s="29"/>
      <c r="D23" s="112"/>
      <c r="E23" s="112" t="s">
        <v>89</v>
      </c>
      <c r="F23" s="21"/>
      <c r="G23" s="112" t="s">
        <v>90</v>
      </c>
      <c r="H23" s="113"/>
    </row>
    <row r="24" spans="1:8" s="8" customFormat="1" ht="15" x14ac:dyDescent="0.25">
      <c r="A24" s="8">
        <v>33</v>
      </c>
      <c r="B24" s="8" t="s">
        <v>91</v>
      </c>
      <c r="D24" s="9"/>
    </row>
    <row r="25" spans="1:8" s="8" customFormat="1" ht="15" x14ac:dyDescent="0.25">
      <c r="B25" s="8" t="s">
        <v>92</v>
      </c>
      <c r="D25" s="97"/>
      <c r="F25" s="109"/>
      <c r="G25" s="33"/>
      <c r="H25" s="11"/>
    </row>
    <row r="26" spans="1:8" s="8" customFormat="1" ht="15" x14ac:dyDescent="0.25">
      <c r="C26" s="108">
        <v>45383</v>
      </c>
      <c r="D26" s="97">
        <v>45450</v>
      </c>
      <c r="E26" s="109">
        <f>51812.12*4</f>
        <v>207248.48</v>
      </c>
      <c r="F26" s="33" t="s">
        <v>93</v>
      </c>
      <c r="G26" s="120" t="s">
        <v>96</v>
      </c>
      <c r="H26" s="110">
        <f>11.5/10*299</f>
        <v>343.84999999999997</v>
      </c>
    </row>
    <row r="27" spans="1:8" s="8" customFormat="1" ht="15" x14ac:dyDescent="0.25">
      <c r="C27" s="108">
        <v>45413</v>
      </c>
      <c r="D27" s="97">
        <v>45483</v>
      </c>
      <c r="E27" s="109">
        <f>+E26</f>
        <v>207248.48</v>
      </c>
      <c r="F27" s="33" t="s">
        <v>93</v>
      </c>
      <c r="G27" s="11" t="str">
        <f>+G26</f>
        <v>11,5/10</v>
      </c>
      <c r="H27" s="110">
        <f t="shared" ref="H27:H28" si="0">11.5/10*299</f>
        <v>343.84999999999997</v>
      </c>
    </row>
    <row r="28" spans="1:8" s="8" customFormat="1" ht="15" x14ac:dyDescent="0.25">
      <c r="C28" s="108">
        <v>45444</v>
      </c>
      <c r="D28" s="97">
        <v>45511</v>
      </c>
      <c r="E28" s="109">
        <f>+E27</f>
        <v>207248.48</v>
      </c>
      <c r="F28" s="33" t="s">
        <v>93</v>
      </c>
      <c r="G28" s="11" t="str">
        <f>+G27</f>
        <v>11,5/10</v>
      </c>
      <c r="H28" s="110">
        <f t="shared" si="0"/>
        <v>343.84999999999997</v>
      </c>
    </row>
    <row r="29" spans="1:8" s="8" customFormat="1" ht="6.75" customHeight="1" x14ac:dyDescent="0.25">
      <c r="D29" s="97"/>
      <c r="F29" s="109"/>
      <c r="G29" s="33"/>
      <c r="H29" s="11"/>
    </row>
    <row r="30" spans="1:8" s="8" customFormat="1" ht="15" x14ac:dyDescent="0.25">
      <c r="D30" s="97"/>
      <c r="F30" s="109"/>
      <c r="G30" s="33"/>
      <c r="H30" s="11"/>
    </row>
    <row r="31" spans="1:8" s="8" customFormat="1" ht="15" x14ac:dyDescent="0.25">
      <c r="D31" s="97"/>
      <c r="F31" s="109"/>
      <c r="G31" s="33"/>
      <c r="H31" s="11"/>
    </row>
    <row r="32" spans="1:8" s="8" customFormat="1" ht="6.75" customHeight="1" x14ac:dyDescent="0.25">
      <c r="D32" s="9"/>
      <c r="F32" s="109"/>
      <c r="G32" s="11"/>
      <c r="H32" s="114"/>
    </row>
    <row r="33" spans="1:8" s="8" customFormat="1" ht="15" x14ac:dyDescent="0.25">
      <c r="A33" s="8">
        <v>16</v>
      </c>
      <c r="B33" s="8" t="s">
        <v>27</v>
      </c>
      <c r="D33" s="115"/>
      <c r="E33" s="116">
        <f>SUM(H26:H28)*0.2</f>
        <v>206.31</v>
      </c>
      <c r="F33" s="109"/>
      <c r="G33" s="11"/>
      <c r="H33" s="110">
        <v>20</v>
      </c>
    </row>
    <row r="34" spans="1:8" s="8" customFormat="1" ht="15" x14ac:dyDescent="0.25">
      <c r="B34" s="29" t="s">
        <v>28</v>
      </c>
      <c r="C34" s="29"/>
      <c r="D34" s="18"/>
      <c r="E34" s="29"/>
      <c r="F34" s="117"/>
      <c r="G34" s="21"/>
      <c r="H34" s="118"/>
    </row>
    <row r="35" spans="1:8" s="8" customFormat="1" ht="15" x14ac:dyDescent="0.25">
      <c r="B35" s="7"/>
      <c r="C35" s="7"/>
      <c r="E35" s="8" t="s">
        <v>29</v>
      </c>
      <c r="G35" s="7"/>
      <c r="H35" s="110">
        <f>SUM(H24:H34)</f>
        <v>1051.55</v>
      </c>
    </row>
    <row r="36" spans="1:8" s="8" customFormat="1" ht="15" x14ac:dyDescent="0.25">
      <c r="E36" s="36" t="s">
        <v>30</v>
      </c>
      <c r="G36" s="7"/>
      <c r="H36" s="118">
        <f>+H35*0.19</f>
        <v>199.7945</v>
      </c>
    </row>
    <row r="37" spans="1:8" s="8" customFormat="1" thickBot="1" x14ac:dyDescent="0.3">
      <c r="E37" s="37" t="s">
        <v>31</v>
      </c>
      <c r="F37" s="38"/>
      <c r="G37" s="38"/>
      <c r="H37" s="119">
        <f>+H35+H36</f>
        <v>1251.3444999999999</v>
      </c>
    </row>
    <row r="38" spans="1:8" s="8" customFormat="1" thickTop="1" x14ac:dyDescent="0.25">
      <c r="F38" s="41"/>
      <c r="G38" s="11"/>
      <c r="H38" s="110"/>
    </row>
    <row r="39" spans="1:8" s="8" customFormat="1" ht="15" x14ac:dyDescent="0.25">
      <c r="A39" s="8" t="s">
        <v>114</v>
      </c>
      <c r="B39" s="7"/>
      <c r="D39" s="25"/>
      <c r="E39" s="11"/>
      <c r="F39" s="22"/>
    </row>
    <row r="40" spans="1:8" s="8" customFormat="1" ht="15" x14ac:dyDescent="0.25">
      <c r="D40" s="25"/>
      <c r="E40" s="11"/>
      <c r="F40" s="22"/>
    </row>
    <row r="41" spans="1:8" s="8" customFormat="1" ht="15" x14ac:dyDescent="0.25">
      <c r="D41" s="25"/>
      <c r="E41" s="11"/>
      <c r="F41" s="22"/>
    </row>
    <row r="42" spans="1:8" s="8" customFormat="1" ht="15" x14ac:dyDescent="0.25">
      <c r="D42" s="25"/>
      <c r="E42" s="11"/>
      <c r="F42" s="22"/>
    </row>
    <row r="43" spans="1:8" s="8" customFormat="1" ht="15" x14ac:dyDescent="0.25">
      <c r="B43" s="29"/>
      <c r="C43" s="29"/>
      <c r="D43" s="25"/>
      <c r="E43" s="11"/>
      <c r="F43" s="22"/>
    </row>
    <row r="49" spans="1:8" x14ac:dyDescent="0.25">
      <c r="A49" s="170" t="s">
        <v>94</v>
      </c>
      <c r="B49" s="170"/>
      <c r="C49" s="170"/>
      <c r="D49" s="170"/>
      <c r="E49" s="170"/>
      <c r="F49" s="170"/>
      <c r="G49" s="170"/>
      <c r="H49" s="170"/>
    </row>
  </sheetData>
  <mergeCells count="10">
    <mergeCell ref="F11:H11"/>
    <mergeCell ref="F12:H12"/>
    <mergeCell ref="A16:H16"/>
    <mergeCell ref="A49:H49"/>
    <mergeCell ref="E7:F7"/>
    <mergeCell ref="G7:H7"/>
    <mergeCell ref="E8:F8"/>
    <mergeCell ref="E9:F9"/>
    <mergeCell ref="G9:H9"/>
    <mergeCell ref="G10:H10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2B11-8D68-4364-AD6A-5F91C8ACB49A}">
  <dimension ref="A5:J49"/>
  <sheetViews>
    <sheetView topLeftCell="A22" workbookViewId="0">
      <selection activeCell="A49" sqref="A49:H49"/>
    </sheetView>
  </sheetViews>
  <sheetFormatPr baseColWidth="10" defaultColWidth="11.5703125" defaultRowHeight="15.75" x14ac:dyDescent="0.25"/>
  <cols>
    <col min="1" max="1" width="3.5703125" style="52" customWidth="1"/>
    <col min="2" max="2" width="29.42578125" style="52" customWidth="1"/>
    <col min="3" max="3" width="6.28515625" style="52" customWidth="1"/>
    <col min="4" max="4" width="4.140625" style="49" customWidth="1"/>
    <col min="5" max="5" width="15.140625" style="50" customWidth="1"/>
    <col min="6" max="6" width="6.85546875" style="51" customWidth="1"/>
    <col min="7" max="7" width="9.28515625" style="52" customWidth="1"/>
    <col min="8" max="8" width="10.7109375" style="52" customWidth="1"/>
    <col min="9" max="9" width="1.5703125" style="52" customWidth="1"/>
    <col min="10" max="256" width="11.5703125" style="52"/>
    <col min="257" max="257" width="3.5703125" style="52" customWidth="1"/>
    <col min="258" max="258" width="29.42578125" style="52" customWidth="1"/>
    <col min="259" max="259" width="6.28515625" style="52" customWidth="1"/>
    <col min="260" max="260" width="4.140625" style="52" customWidth="1"/>
    <col min="261" max="261" width="15.140625" style="52" customWidth="1"/>
    <col min="262" max="262" width="6.85546875" style="52" customWidth="1"/>
    <col min="263" max="263" width="9.28515625" style="52" customWidth="1"/>
    <col min="264" max="264" width="10.7109375" style="52" customWidth="1"/>
    <col min="265" max="265" width="1.5703125" style="52" customWidth="1"/>
    <col min="266" max="512" width="11.5703125" style="52"/>
    <col min="513" max="513" width="3.5703125" style="52" customWidth="1"/>
    <col min="514" max="514" width="29.42578125" style="52" customWidth="1"/>
    <col min="515" max="515" width="6.28515625" style="52" customWidth="1"/>
    <col min="516" max="516" width="4.140625" style="52" customWidth="1"/>
    <col min="517" max="517" width="15.140625" style="52" customWidth="1"/>
    <col min="518" max="518" width="6.85546875" style="52" customWidth="1"/>
    <col min="519" max="519" width="9.28515625" style="52" customWidth="1"/>
    <col min="520" max="520" width="10.7109375" style="52" customWidth="1"/>
    <col min="521" max="521" width="1.5703125" style="52" customWidth="1"/>
    <col min="522" max="768" width="11.5703125" style="52"/>
    <col min="769" max="769" width="3.5703125" style="52" customWidth="1"/>
    <col min="770" max="770" width="29.42578125" style="52" customWidth="1"/>
    <col min="771" max="771" width="6.28515625" style="52" customWidth="1"/>
    <col min="772" max="772" width="4.140625" style="52" customWidth="1"/>
    <col min="773" max="773" width="15.140625" style="52" customWidth="1"/>
    <col min="774" max="774" width="6.85546875" style="52" customWidth="1"/>
    <col min="775" max="775" width="9.28515625" style="52" customWidth="1"/>
    <col min="776" max="776" width="10.7109375" style="52" customWidth="1"/>
    <col min="777" max="777" width="1.5703125" style="52" customWidth="1"/>
    <col min="778" max="1024" width="11.5703125" style="52"/>
    <col min="1025" max="1025" width="3.5703125" style="52" customWidth="1"/>
    <col min="1026" max="1026" width="29.42578125" style="52" customWidth="1"/>
    <col min="1027" max="1027" width="6.28515625" style="52" customWidth="1"/>
    <col min="1028" max="1028" width="4.140625" style="52" customWidth="1"/>
    <col min="1029" max="1029" width="15.140625" style="52" customWidth="1"/>
    <col min="1030" max="1030" width="6.85546875" style="52" customWidth="1"/>
    <col min="1031" max="1031" width="9.28515625" style="52" customWidth="1"/>
    <col min="1032" max="1032" width="10.7109375" style="52" customWidth="1"/>
    <col min="1033" max="1033" width="1.5703125" style="52" customWidth="1"/>
    <col min="1034" max="1280" width="11.5703125" style="52"/>
    <col min="1281" max="1281" width="3.5703125" style="52" customWidth="1"/>
    <col min="1282" max="1282" width="29.42578125" style="52" customWidth="1"/>
    <col min="1283" max="1283" width="6.28515625" style="52" customWidth="1"/>
    <col min="1284" max="1284" width="4.140625" style="52" customWidth="1"/>
    <col min="1285" max="1285" width="15.140625" style="52" customWidth="1"/>
    <col min="1286" max="1286" width="6.85546875" style="52" customWidth="1"/>
    <col min="1287" max="1287" width="9.28515625" style="52" customWidth="1"/>
    <col min="1288" max="1288" width="10.7109375" style="52" customWidth="1"/>
    <col min="1289" max="1289" width="1.5703125" style="52" customWidth="1"/>
    <col min="1290" max="1536" width="11.5703125" style="52"/>
    <col min="1537" max="1537" width="3.5703125" style="52" customWidth="1"/>
    <col min="1538" max="1538" width="29.42578125" style="52" customWidth="1"/>
    <col min="1539" max="1539" width="6.28515625" style="52" customWidth="1"/>
    <col min="1540" max="1540" width="4.140625" style="52" customWidth="1"/>
    <col min="1541" max="1541" width="15.140625" style="52" customWidth="1"/>
    <col min="1542" max="1542" width="6.85546875" style="52" customWidth="1"/>
    <col min="1543" max="1543" width="9.28515625" style="52" customWidth="1"/>
    <col min="1544" max="1544" width="10.7109375" style="52" customWidth="1"/>
    <col min="1545" max="1545" width="1.5703125" style="52" customWidth="1"/>
    <col min="1546" max="1792" width="11.5703125" style="52"/>
    <col min="1793" max="1793" width="3.5703125" style="52" customWidth="1"/>
    <col min="1794" max="1794" width="29.42578125" style="52" customWidth="1"/>
    <col min="1795" max="1795" width="6.28515625" style="52" customWidth="1"/>
    <col min="1796" max="1796" width="4.140625" style="52" customWidth="1"/>
    <col min="1797" max="1797" width="15.140625" style="52" customWidth="1"/>
    <col min="1798" max="1798" width="6.85546875" style="52" customWidth="1"/>
    <col min="1799" max="1799" width="9.28515625" style="52" customWidth="1"/>
    <col min="1800" max="1800" width="10.7109375" style="52" customWidth="1"/>
    <col min="1801" max="1801" width="1.5703125" style="52" customWidth="1"/>
    <col min="1802" max="2048" width="11.5703125" style="52"/>
    <col min="2049" max="2049" width="3.5703125" style="52" customWidth="1"/>
    <col min="2050" max="2050" width="29.42578125" style="52" customWidth="1"/>
    <col min="2051" max="2051" width="6.28515625" style="52" customWidth="1"/>
    <col min="2052" max="2052" width="4.140625" style="52" customWidth="1"/>
    <col min="2053" max="2053" width="15.140625" style="52" customWidth="1"/>
    <col min="2054" max="2054" width="6.85546875" style="52" customWidth="1"/>
    <col min="2055" max="2055" width="9.28515625" style="52" customWidth="1"/>
    <col min="2056" max="2056" width="10.7109375" style="52" customWidth="1"/>
    <col min="2057" max="2057" width="1.5703125" style="52" customWidth="1"/>
    <col min="2058" max="2304" width="11.5703125" style="52"/>
    <col min="2305" max="2305" width="3.5703125" style="52" customWidth="1"/>
    <col min="2306" max="2306" width="29.42578125" style="52" customWidth="1"/>
    <col min="2307" max="2307" width="6.28515625" style="52" customWidth="1"/>
    <col min="2308" max="2308" width="4.140625" style="52" customWidth="1"/>
    <col min="2309" max="2309" width="15.140625" style="52" customWidth="1"/>
    <col min="2310" max="2310" width="6.85546875" style="52" customWidth="1"/>
    <col min="2311" max="2311" width="9.28515625" style="52" customWidth="1"/>
    <col min="2312" max="2312" width="10.7109375" style="52" customWidth="1"/>
    <col min="2313" max="2313" width="1.5703125" style="52" customWidth="1"/>
    <col min="2314" max="2560" width="11.5703125" style="52"/>
    <col min="2561" max="2561" width="3.5703125" style="52" customWidth="1"/>
    <col min="2562" max="2562" width="29.42578125" style="52" customWidth="1"/>
    <col min="2563" max="2563" width="6.28515625" style="52" customWidth="1"/>
    <col min="2564" max="2564" width="4.140625" style="52" customWidth="1"/>
    <col min="2565" max="2565" width="15.140625" style="52" customWidth="1"/>
    <col min="2566" max="2566" width="6.85546875" style="52" customWidth="1"/>
    <col min="2567" max="2567" width="9.28515625" style="52" customWidth="1"/>
    <col min="2568" max="2568" width="10.7109375" style="52" customWidth="1"/>
    <col min="2569" max="2569" width="1.5703125" style="52" customWidth="1"/>
    <col min="2570" max="2816" width="11.5703125" style="52"/>
    <col min="2817" max="2817" width="3.5703125" style="52" customWidth="1"/>
    <col min="2818" max="2818" width="29.42578125" style="52" customWidth="1"/>
    <col min="2819" max="2819" width="6.28515625" style="52" customWidth="1"/>
    <col min="2820" max="2820" width="4.140625" style="52" customWidth="1"/>
    <col min="2821" max="2821" width="15.140625" style="52" customWidth="1"/>
    <col min="2822" max="2822" width="6.85546875" style="52" customWidth="1"/>
    <col min="2823" max="2823" width="9.28515625" style="52" customWidth="1"/>
    <col min="2824" max="2824" width="10.7109375" style="52" customWidth="1"/>
    <col min="2825" max="2825" width="1.5703125" style="52" customWidth="1"/>
    <col min="2826" max="3072" width="11.5703125" style="52"/>
    <col min="3073" max="3073" width="3.5703125" style="52" customWidth="1"/>
    <col min="3074" max="3074" width="29.42578125" style="52" customWidth="1"/>
    <col min="3075" max="3075" width="6.28515625" style="52" customWidth="1"/>
    <col min="3076" max="3076" width="4.140625" style="52" customWidth="1"/>
    <col min="3077" max="3077" width="15.140625" style="52" customWidth="1"/>
    <col min="3078" max="3078" width="6.85546875" style="52" customWidth="1"/>
    <col min="3079" max="3079" width="9.28515625" style="52" customWidth="1"/>
    <col min="3080" max="3080" width="10.7109375" style="52" customWidth="1"/>
    <col min="3081" max="3081" width="1.5703125" style="52" customWidth="1"/>
    <col min="3082" max="3328" width="11.5703125" style="52"/>
    <col min="3329" max="3329" width="3.5703125" style="52" customWidth="1"/>
    <col min="3330" max="3330" width="29.42578125" style="52" customWidth="1"/>
    <col min="3331" max="3331" width="6.28515625" style="52" customWidth="1"/>
    <col min="3332" max="3332" width="4.140625" style="52" customWidth="1"/>
    <col min="3333" max="3333" width="15.140625" style="52" customWidth="1"/>
    <col min="3334" max="3334" width="6.85546875" style="52" customWidth="1"/>
    <col min="3335" max="3335" width="9.28515625" style="52" customWidth="1"/>
    <col min="3336" max="3336" width="10.7109375" style="52" customWidth="1"/>
    <col min="3337" max="3337" width="1.5703125" style="52" customWidth="1"/>
    <col min="3338" max="3584" width="11.5703125" style="52"/>
    <col min="3585" max="3585" width="3.5703125" style="52" customWidth="1"/>
    <col min="3586" max="3586" width="29.42578125" style="52" customWidth="1"/>
    <col min="3587" max="3587" width="6.28515625" style="52" customWidth="1"/>
    <col min="3588" max="3588" width="4.140625" style="52" customWidth="1"/>
    <col min="3589" max="3589" width="15.140625" style="52" customWidth="1"/>
    <col min="3590" max="3590" width="6.85546875" style="52" customWidth="1"/>
    <col min="3591" max="3591" width="9.28515625" style="52" customWidth="1"/>
    <col min="3592" max="3592" width="10.7109375" style="52" customWidth="1"/>
    <col min="3593" max="3593" width="1.5703125" style="52" customWidth="1"/>
    <col min="3594" max="3840" width="11.5703125" style="52"/>
    <col min="3841" max="3841" width="3.5703125" style="52" customWidth="1"/>
    <col min="3842" max="3842" width="29.42578125" style="52" customWidth="1"/>
    <col min="3843" max="3843" width="6.28515625" style="52" customWidth="1"/>
    <col min="3844" max="3844" width="4.140625" style="52" customWidth="1"/>
    <col min="3845" max="3845" width="15.140625" style="52" customWidth="1"/>
    <col min="3846" max="3846" width="6.85546875" style="52" customWidth="1"/>
    <col min="3847" max="3847" width="9.28515625" style="52" customWidth="1"/>
    <col min="3848" max="3848" width="10.7109375" style="52" customWidth="1"/>
    <col min="3849" max="3849" width="1.5703125" style="52" customWidth="1"/>
    <col min="3850" max="4096" width="11.5703125" style="52"/>
    <col min="4097" max="4097" width="3.5703125" style="52" customWidth="1"/>
    <col min="4098" max="4098" width="29.42578125" style="52" customWidth="1"/>
    <col min="4099" max="4099" width="6.28515625" style="52" customWidth="1"/>
    <col min="4100" max="4100" width="4.140625" style="52" customWidth="1"/>
    <col min="4101" max="4101" width="15.140625" style="52" customWidth="1"/>
    <col min="4102" max="4102" width="6.85546875" style="52" customWidth="1"/>
    <col min="4103" max="4103" width="9.28515625" style="52" customWidth="1"/>
    <col min="4104" max="4104" width="10.7109375" style="52" customWidth="1"/>
    <col min="4105" max="4105" width="1.5703125" style="52" customWidth="1"/>
    <col min="4106" max="4352" width="11.5703125" style="52"/>
    <col min="4353" max="4353" width="3.5703125" style="52" customWidth="1"/>
    <col min="4354" max="4354" width="29.42578125" style="52" customWidth="1"/>
    <col min="4355" max="4355" width="6.28515625" style="52" customWidth="1"/>
    <col min="4356" max="4356" width="4.140625" style="52" customWidth="1"/>
    <col min="4357" max="4357" width="15.140625" style="52" customWidth="1"/>
    <col min="4358" max="4358" width="6.85546875" style="52" customWidth="1"/>
    <col min="4359" max="4359" width="9.28515625" style="52" customWidth="1"/>
    <col min="4360" max="4360" width="10.7109375" style="52" customWidth="1"/>
    <col min="4361" max="4361" width="1.5703125" style="52" customWidth="1"/>
    <col min="4362" max="4608" width="11.5703125" style="52"/>
    <col min="4609" max="4609" width="3.5703125" style="52" customWidth="1"/>
    <col min="4610" max="4610" width="29.42578125" style="52" customWidth="1"/>
    <col min="4611" max="4611" width="6.28515625" style="52" customWidth="1"/>
    <col min="4612" max="4612" width="4.140625" style="52" customWidth="1"/>
    <col min="4613" max="4613" width="15.140625" style="52" customWidth="1"/>
    <col min="4614" max="4614" width="6.85546875" style="52" customWidth="1"/>
    <col min="4615" max="4615" width="9.28515625" style="52" customWidth="1"/>
    <col min="4616" max="4616" width="10.7109375" style="52" customWidth="1"/>
    <col min="4617" max="4617" width="1.5703125" style="52" customWidth="1"/>
    <col min="4618" max="4864" width="11.5703125" style="52"/>
    <col min="4865" max="4865" width="3.5703125" style="52" customWidth="1"/>
    <col min="4866" max="4866" width="29.42578125" style="52" customWidth="1"/>
    <col min="4867" max="4867" width="6.28515625" style="52" customWidth="1"/>
    <col min="4868" max="4868" width="4.140625" style="52" customWidth="1"/>
    <col min="4869" max="4869" width="15.140625" style="52" customWidth="1"/>
    <col min="4870" max="4870" width="6.85546875" style="52" customWidth="1"/>
    <col min="4871" max="4871" width="9.28515625" style="52" customWidth="1"/>
    <col min="4872" max="4872" width="10.7109375" style="52" customWidth="1"/>
    <col min="4873" max="4873" width="1.5703125" style="52" customWidth="1"/>
    <col min="4874" max="5120" width="11.5703125" style="52"/>
    <col min="5121" max="5121" width="3.5703125" style="52" customWidth="1"/>
    <col min="5122" max="5122" width="29.42578125" style="52" customWidth="1"/>
    <col min="5123" max="5123" width="6.28515625" style="52" customWidth="1"/>
    <col min="5124" max="5124" width="4.140625" style="52" customWidth="1"/>
    <col min="5125" max="5125" width="15.140625" style="52" customWidth="1"/>
    <col min="5126" max="5126" width="6.85546875" style="52" customWidth="1"/>
    <col min="5127" max="5127" width="9.28515625" style="52" customWidth="1"/>
    <col min="5128" max="5128" width="10.7109375" style="52" customWidth="1"/>
    <col min="5129" max="5129" width="1.5703125" style="52" customWidth="1"/>
    <col min="5130" max="5376" width="11.5703125" style="52"/>
    <col min="5377" max="5377" width="3.5703125" style="52" customWidth="1"/>
    <col min="5378" max="5378" width="29.42578125" style="52" customWidth="1"/>
    <col min="5379" max="5379" width="6.28515625" style="52" customWidth="1"/>
    <col min="5380" max="5380" width="4.140625" style="52" customWidth="1"/>
    <col min="5381" max="5381" width="15.140625" style="52" customWidth="1"/>
    <col min="5382" max="5382" width="6.85546875" style="52" customWidth="1"/>
    <col min="5383" max="5383" width="9.28515625" style="52" customWidth="1"/>
    <col min="5384" max="5384" width="10.7109375" style="52" customWidth="1"/>
    <col min="5385" max="5385" width="1.5703125" style="52" customWidth="1"/>
    <col min="5386" max="5632" width="11.5703125" style="52"/>
    <col min="5633" max="5633" width="3.5703125" style="52" customWidth="1"/>
    <col min="5634" max="5634" width="29.42578125" style="52" customWidth="1"/>
    <col min="5635" max="5635" width="6.28515625" style="52" customWidth="1"/>
    <col min="5636" max="5636" width="4.140625" style="52" customWidth="1"/>
    <col min="5637" max="5637" width="15.140625" style="52" customWidth="1"/>
    <col min="5638" max="5638" width="6.85546875" style="52" customWidth="1"/>
    <col min="5639" max="5639" width="9.28515625" style="52" customWidth="1"/>
    <col min="5640" max="5640" width="10.7109375" style="52" customWidth="1"/>
    <col min="5641" max="5641" width="1.5703125" style="52" customWidth="1"/>
    <col min="5642" max="5888" width="11.5703125" style="52"/>
    <col min="5889" max="5889" width="3.5703125" style="52" customWidth="1"/>
    <col min="5890" max="5890" width="29.42578125" style="52" customWidth="1"/>
    <col min="5891" max="5891" width="6.28515625" style="52" customWidth="1"/>
    <col min="5892" max="5892" width="4.140625" style="52" customWidth="1"/>
    <col min="5893" max="5893" width="15.140625" style="52" customWidth="1"/>
    <col min="5894" max="5894" width="6.85546875" style="52" customWidth="1"/>
    <col min="5895" max="5895" width="9.28515625" style="52" customWidth="1"/>
    <col min="5896" max="5896" width="10.7109375" style="52" customWidth="1"/>
    <col min="5897" max="5897" width="1.5703125" style="52" customWidth="1"/>
    <col min="5898" max="6144" width="11.5703125" style="52"/>
    <col min="6145" max="6145" width="3.5703125" style="52" customWidth="1"/>
    <col min="6146" max="6146" width="29.42578125" style="52" customWidth="1"/>
    <col min="6147" max="6147" width="6.28515625" style="52" customWidth="1"/>
    <col min="6148" max="6148" width="4.140625" style="52" customWidth="1"/>
    <col min="6149" max="6149" width="15.140625" style="52" customWidth="1"/>
    <col min="6150" max="6150" width="6.85546875" style="52" customWidth="1"/>
    <col min="6151" max="6151" width="9.28515625" style="52" customWidth="1"/>
    <col min="6152" max="6152" width="10.7109375" style="52" customWidth="1"/>
    <col min="6153" max="6153" width="1.5703125" style="52" customWidth="1"/>
    <col min="6154" max="6400" width="11.5703125" style="52"/>
    <col min="6401" max="6401" width="3.5703125" style="52" customWidth="1"/>
    <col min="6402" max="6402" width="29.42578125" style="52" customWidth="1"/>
    <col min="6403" max="6403" width="6.28515625" style="52" customWidth="1"/>
    <col min="6404" max="6404" width="4.140625" style="52" customWidth="1"/>
    <col min="6405" max="6405" width="15.140625" style="52" customWidth="1"/>
    <col min="6406" max="6406" width="6.85546875" style="52" customWidth="1"/>
    <col min="6407" max="6407" width="9.28515625" style="52" customWidth="1"/>
    <col min="6408" max="6408" width="10.7109375" style="52" customWidth="1"/>
    <col min="6409" max="6409" width="1.5703125" style="52" customWidth="1"/>
    <col min="6410" max="6656" width="11.5703125" style="52"/>
    <col min="6657" max="6657" width="3.5703125" style="52" customWidth="1"/>
    <col min="6658" max="6658" width="29.42578125" style="52" customWidth="1"/>
    <col min="6659" max="6659" width="6.28515625" style="52" customWidth="1"/>
    <col min="6660" max="6660" width="4.140625" style="52" customWidth="1"/>
    <col min="6661" max="6661" width="15.140625" style="52" customWidth="1"/>
    <col min="6662" max="6662" width="6.85546875" style="52" customWidth="1"/>
    <col min="6663" max="6663" width="9.28515625" style="52" customWidth="1"/>
    <col min="6664" max="6664" width="10.7109375" style="52" customWidth="1"/>
    <col min="6665" max="6665" width="1.5703125" style="52" customWidth="1"/>
    <col min="6666" max="6912" width="11.5703125" style="52"/>
    <col min="6913" max="6913" width="3.5703125" style="52" customWidth="1"/>
    <col min="6914" max="6914" width="29.42578125" style="52" customWidth="1"/>
    <col min="6915" max="6915" width="6.28515625" style="52" customWidth="1"/>
    <col min="6916" max="6916" width="4.140625" style="52" customWidth="1"/>
    <col min="6917" max="6917" width="15.140625" style="52" customWidth="1"/>
    <col min="6918" max="6918" width="6.85546875" style="52" customWidth="1"/>
    <col min="6919" max="6919" width="9.28515625" style="52" customWidth="1"/>
    <col min="6920" max="6920" width="10.7109375" style="52" customWidth="1"/>
    <col min="6921" max="6921" width="1.5703125" style="52" customWidth="1"/>
    <col min="6922" max="7168" width="11.5703125" style="52"/>
    <col min="7169" max="7169" width="3.5703125" style="52" customWidth="1"/>
    <col min="7170" max="7170" width="29.42578125" style="52" customWidth="1"/>
    <col min="7171" max="7171" width="6.28515625" style="52" customWidth="1"/>
    <col min="7172" max="7172" width="4.140625" style="52" customWidth="1"/>
    <col min="7173" max="7173" width="15.140625" style="52" customWidth="1"/>
    <col min="7174" max="7174" width="6.85546875" style="52" customWidth="1"/>
    <col min="7175" max="7175" width="9.28515625" style="52" customWidth="1"/>
    <col min="7176" max="7176" width="10.7109375" style="52" customWidth="1"/>
    <col min="7177" max="7177" width="1.5703125" style="52" customWidth="1"/>
    <col min="7178" max="7424" width="11.5703125" style="52"/>
    <col min="7425" max="7425" width="3.5703125" style="52" customWidth="1"/>
    <col min="7426" max="7426" width="29.42578125" style="52" customWidth="1"/>
    <col min="7427" max="7427" width="6.28515625" style="52" customWidth="1"/>
    <col min="7428" max="7428" width="4.140625" style="52" customWidth="1"/>
    <col min="7429" max="7429" width="15.140625" style="52" customWidth="1"/>
    <col min="7430" max="7430" width="6.85546875" style="52" customWidth="1"/>
    <col min="7431" max="7431" width="9.28515625" style="52" customWidth="1"/>
    <col min="7432" max="7432" width="10.7109375" style="52" customWidth="1"/>
    <col min="7433" max="7433" width="1.5703125" style="52" customWidth="1"/>
    <col min="7434" max="7680" width="11.5703125" style="52"/>
    <col min="7681" max="7681" width="3.5703125" style="52" customWidth="1"/>
    <col min="7682" max="7682" width="29.42578125" style="52" customWidth="1"/>
    <col min="7683" max="7683" width="6.28515625" style="52" customWidth="1"/>
    <col min="7684" max="7684" width="4.140625" style="52" customWidth="1"/>
    <col min="7685" max="7685" width="15.140625" style="52" customWidth="1"/>
    <col min="7686" max="7686" width="6.85546875" style="52" customWidth="1"/>
    <col min="7687" max="7687" width="9.28515625" style="52" customWidth="1"/>
    <col min="7688" max="7688" width="10.7109375" style="52" customWidth="1"/>
    <col min="7689" max="7689" width="1.5703125" style="52" customWidth="1"/>
    <col min="7690" max="7936" width="11.5703125" style="52"/>
    <col min="7937" max="7937" width="3.5703125" style="52" customWidth="1"/>
    <col min="7938" max="7938" width="29.42578125" style="52" customWidth="1"/>
    <col min="7939" max="7939" width="6.28515625" style="52" customWidth="1"/>
    <col min="7940" max="7940" width="4.140625" style="52" customWidth="1"/>
    <col min="7941" max="7941" width="15.140625" style="52" customWidth="1"/>
    <col min="7942" max="7942" width="6.85546875" style="52" customWidth="1"/>
    <col min="7943" max="7943" width="9.28515625" style="52" customWidth="1"/>
    <col min="7944" max="7944" width="10.7109375" style="52" customWidth="1"/>
    <col min="7945" max="7945" width="1.5703125" style="52" customWidth="1"/>
    <col min="7946" max="8192" width="11.5703125" style="52"/>
    <col min="8193" max="8193" width="3.5703125" style="52" customWidth="1"/>
    <col min="8194" max="8194" width="29.42578125" style="52" customWidth="1"/>
    <col min="8195" max="8195" width="6.28515625" style="52" customWidth="1"/>
    <col min="8196" max="8196" width="4.140625" style="52" customWidth="1"/>
    <col min="8197" max="8197" width="15.140625" style="52" customWidth="1"/>
    <col min="8198" max="8198" width="6.85546875" style="52" customWidth="1"/>
    <col min="8199" max="8199" width="9.28515625" style="52" customWidth="1"/>
    <col min="8200" max="8200" width="10.7109375" style="52" customWidth="1"/>
    <col min="8201" max="8201" width="1.5703125" style="52" customWidth="1"/>
    <col min="8202" max="8448" width="11.5703125" style="52"/>
    <col min="8449" max="8449" width="3.5703125" style="52" customWidth="1"/>
    <col min="8450" max="8450" width="29.42578125" style="52" customWidth="1"/>
    <col min="8451" max="8451" width="6.28515625" style="52" customWidth="1"/>
    <col min="8452" max="8452" width="4.140625" style="52" customWidth="1"/>
    <col min="8453" max="8453" width="15.140625" style="52" customWidth="1"/>
    <col min="8454" max="8454" width="6.85546875" style="52" customWidth="1"/>
    <col min="8455" max="8455" width="9.28515625" style="52" customWidth="1"/>
    <col min="8456" max="8456" width="10.7109375" style="52" customWidth="1"/>
    <col min="8457" max="8457" width="1.5703125" style="52" customWidth="1"/>
    <col min="8458" max="8704" width="11.5703125" style="52"/>
    <col min="8705" max="8705" width="3.5703125" style="52" customWidth="1"/>
    <col min="8706" max="8706" width="29.42578125" style="52" customWidth="1"/>
    <col min="8707" max="8707" width="6.28515625" style="52" customWidth="1"/>
    <col min="8708" max="8708" width="4.140625" style="52" customWidth="1"/>
    <col min="8709" max="8709" width="15.140625" style="52" customWidth="1"/>
    <col min="8710" max="8710" width="6.85546875" style="52" customWidth="1"/>
    <col min="8711" max="8711" width="9.28515625" style="52" customWidth="1"/>
    <col min="8712" max="8712" width="10.7109375" style="52" customWidth="1"/>
    <col min="8713" max="8713" width="1.5703125" style="52" customWidth="1"/>
    <col min="8714" max="8960" width="11.5703125" style="52"/>
    <col min="8961" max="8961" width="3.5703125" style="52" customWidth="1"/>
    <col min="8962" max="8962" width="29.42578125" style="52" customWidth="1"/>
    <col min="8963" max="8963" width="6.28515625" style="52" customWidth="1"/>
    <col min="8964" max="8964" width="4.140625" style="52" customWidth="1"/>
    <col min="8965" max="8965" width="15.140625" style="52" customWidth="1"/>
    <col min="8966" max="8966" width="6.85546875" style="52" customWidth="1"/>
    <col min="8967" max="8967" width="9.28515625" style="52" customWidth="1"/>
    <col min="8968" max="8968" width="10.7109375" style="52" customWidth="1"/>
    <col min="8969" max="8969" width="1.5703125" style="52" customWidth="1"/>
    <col min="8970" max="9216" width="11.5703125" style="52"/>
    <col min="9217" max="9217" width="3.5703125" style="52" customWidth="1"/>
    <col min="9218" max="9218" width="29.42578125" style="52" customWidth="1"/>
    <col min="9219" max="9219" width="6.28515625" style="52" customWidth="1"/>
    <col min="9220" max="9220" width="4.140625" style="52" customWidth="1"/>
    <col min="9221" max="9221" width="15.140625" style="52" customWidth="1"/>
    <col min="9222" max="9222" width="6.85546875" style="52" customWidth="1"/>
    <col min="9223" max="9223" width="9.28515625" style="52" customWidth="1"/>
    <col min="9224" max="9224" width="10.7109375" style="52" customWidth="1"/>
    <col min="9225" max="9225" width="1.5703125" style="52" customWidth="1"/>
    <col min="9226" max="9472" width="11.5703125" style="52"/>
    <col min="9473" max="9473" width="3.5703125" style="52" customWidth="1"/>
    <col min="9474" max="9474" width="29.42578125" style="52" customWidth="1"/>
    <col min="9475" max="9475" width="6.28515625" style="52" customWidth="1"/>
    <col min="9476" max="9476" width="4.140625" style="52" customWidth="1"/>
    <col min="9477" max="9477" width="15.140625" style="52" customWidth="1"/>
    <col min="9478" max="9478" width="6.85546875" style="52" customWidth="1"/>
    <col min="9479" max="9479" width="9.28515625" style="52" customWidth="1"/>
    <col min="9480" max="9480" width="10.7109375" style="52" customWidth="1"/>
    <col min="9481" max="9481" width="1.5703125" style="52" customWidth="1"/>
    <col min="9482" max="9728" width="11.5703125" style="52"/>
    <col min="9729" max="9729" width="3.5703125" style="52" customWidth="1"/>
    <col min="9730" max="9730" width="29.42578125" style="52" customWidth="1"/>
    <col min="9731" max="9731" width="6.28515625" style="52" customWidth="1"/>
    <col min="9732" max="9732" width="4.140625" style="52" customWidth="1"/>
    <col min="9733" max="9733" width="15.140625" style="52" customWidth="1"/>
    <col min="9734" max="9734" width="6.85546875" style="52" customWidth="1"/>
    <col min="9735" max="9735" width="9.28515625" style="52" customWidth="1"/>
    <col min="9736" max="9736" width="10.7109375" style="52" customWidth="1"/>
    <col min="9737" max="9737" width="1.5703125" style="52" customWidth="1"/>
    <col min="9738" max="9984" width="11.5703125" style="52"/>
    <col min="9985" max="9985" width="3.5703125" style="52" customWidth="1"/>
    <col min="9986" max="9986" width="29.42578125" style="52" customWidth="1"/>
    <col min="9987" max="9987" width="6.28515625" style="52" customWidth="1"/>
    <col min="9988" max="9988" width="4.140625" style="52" customWidth="1"/>
    <col min="9989" max="9989" width="15.140625" style="52" customWidth="1"/>
    <col min="9990" max="9990" width="6.85546875" style="52" customWidth="1"/>
    <col min="9991" max="9991" width="9.28515625" style="52" customWidth="1"/>
    <col min="9992" max="9992" width="10.7109375" style="52" customWidth="1"/>
    <col min="9993" max="9993" width="1.5703125" style="52" customWidth="1"/>
    <col min="9994" max="10240" width="11.5703125" style="52"/>
    <col min="10241" max="10241" width="3.5703125" style="52" customWidth="1"/>
    <col min="10242" max="10242" width="29.42578125" style="52" customWidth="1"/>
    <col min="10243" max="10243" width="6.28515625" style="52" customWidth="1"/>
    <col min="10244" max="10244" width="4.140625" style="52" customWidth="1"/>
    <col min="10245" max="10245" width="15.140625" style="52" customWidth="1"/>
    <col min="10246" max="10246" width="6.85546875" style="52" customWidth="1"/>
    <col min="10247" max="10247" width="9.28515625" style="52" customWidth="1"/>
    <col min="10248" max="10248" width="10.7109375" style="52" customWidth="1"/>
    <col min="10249" max="10249" width="1.5703125" style="52" customWidth="1"/>
    <col min="10250" max="10496" width="11.5703125" style="52"/>
    <col min="10497" max="10497" width="3.5703125" style="52" customWidth="1"/>
    <col min="10498" max="10498" width="29.42578125" style="52" customWidth="1"/>
    <col min="10499" max="10499" width="6.28515625" style="52" customWidth="1"/>
    <col min="10500" max="10500" width="4.140625" style="52" customWidth="1"/>
    <col min="10501" max="10501" width="15.140625" style="52" customWidth="1"/>
    <col min="10502" max="10502" width="6.85546875" style="52" customWidth="1"/>
    <col min="10503" max="10503" width="9.28515625" style="52" customWidth="1"/>
    <col min="10504" max="10504" width="10.7109375" style="52" customWidth="1"/>
    <col min="10505" max="10505" width="1.5703125" style="52" customWidth="1"/>
    <col min="10506" max="10752" width="11.5703125" style="52"/>
    <col min="10753" max="10753" width="3.5703125" style="52" customWidth="1"/>
    <col min="10754" max="10754" width="29.42578125" style="52" customWidth="1"/>
    <col min="10755" max="10755" width="6.28515625" style="52" customWidth="1"/>
    <col min="10756" max="10756" width="4.140625" style="52" customWidth="1"/>
    <col min="10757" max="10757" width="15.140625" style="52" customWidth="1"/>
    <col min="10758" max="10758" width="6.85546875" style="52" customWidth="1"/>
    <col min="10759" max="10759" width="9.28515625" style="52" customWidth="1"/>
    <col min="10760" max="10760" width="10.7109375" style="52" customWidth="1"/>
    <col min="10761" max="10761" width="1.5703125" style="52" customWidth="1"/>
    <col min="10762" max="11008" width="11.5703125" style="52"/>
    <col min="11009" max="11009" width="3.5703125" style="52" customWidth="1"/>
    <col min="11010" max="11010" width="29.42578125" style="52" customWidth="1"/>
    <col min="11011" max="11011" width="6.28515625" style="52" customWidth="1"/>
    <col min="11012" max="11012" width="4.140625" style="52" customWidth="1"/>
    <col min="11013" max="11013" width="15.140625" style="52" customWidth="1"/>
    <col min="11014" max="11014" width="6.85546875" style="52" customWidth="1"/>
    <col min="11015" max="11015" width="9.28515625" style="52" customWidth="1"/>
    <col min="11016" max="11016" width="10.7109375" style="52" customWidth="1"/>
    <col min="11017" max="11017" width="1.5703125" style="52" customWidth="1"/>
    <col min="11018" max="11264" width="11.5703125" style="52"/>
    <col min="11265" max="11265" width="3.5703125" style="52" customWidth="1"/>
    <col min="11266" max="11266" width="29.42578125" style="52" customWidth="1"/>
    <col min="11267" max="11267" width="6.28515625" style="52" customWidth="1"/>
    <col min="11268" max="11268" width="4.140625" style="52" customWidth="1"/>
    <col min="11269" max="11269" width="15.140625" style="52" customWidth="1"/>
    <col min="11270" max="11270" width="6.85546875" style="52" customWidth="1"/>
    <col min="11271" max="11271" width="9.28515625" style="52" customWidth="1"/>
    <col min="11272" max="11272" width="10.7109375" style="52" customWidth="1"/>
    <col min="11273" max="11273" width="1.5703125" style="52" customWidth="1"/>
    <col min="11274" max="11520" width="11.5703125" style="52"/>
    <col min="11521" max="11521" width="3.5703125" style="52" customWidth="1"/>
    <col min="11522" max="11522" width="29.42578125" style="52" customWidth="1"/>
    <col min="11523" max="11523" width="6.28515625" style="52" customWidth="1"/>
    <col min="11524" max="11524" width="4.140625" style="52" customWidth="1"/>
    <col min="11525" max="11525" width="15.140625" style="52" customWidth="1"/>
    <col min="11526" max="11526" width="6.85546875" style="52" customWidth="1"/>
    <col min="11527" max="11527" width="9.28515625" style="52" customWidth="1"/>
    <col min="11528" max="11528" width="10.7109375" style="52" customWidth="1"/>
    <col min="11529" max="11529" width="1.5703125" style="52" customWidth="1"/>
    <col min="11530" max="11776" width="11.5703125" style="52"/>
    <col min="11777" max="11777" width="3.5703125" style="52" customWidth="1"/>
    <col min="11778" max="11778" width="29.42578125" style="52" customWidth="1"/>
    <col min="11779" max="11779" width="6.28515625" style="52" customWidth="1"/>
    <col min="11780" max="11780" width="4.140625" style="52" customWidth="1"/>
    <col min="11781" max="11781" width="15.140625" style="52" customWidth="1"/>
    <col min="11782" max="11782" width="6.85546875" style="52" customWidth="1"/>
    <col min="11783" max="11783" width="9.28515625" style="52" customWidth="1"/>
    <col min="11784" max="11784" width="10.7109375" style="52" customWidth="1"/>
    <col min="11785" max="11785" width="1.5703125" style="52" customWidth="1"/>
    <col min="11786" max="12032" width="11.5703125" style="52"/>
    <col min="12033" max="12033" width="3.5703125" style="52" customWidth="1"/>
    <col min="12034" max="12034" width="29.42578125" style="52" customWidth="1"/>
    <col min="12035" max="12035" width="6.28515625" style="52" customWidth="1"/>
    <col min="12036" max="12036" width="4.140625" style="52" customWidth="1"/>
    <col min="12037" max="12037" width="15.140625" style="52" customWidth="1"/>
    <col min="12038" max="12038" width="6.85546875" style="52" customWidth="1"/>
    <col min="12039" max="12039" width="9.28515625" style="52" customWidth="1"/>
    <col min="12040" max="12040" width="10.7109375" style="52" customWidth="1"/>
    <col min="12041" max="12041" width="1.5703125" style="52" customWidth="1"/>
    <col min="12042" max="12288" width="11.5703125" style="52"/>
    <col min="12289" max="12289" width="3.5703125" style="52" customWidth="1"/>
    <col min="12290" max="12290" width="29.42578125" style="52" customWidth="1"/>
    <col min="12291" max="12291" width="6.28515625" style="52" customWidth="1"/>
    <col min="12292" max="12292" width="4.140625" style="52" customWidth="1"/>
    <col min="12293" max="12293" width="15.140625" style="52" customWidth="1"/>
    <col min="12294" max="12294" width="6.85546875" style="52" customWidth="1"/>
    <col min="12295" max="12295" width="9.28515625" style="52" customWidth="1"/>
    <col min="12296" max="12296" width="10.7109375" style="52" customWidth="1"/>
    <col min="12297" max="12297" width="1.5703125" style="52" customWidth="1"/>
    <col min="12298" max="12544" width="11.5703125" style="52"/>
    <col min="12545" max="12545" width="3.5703125" style="52" customWidth="1"/>
    <col min="12546" max="12546" width="29.42578125" style="52" customWidth="1"/>
    <col min="12547" max="12547" width="6.28515625" style="52" customWidth="1"/>
    <col min="12548" max="12548" width="4.140625" style="52" customWidth="1"/>
    <col min="12549" max="12549" width="15.140625" style="52" customWidth="1"/>
    <col min="12550" max="12550" width="6.85546875" style="52" customWidth="1"/>
    <col min="12551" max="12551" width="9.28515625" style="52" customWidth="1"/>
    <col min="12552" max="12552" width="10.7109375" style="52" customWidth="1"/>
    <col min="12553" max="12553" width="1.5703125" style="52" customWidth="1"/>
    <col min="12554" max="12800" width="11.5703125" style="52"/>
    <col min="12801" max="12801" width="3.5703125" style="52" customWidth="1"/>
    <col min="12802" max="12802" width="29.42578125" style="52" customWidth="1"/>
    <col min="12803" max="12803" width="6.28515625" style="52" customWidth="1"/>
    <col min="12804" max="12804" width="4.140625" style="52" customWidth="1"/>
    <col min="12805" max="12805" width="15.140625" style="52" customWidth="1"/>
    <col min="12806" max="12806" width="6.85546875" style="52" customWidth="1"/>
    <col min="12807" max="12807" width="9.28515625" style="52" customWidth="1"/>
    <col min="12808" max="12808" width="10.7109375" style="52" customWidth="1"/>
    <col min="12809" max="12809" width="1.5703125" style="52" customWidth="1"/>
    <col min="12810" max="13056" width="11.5703125" style="52"/>
    <col min="13057" max="13057" width="3.5703125" style="52" customWidth="1"/>
    <col min="13058" max="13058" width="29.42578125" style="52" customWidth="1"/>
    <col min="13059" max="13059" width="6.28515625" style="52" customWidth="1"/>
    <col min="13060" max="13060" width="4.140625" style="52" customWidth="1"/>
    <col min="13061" max="13061" width="15.140625" style="52" customWidth="1"/>
    <col min="13062" max="13062" width="6.85546875" style="52" customWidth="1"/>
    <col min="13063" max="13063" width="9.28515625" style="52" customWidth="1"/>
    <col min="13064" max="13064" width="10.7109375" style="52" customWidth="1"/>
    <col min="13065" max="13065" width="1.5703125" style="52" customWidth="1"/>
    <col min="13066" max="13312" width="11.5703125" style="52"/>
    <col min="13313" max="13313" width="3.5703125" style="52" customWidth="1"/>
    <col min="13314" max="13314" width="29.42578125" style="52" customWidth="1"/>
    <col min="13315" max="13315" width="6.28515625" style="52" customWidth="1"/>
    <col min="13316" max="13316" width="4.140625" style="52" customWidth="1"/>
    <col min="13317" max="13317" width="15.140625" style="52" customWidth="1"/>
    <col min="13318" max="13318" width="6.85546875" style="52" customWidth="1"/>
    <col min="13319" max="13319" width="9.28515625" style="52" customWidth="1"/>
    <col min="13320" max="13320" width="10.7109375" style="52" customWidth="1"/>
    <col min="13321" max="13321" width="1.5703125" style="52" customWidth="1"/>
    <col min="13322" max="13568" width="11.5703125" style="52"/>
    <col min="13569" max="13569" width="3.5703125" style="52" customWidth="1"/>
    <col min="13570" max="13570" width="29.42578125" style="52" customWidth="1"/>
    <col min="13571" max="13571" width="6.28515625" style="52" customWidth="1"/>
    <col min="13572" max="13572" width="4.140625" style="52" customWidth="1"/>
    <col min="13573" max="13573" width="15.140625" style="52" customWidth="1"/>
    <col min="13574" max="13574" width="6.85546875" style="52" customWidth="1"/>
    <col min="13575" max="13575" width="9.28515625" style="52" customWidth="1"/>
    <col min="13576" max="13576" width="10.7109375" style="52" customWidth="1"/>
    <col min="13577" max="13577" width="1.5703125" style="52" customWidth="1"/>
    <col min="13578" max="13824" width="11.5703125" style="52"/>
    <col min="13825" max="13825" width="3.5703125" style="52" customWidth="1"/>
    <col min="13826" max="13826" width="29.42578125" style="52" customWidth="1"/>
    <col min="13827" max="13827" width="6.28515625" style="52" customWidth="1"/>
    <col min="13828" max="13828" width="4.140625" style="52" customWidth="1"/>
    <col min="13829" max="13829" width="15.140625" style="52" customWidth="1"/>
    <col min="13830" max="13830" width="6.85546875" style="52" customWidth="1"/>
    <col min="13831" max="13831" width="9.28515625" style="52" customWidth="1"/>
    <col min="13832" max="13832" width="10.7109375" style="52" customWidth="1"/>
    <col min="13833" max="13833" width="1.5703125" style="52" customWidth="1"/>
    <col min="13834" max="14080" width="11.5703125" style="52"/>
    <col min="14081" max="14081" width="3.5703125" style="52" customWidth="1"/>
    <col min="14082" max="14082" width="29.42578125" style="52" customWidth="1"/>
    <col min="14083" max="14083" width="6.28515625" style="52" customWidth="1"/>
    <col min="14084" max="14084" width="4.140625" style="52" customWidth="1"/>
    <col min="14085" max="14085" width="15.140625" style="52" customWidth="1"/>
    <col min="14086" max="14086" width="6.85546875" style="52" customWidth="1"/>
    <col min="14087" max="14087" width="9.28515625" style="52" customWidth="1"/>
    <col min="14088" max="14088" width="10.7109375" style="52" customWidth="1"/>
    <col min="14089" max="14089" width="1.5703125" style="52" customWidth="1"/>
    <col min="14090" max="14336" width="11.5703125" style="52"/>
    <col min="14337" max="14337" width="3.5703125" style="52" customWidth="1"/>
    <col min="14338" max="14338" width="29.42578125" style="52" customWidth="1"/>
    <col min="14339" max="14339" width="6.28515625" style="52" customWidth="1"/>
    <col min="14340" max="14340" width="4.140625" style="52" customWidth="1"/>
    <col min="14341" max="14341" width="15.140625" style="52" customWidth="1"/>
    <col min="14342" max="14342" width="6.85546875" style="52" customWidth="1"/>
    <col min="14343" max="14343" width="9.28515625" style="52" customWidth="1"/>
    <col min="14344" max="14344" width="10.7109375" style="52" customWidth="1"/>
    <col min="14345" max="14345" width="1.5703125" style="52" customWidth="1"/>
    <col min="14346" max="14592" width="11.5703125" style="52"/>
    <col min="14593" max="14593" width="3.5703125" style="52" customWidth="1"/>
    <col min="14594" max="14594" width="29.42578125" style="52" customWidth="1"/>
    <col min="14595" max="14595" width="6.28515625" style="52" customWidth="1"/>
    <col min="14596" max="14596" width="4.140625" style="52" customWidth="1"/>
    <col min="14597" max="14597" width="15.140625" style="52" customWidth="1"/>
    <col min="14598" max="14598" width="6.85546875" style="52" customWidth="1"/>
    <col min="14599" max="14599" width="9.28515625" style="52" customWidth="1"/>
    <col min="14600" max="14600" width="10.7109375" style="52" customWidth="1"/>
    <col min="14601" max="14601" width="1.5703125" style="52" customWidth="1"/>
    <col min="14602" max="14848" width="11.5703125" style="52"/>
    <col min="14849" max="14849" width="3.5703125" style="52" customWidth="1"/>
    <col min="14850" max="14850" width="29.42578125" style="52" customWidth="1"/>
    <col min="14851" max="14851" width="6.28515625" style="52" customWidth="1"/>
    <col min="14852" max="14852" width="4.140625" style="52" customWidth="1"/>
    <col min="14853" max="14853" width="15.140625" style="52" customWidth="1"/>
    <col min="14854" max="14854" width="6.85546875" style="52" customWidth="1"/>
    <col min="14855" max="14855" width="9.28515625" style="52" customWidth="1"/>
    <col min="14856" max="14856" width="10.7109375" style="52" customWidth="1"/>
    <col min="14857" max="14857" width="1.5703125" style="52" customWidth="1"/>
    <col min="14858" max="15104" width="11.5703125" style="52"/>
    <col min="15105" max="15105" width="3.5703125" style="52" customWidth="1"/>
    <col min="15106" max="15106" width="29.42578125" style="52" customWidth="1"/>
    <col min="15107" max="15107" width="6.28515625" style="52" customWidth="1"/>
    <col min="15108" max="15108" width="4.140625" style="52" customWidth="1"/>
    <col min="15109" max="15109" width="15.140625" style="52" customWidth="1"/>
    <col min="15110" max="15110" width="6.85546875" style="52" customWidth="1"/>
    <col min="15111" max="15111" width="9.28515625" style="52" customWidth="1"/>
    <col min="15112" max="15112" width="10.7109375" style="52" customWidth="1"/>
    <col min="15113" max="15113" width="1.5703125" style="52" customWidth="1"/>
    <col min="15114" max="15360" width="11.5703125" style="52"/>
    <col min="15361" max="15361" width="3.5703125" style="52" customWidth="1"/>
    <col min="15362" max="15362" width="29.42578125" style="52" customWidth="1"/>
    <col min="15363" max="15363" width="6.28515625" style="52" customWidth="1"/>
    <col min="15364" max="15364" width="4.140625" style="52" customWidth="1"/>
    <col min="15365" max="15365" width="15.140625" style="52" customWidth="1"/>
    <col min="15366" max="15366" width="6.85546875" style="52" customWidth="1"/>
    <col min="15367" max="15367" width="9.28515625" style="52" customWidth="1"/>
    <col min="15368" max="15368" width="10.7109375" style="52" customWidth="1"/>
    <col min="15369" max="15369" width="1.5703125" style="52" customWidth="1"/>
    <col min="15370" max="15616" width="11.5703125" style="52"/>
    <col min="15617" max="15617" width="3.5703125" style="52" customWidth="1"/>
    <col min="15618" max="15618" width="29.42578125" style="52" customWidth="1"/>
    <col min="15619" max="15619" width="6.28515625" style="52" customWidth="1"/>
    <col min="15620" max="15620" width="4.140625" style="52" customWidth="1"/>
    <col min="15621" max="15621" width="15.140625" style="52" customWidth="1"/>
    <col min="15622" max="15622" width="6.85546875" style="52" customWidth="1"/>
    <col min="15623" max="15623" width="9.28515625" style="52" customWidth="1"/>
    <col min="15624" max="15624" width="10.7109375" style="52" customWidth="1"/>
    <col min="15625" max="15625" width="1.5703125" style="52" customWidth="1"/>
    <col min="15626" max="15872" width="11.5703125" style="52"/>
    <col min="15873" max="15873" width="3.5703125" style="52" customWidth="1"/>
    <col min="15874" max="15874" width="29.42578125" style="52" customWidth="1"/>
    <col min="15875" max="15875" width="6.28515625" style="52" customWidth="1"/>
    <col min="15876" max="15876" width="4.140625" style="52" customWidth="1"/>
    <col min="15877" max="15877" width="15.140625" style="52" customWidth="1"/>
    <col min="15878" max="15878" width="6.85546875" style="52" customWidth="1"/>
    <col min="15879" max="15879" width="9.28515625" style="52" customWidth="1"/>
    <col min="15880" max="15880" width="10.7109375" style="52" customWidth="1"/>
    <col min="15881" max="15881" width="1.5703125" style="52" customWidth="1"/>
    <col min="15882" max="16128" width="11.5703125" style="52"/>
    <col min="16129" max="16129" width="3.5703125" style="52" customWidth="1"/>
    <col min="16130" max="16130" width="29.42578125" style="52" customWidth="1"/>
    <col min="16131" max="16131" width="6.28515625" style="52" customWidth="1"/>
    <col min="16132" max="16132" width="4.140625" style="52" customWidth="1"/>
    <col min="16133" max="16133" width="15.140625" style="52" customWidth="1"/>
    <col min="16134" max="16134" width="6.85546875" style="52" customWidth="1"/>
    <col min="16135" max="16135" width="9.28515625" style="52" customWidth="1"/>
    <col min="16136" max="16136" width="10.7109375" style="52" customWidth="1"/>
    <col min="16137" max="16137" width="1.5703125" style="52" customWidth="1"/>
    <col min="16138" max="16384" width="11.5703125" style="52"/>
  </cols>
  <sheetData>
    <row r="5" spans="1:8" x14ac:dyDescent="0.25">
      <c r="A5" s="47" t="s">
        <v>0</v>
      </c>
      <c r="B5" s="48"/>
      <c r="C5" s="48"/>
    </row>
    <row r="6" spans="1:8" ht="9" customHeight="1" x14ac:dyDescent="0.25">
      <c r="A6" s="47"/>
      <c r="B6" s="48"/>
      <c r="C6" s="48"/>
    </row>
    <row r="7" spans="1:8" s="57" customFormat="1" ht="15" x14ac:dyDescent="0.25">
      <c r="A7" s="57" t="s">
        <v>97</v>
      </c>
      <c r="B7" s="67"/>
      <c r="D7" s="62"/>
      <c r="E7" s="196" t="s">
        <v>2</v>
      </c>
      <c r="F7" s="196"/>
      <c r="G7" s="197">
        <v>44635</v>
      </c>
      <c r="H7" s="197"/>
    </row>
    <row r="8" spans="1:8" s="57" customFormat="1" ht="15" x14ac:dyDescent="0.25">
      <c r="A8" s="57" t="s">
        <v>98</v>
      </c>
      <c r="B8" s="67"/>
      <c r="D8" s="62"/>
      <c r="E8" s="198" t="s">
        <v>4</v>
      </c>
      <c r="F8" s="198"/>
      <c r="G8" s="199">
        <v>10230</v>
      </c>
      <c r="H8" s="199"/>
    </row>
    <row r="9" spans="1:8" s="57" customFormat="1" ht="15" x14ac:dyDescent="0.25">
      <c r="A9" s="57" t="s">
        <v>99</v>
      </c>
      <c r="B9" s="67"/>
      <c r="D9" s="62"/>
      <c r="E9" s="198" t="s">
        <v>6</v>
      </c>
      <c r="F9" s="198"/>
      <c r="G9" s="199" t="s">
        <v>100</v>
      </c>
      <c r="H9" s="199"/>
    </row>
    <row r="10" spans="1:8" s="57" customFormat="1" ht="15" x14ac:dyDescent="0.25">
      <c r="A10" s="57" t="s">
        <v>101</v>
      </c>
      <c r="B10" s="67"/>
      <c r="D10" s="62"/>
      <c r="E10" s="16" t="s">
        <v>33</v>
      </c>
      <c r="F10" s="17"/>
      <c r="G10" s="183" t="s">
        <v>110</v>
      </c>
      <c r="H10" s="184"/>
    </row>
    <row r="11" spans="1:8" s="57" customFormat="1" ht="15" x14ac:dyDescent="0.25">
      <c r="D11" s="62"/>
      <c r="E11" s="122" t="s">
        <v>9</v>
      </c>
      <c r="F11" s="193" t="s">
        <v>10</v>
      </c>
      <c r="G11" s="193"/>
      <c r="H11" s="193"/>
    </row>
    <row r="12" spans="1:8" s="57" customFormat="1" ht="15" x14ac:dyDescent="0.25">
      <c r="D12" s="62"/>
      <c r="E12" s="121" t="s">
        <v>11</v>
      </c>
      <c r="F12" s="194" t="s">
        <v>12</v>
      </c>
      <c r="G12" s="194"/>
      <c r="H12" s="194"/>
    </row>
    <row r="13" spans="1:8" s="57" customFormat="1" ht="15" x14ac:dyDescent="0.25">
      <c r="D13" s="62"/>
      <c r="E13" s="63"/>
      <c r="F13" s="64"/>
    </row>
    <row r="14" spans="1:8" s="57" customFormat="1" ht="15" x14ac:dyDescent="0.25">
      <c r="B14" s="66"/>
      <c r="D14" s="62"/>
      <c r="E14" s="63"/>
      <c r="F14" s="64"/>
    </row>
    <row r="15" spans="1:8" s="57" customFormat="1" ht="15" x14ac:dyDescent="0.25">
      <c r="D15" s="62"/>
      <c r="E15" s="63"/>
      <c r="F15" s="64"/>
    </row>
    <row r="16" spans="1:8" s="57" customFormat="1" ht="15" x14ac:dyDescent="0.25">
      <c r="D16" s="62"/>
      <c r="E16" s="63"/>
      <c r="F16" s="64"/>
    </row>
    <row r="17" spans="1:8" s="57" customFormat="1" ht="15" x14ac:dyDescent="0.25">
      <c r="D17" s="62"/>
      <c r="E17" s="63"/>
      <c r="F17" s="64"/>
    </row>
    <row r="18" spans="1:8" s="66" customFormat="1" ht="14.25" x14ac:dyDescent="0.2">
      <c r="A18" s="187" t="s">
        <v>13</v>
      </c>
      <c r="B18" s="187"/>
      <c r="C18" s="187"/>
      <c r="D18" s="187"/>
      <c r="E18" s="187"/>
      <c r="F18" s="187"/>
      <c r="G18" s="187"/>
      <c r="H18" s="187"/>
    </row>
    <row r="19" spans="1:8" s="66" customFormat="1" ht="14.25" x14ac:dyDescent="0.2">
      <c r="A19" s="65"/>
      <c r="B19" s="65"/>
      <c r="C19" s="65"/>
      <c r="D19" s="65"/>
      <c r="E19" s="65"/>
      <c r="F19" s="65"/>
      <c r="G19" s="65"/>
      <c r="H19" s="65"/>
    </row>
    <row r="20" spans="1:8" s="66" customFormat="1" ht="14.25" x14ac:dyDescent="0.2">
      <c r="A20" s="65"/>
      <c r="B20" s="65"/>
      <c r="C20" s="65"/>
      <c r="D20" s="65"/>
      <c r="E20" s="65"/>
      <c r="F20" s="65"/>
      <c r="G20" s="65"/>
      <c r="H20" s="65"/>
    </row>
    <row r="21" spans="1:8" s="57" customFormat="1" ht="15" x14ac:dyDescent="0.25">
      <c r="A21" s="57" t="s">
        <v>14</v>
      </c>
      <c r="B21" s="67"/>
      <c r="D21" s="62"/>
      <c r="E21" s="63"/>
      <c r="F21" s="62"/>
      <c r="G21" s="123"/>
    </row>
    <row r="22" spans="1:8" s="57" customFormat="1" ht="15" x14ac:dyDescent="0.25">
      <c r="A22" s="57" t="s">
        <v>15</v>
      </c>
      <c r="B22" s="67"/>
      <c r="D22" s="62"/>
      <c r="E22" s="63"/>
      <c r="F22" s="62"/>
      <c r="G22" s="123"/>
    </row>
    <row r="23" spans="1:8" s="57" customFormat="1" ht="12" customHeight="1" x14ac:dyDescent="0.25">
      <c r="D23" s="62"/>
      <c r="E23" s="62"/>
      <c r="F23" s="63"/>
      <c r="G23" s="62"/>
    </row>
    <row r="24" spans="1:8" s="57" customFormat="1" ht="15" x14ac:dyDescent="0.25">
      <c r="A24" s="195" t="s">
        <v>16</v>
      </c>
      <c r="B24" s="195"/>
      <c r="C24" s="195"/>
      <c r="D24" s="62"/>
      <c r="E24" s="62" t="s">
        <v>17</v>
      </c>
      <c r="F24" s="63" t="s">
        <v>18</v>
      </c>
      <c r="G24" s="62" t="s">
        <v>88</v>
      </c>
      <c r="H24" s="63" t="s">
        <v>20</v>
      </c>
    </row>
    <row r="25" spans="1:8" s="57" customFormat="1" ht="15" x14ac:dyDescent="0.25">
      <c r="A25" s="124" t="s">
        <v>21</v>
      </c>
      <c r="B25" s="124"/>
      <c r="C25" s="124"/>
      <c r="D25" s="125"/>
      <c r="E25" s="126" t="s">
        <v>22</v>
      </c>
      <c r="F25" s="126"/>
      <c r="G25" s="127" t="s">
        <v>102</v>
      </c>
      <c r="H25" s="128"/>
    </row>
    <row r="26" spans="1:8" s="8" customFormat="1" ht="15" x14ac:dyDescent="0.25">
      <c r="A26" s="8">
        <v>29</v>
      </c>
      <c r="B26" s="8" t="s">
        <v>103</v>
      </c>
      <c r="C26" s="97"/>
      <c r="D26" s="98"/>
      <c r="E26" s="129">
        <v>120</v>
      </c>
      <c r="F26" s="8" t="s">
        <v>104</v>
      </c>
      <c r="G26" s="130">
        <v>4</v>
      </c>
      <c r="H26" s="13">
        <f>+G26*E26</f>
        <v>480</v>
      </c>
    </row>
    <row r="27" spans="1:8" s="8" customFormat="1" ht="15" x14ac:dyDescent="0.25">
      <c r="B27" s="44" t="s">
        <v>105</v>
      </c>
      <c r="C27" s="97"/>
      <c r="D27" s="98"/>
    </row>
    <row r="28" spans="1:8" s="8" customFormat="1" ht="15" x14ac:dyDescent="0.25">
      <c r="B28" s="44" t="s">
        <v>106</v>
      </c>
      <c r="C28" s="97"/>
      <c r="D28" s="98"/>
      <c r="E28" s="99"/>
      <c r="G28" s="100"/>
      <c r="H28" s="13"/>
    </row>
    <row r="29" spans="1:8" s="8" customFormat="1" ht="15" x14ac:dyDescent="0.25">
      <c r="B29" s="8" t="s">
        <v>107</v>
      </c>
      <c r="C29" s="97"/>
      <c r="D29" s="98"/>
      <c r="E29" s="99"/>
      <c r="G29" s="100"/>
      <c r="H29" s="13"/>
    </row>
    <row r="30" spans="1:8" s="8" customFormat="1" ht="15" x14ac:dyDescent="0.25">
      <c r="B30" s="8" t="s">
        <v>111</v>
      </c>
      <c r="D30" s="25"/>
      <c r="E30" s="11"/>
      <c r="F30" s="22"/>
    </row>
    <row r="31" spans="1:8" s="8" customFormat="1" ht="15" x14ac:dyDescent="0.25">
      <c r="B31" s="8" t="s">
        <v>112</v>
      </c>
      <c r="D31" s="25"/>
      <c r="E31" s="11"/>
      <c r="F31" s="22"/>
    </row>
    <row r="32" spans="1:8" s="8" customFormat="1" ht="15" x14ac:dyDescent="0.25">
      <c r="B32" s="8" t="s">
        <v>108</v>
      </c>
      <c r="D32" s="25"/>
      <c r="E32" s="11"/>
      <c r="F32" s="22"/>
    </row>
    <row r="33" spans="1:10" s="8" customFormat="1" ht="15" x14ac:dyDescent="0.25">
      <c r="B33" s="8" t="s">
        <v>113</v>
      </c>
      <c r="D33" s="98"/>
      <c r="E33" s="131"/>
      <c r="F33" s="100"/>
      <c r="G33" s="130"/>
      <c r="H33" s="13"/>
    </row>
    <row r="34" spans="1:10" s="8" customFormat="1" ht="4.5" customHeight="1" x14ac:dyDescent="0.25">
      <c r="C34" s="9"/>
      <c r="E34" s="109"/>
      <c r="F34" s="11"/>
      <c r="G34" s="114"/>
      <c r="H34" s="13"/>
    </row>
    <row r="35" spans="1:10" s="8" customFormat="1" ht="15" x14ac:dyDescent="0.25">
      <c r="A35" s="8">
        <v>16</v>
      </c>
      <c r="B35" s="8" t="s">
        <v>27</v>
      </c>
      <c r="E35" s="109">
        <f>SUM(H26:H33)*0.2</f>
        <v>96</v>
      </c>
      <c r="F35" s="11"/>
      <c r="G35" s="15"/>
      <c r="H35" s="13">
        <v>10</v>
      </c>
    </row>
    <row r="36" spans="1:10" s="8" customFormat="1" ht="15" x14ac:dyDescent="0.25">
      <c r="A36" s="29"/>
      <c r="B36" s="29" t="s">
        <v>28</v>
      </c>
      <c r="C36" s="18"/>
      <c r="D36" s="29"/>
      <c r="E36" s="117"/>
      <c r="F36" s="21"/>
      <c r="G36" s="112"/>
      <c r="H36" s="35"/>
    </row>
    <row r="37" spans="1:10" s="8" customFormat="1" ht="15" x14ac:dyDescent="0.25">
      <c r="A37" s="7"/>
      <c r="B37" s="7"/>
      <c r="E37" s="8" t="s">
        <v>29</v>
      </c>
      <c r="F37" s="7"/>
      <c r="G37" s="25"/>
      <c r="H37" s="13">
        <f>SUM(H26:H36)</f>
        <v>490</v>
      </c>
      <c r="J37" s="13"/>
    </row>
    <row r="38" spans="1:10" s="8" customFormat="1" ht="15" x14ac:dyDescent="0.25">
      <c r="E38" s="36" t="s">
        <v>30</v>
      </c>
      <c r="F38" s="7"/>
      <c r="G38" s="25"/>
      <c r="H38" s="13">
        <f>+H37*0.19</f>
        <v>93.1</v>
      </c>
    </row>
    <row r="39" spans="1:10" s="8" customFormat="1" thickBot="1" x14ac:dyDescent="0.3">
      <c r="E39" s="37" t="s">
        <v>31</v>
      </c>
      <c r="F39" s="38"/>
      <c r="G39" s="39"/>
      <c r="H39" s="40">
        <f>SUM(H37:H38)</f>
        <v>583.1</v>
      </c>
    </row>
    <row r="40" spans="1:10" s="8" customFormat="1" ht="7.5" customHeight="1" thickTop="1" x14ac:dyDescent="0.25">
      <c r="E40" s="41"/>
      <c r="F40" s="11"/>
      <c r="G40" s="25"/>
      <c r="H40" s="13"/>
    </row>
    <row r="41" spans="1:10" s="8" customFormat="1" ht="15" x14ac:dyDescent="0.25">
      <c r="A41" s="8" t="s">
        <v>109</v>
      </c>
      <c r="B41" s="7"/>
      <c r="D41" s="25"/>
      <c r="E41" s="11"/>
      <c r="F41" s="22"/>
    </row>
    <row r="42" spans="1:10" s="8" customFormat="1" ht="15" x14ac:dyDescent="0.25">
      <c r="D42" s="25"/>
      <c r="E42" s="11"/>
      <c r="F42" s="22"/>
    </row>
    <row r="43" spans="1:10" s="8" customFormat="1" ht="15" x14ac:dyDescent="0.25">
      <c r="D43" s="25"/>
      <c r="E43" s="11"/>
      <c r="F43" s="22"/>
    </row>
    <row r="44" spans="1:10" s="8" customFormat="1" ht="15" x14ac:dyDescent="0.25">
      <c r="D44" s="25"/>
      <c r="E44" s="11"/>
      <c r="F44" s="22"/>
    </row>
    <row r="45" spans="1:10" s="8" customFormat="1" ht="15" x14ac:dyDescent="0.25">
      <c r="B45" s="29"/>
      <c r="D45" s="25"/>
      <c r="E45" s="11"/>
      <c r="F45" s="22"/>
    </row>
    <row r="46" spans="1:10" s="6" customFormat="1" x14ac:dyDescent="0.25">
      <c r="D46" s="3"/>
      <c r="E46" s="4"/>
      <c r="F46" s="5"/>
    </row>
    <row r="47" spans="1:10" s="6" customFormat="1" ht="18" customHeight="1" x14ac:dyDescent="0.25">
      <c r="D47" s="3"/>
      <c r="E47" s="4"/>
      <c r="F47" s="5"/>
    </row>
    <row r="48" spans="1:10" s="6" customFormat="1" x14ac:dyDescent="0.25">
      <c r="D48" s="3"/>
      <c r="E48" s="4"/>
      <c r="F48" s="5"/>
    </row>
    <row r="49" spans="1:8" s="6" customFormat="1" x14ac:dyDescent="0.25">
      <c r="A49" s="170" t="s">
        <v>94</v>
      </c>
      <c r="B49" s="170"/>
      <c r="C49" s="170"/>
      <c r="D49" s="170"/>
      <c r="E49" s="170"/>
      <c r="F49" s="170"/>
      <c r="G49" s="170"/>
      <c r="H49" s="170"/>
    </row>
  </sheetData>
  <sheetProtection selectLockedCells="1" selectUnlockedCells="1"/>
  <mergeCells count="12">
    <mergeCell ref="A49:H49"/>
    <mergeCell ref="E7:F7"/>
    <mergeCell ref="G7:H7"/>
    <mergeCell ref="E8:F8"/>
    <mergeCell ref="G8:H8"/>
    <mergeCell ref="E9:F9"/>
    <mergeCell ref="G9:H9"/>
    <mergeCell ref="G10:H10"/>
    <mergeCell ref="F11:H11"/>
    <mergeCell ref="F12:H12"/>
    <mergeCell ref="A18:H18"/>
    <mergeCell ref="A24:C24"/>
  </mergeCells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Frankfurt&amp;C&amp;"Times New Roman,Standard"Deutsche Bank
BLZ 500 700 24
Konto 409 28 62&amp;R&amp;"Times New Roman,Standard"Tel:      069 / 788 031-71
Fax:     069 / 788 031-72
Mobil: 0174 / 326 99 58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E647-3399-46FB-B3D0-FDAEA37013BA}">
  <dimension ref="A5:S50"/>
  <sheetViews>
    <sheetView workbookViewId="0">
      <selection activeCell="C8" sqref="C8"/>
    </sheetView>
  </sheetViews>
  <sheetFormatPr baseColWidth="10" defaultColWidth="11.5703125" defaultRowHeight="15.75" x14ac:dyDescent="0.25"/>
  <cols>
    <col min="1" max="1" width="3.5703125" style="6" customWidth="1"/>
    <col min="2" max="2" width="30.5703125" style="6" customWidth="1"/>
    <col min="3" max="3" width="10.140625" style="6" customWidth="1"/>
    <col min="4" max="4" width="3" style="3" customWidth="1"/>
    <col min="5" max="5" width="13" style="4" bestFit="1" customWidth="1"/>
    <col min="6" max="6" width="7" style="5" customWidth="1"/>
    <col min="7" max="7" width="9.140625" style="6" customWidth="1"/>
    <col min="8" max="8" width="10.7109375" style="6" bestFit="1" customWidth="1"/>
    <col min="9" max="9" width="1.140625" style="6" customWidth="1"/>
    <col min="10" max="256" width="11.5703125" style="6"/>
    <col min="257" max="257" width="3.5703125" style="6" customWidth="1"/>
    <col min="258" max="258" width="30.5703125" style="6" customWidth="1"/>
    <col min="259" max="259" width="10.140625" style="6" customWidth="1"/>
    <col min="260" max="260" width="3" style="6" customWidth="1"/>
    <col min="261" max="261" width="13" style="6" bestFit="1" customWidth="1"/>
    <col min="262" max="262" width="7" style="6" customWidth="1"/>
    <col min="263" max="263" width="9.140625" style="6" customWidth="1"/>
    <col min="264" max="264" width="10.7109375" style="6" bestFit="1" customWidth="1"/>
    <col min="265" max="265" width="1.140625" style="6" customWidth="1"/>
    <col min="266" max="512" width="11.5703125" style="6"/>
    <col min="513" max="513" width="3.5703125" style="6" customWidth="1"/>
    <col min="514" max="514" width="30.5703125" style="6" customWidth="1"/>
    <col min="515" max="515" width="10.140625" style="6" customWidth="1"/>
    <col min="516" max="516" width="3" style="6" customWidth="1"/>
    <col min="517" max="517" width="13" style="6" bestFit="1" customWidth="1"/>
    <col min="518" max="518" width="7" style="6" customWidth="1"/>
    <col min="519" max="519" width="9.140625" style="6" customWidth="1"/>
    <col min="520" max="520" width="10.7109375" style="6" bestFit="1" customWidth="1"/>
    <col min="521" max="521" width="1.140625" style="6" customWidth="1"/>
    <col min="522" max="768" width="11.5703125" style="6"/>
    <col min="769" max="769" width="3.5703125" style="6" customWidth="1"/>
    <col min="770" max="770" width="30.5703125" style="6" customWidth="1"/>
    <col min="771" max="771" width="10.140625" style="6" customWidth="1"/>
    <col min="772" max="772" width="3" style="6" customWidth="1"/>
    <col min="773" max="773" width="13" style="6" bestFit="1" customWidth="1"/>
    <col min="774" max="774" width="7" style="6" customWidth="1"/>
    <col min="775" max="775" width="9.140625" style="6" customWidth="1"/>
    <col min="776" max="776" width="10.7109375" style="6" bestFit="1" customWidth="1"/>
    <col min="777" max="777" width="1.140625" style="6" customWidth="1"/>
    <col min="778" max="1024" width="11.5703125" style="6"/>
    <col min="1025" max="1025" width="3.5703125" style="6" customWidth="1"/>
    <col min="1026" max="1026" width="30.5703125" style="6" customWidth="1"/>
    <col min="1027" max="1027" width="10.140625" style="6" customWidth="1"/>
    <col min="1028" max="1028" width="3" style="6" customWidth="1"/>
    <col min="1029" max="1029" width="13" style="6" bestFit="1" customWidth="1"/>
    <col min="1030" max="1030" width="7" style="6" customWidth="1"/>
    <col min="1031" max="1031" width="9.140625" style="6" customWidth="1"/>
    <col min="1032" max="1032" width="10.7109375" style="6" bestFit="1" customWidth="1"/>
    <col min="1033" max="1033" width="1.140625" style="6" customWidth="1"/>
    <col min="1034" max="1280" width="11.5703125" style="6"/>
    <col min="1281" max="1281" width="3.5703125" style="6" customWidth="1"/>
    <col min="1282" max="1282" width="30.5703125" style="6" customWidth="1"/>
    <col min="1283" max="1283" width="10.140625" style="6" customWidth="1"/>
    <col min="1284" max="1284" width="3" style="6" customWidth="1"/>
    <col min="1285" max="1285" width="13" style="6" bestFit="1" customWidth="1"/>
    <col min="1286" max="1286" width="7" style="6" customWidth="1"/>
    <col min="1287" max="1287" width="9.140625" style="6" customWidth="1"/>
    <col min="1288" max="1288" width="10.7109375" style="6" bestFit="1" customWidth="1"/>
    <col min="1289" max="1289" width="1.140625" style="6" customWidth="1"/>
    <col min="1290" max="1536" width="11.5703125" style="6"/>
    <col min="1537" max="1537" width="3.5703125" style="6" customWidth="1"/>
    <col min="1538" max="1538" width="30.5703125" style="6" customWidth="1"/>
    <col min="1539" max="1539" width="10.140625" style="6" customWidth="1"/>
    <col min="1540" max="1540" width="3" style="6" customWidth="1"/>
    <col min="1541" max="1541" width="13" style="6" bestFit="1" customWidth="1"/>
    <col min="1542" max="1542" width="7" style="6" customWidth="1"/>
    <col min="1543" max="1543" width="9.140625" style="6" customWidth="1"/>
    <col min="1544" max="1544" width="10.7109375" style="6" bestFit="1" customWidth="1"/>
    <col min="1545" max="1545" width="1.140625" style="6" customWidth="1"/>
    <col min="1546" max="1792" width="11.5703125" style="6"/>
    <col min="1793" max="1793" width="3.5703125" style="6" customWidth="1"/>
    <col min="1794" max="1794" width="30.5703125" style="6" customWidth="1"/>
    <col min="1795" max="1795" width="10.140625" style="6" customWidth="1"/>
    <col min="1796" max="1796" width="3" style="6" customWidth="1"/>
    <col min="1797" max="1797" width="13" style="6" bestFit="1" customWidth="1"/>
    <col min="1798" max="1798" width="7" style="6" customWidth="1"/>
    <col min="1799" max="1799" width="9.140625" style="6" customWidth="1"/>
    <col min="1800" max="1800" width="10.7109375" style="6" bestFit="1" customWidth="1"/>
    <col min="1801" max="1801" width="1.140625" style="6" customWidth="1"/>
    <col min="1802" max="2048" width="11.5703125" style="6"/>
    <col min="2049" max="2049" width="3.5703125" style="6" customWidth="1"/>
    <col min="2050" max="2050" width="30.5703125" style="6" customWidth="1"/>
    <col min="2051" max="2051" width="10.140625" style="6" customWidth="1"/>
    <col min="2052" max="2052" width="3" style="6" customWidth="1"/>
    <col min="2053" max="2053" width="13" style="6" bestFit="1" customWidth="1"/>
    <col min="2054" max="2054" width="7" style="6" customWidth="1"/>
    <col min="2055" max="2055" width="9.140625" style="6" customWidth="1"/>
    <col min="2056" max="2056" width="10.7109375" style="6" bestFit="1" customWidth="1"/>
    <col min="2057" max="2057" width="1.140625" style="6" customWidth="1"/>
    <col min="2058" max="2304" width="11.5703125" style="6"/>
    <col min="2305" max="2305" width="3.5703125" style="6" customWidth="1"/>
    <col min="2306" max="2306" width="30.5703125" style="6" customWidth="1"/>
    <col min="2307" max="2307" width="10.140625" style="6" customWidth="1"/>
    <col min="2308" max="2308" width="3" style="6" customWidth="1"/>
    <col min="2309" max="2309" width="13" style="6" bestFit="1" customWidth="1"/>
    <col min="2310" max="2310" width="7" style="6" customWidth="1"/>
    <col min="2311" max="2311" width="9.140625" style="6" customWidth="1"/>
    <col min="2312" max="2312" width="10.7109375" style="6" bestFit="1" customWidth="1"/>
    <col min="2313" max="2313" width="1.140625" style="6" customWidth="1"/>
    <col min="2314" max="2560" width="11.5703125" style="6"/>
    <col min="2561" max="2561" width="3.5703125" style="6" customWidth="1"/>
    <col min="2562" max="2562" width="30.5703125" style="6" customWidth="1"/>
    <col min="2563" max="2563" width="10.140625" style="6" customWidth="1"/>
    <col min="2564" max="2564" width="3" style="6" customWidth="1"/>
    <col min="2565" max="2565" width="13" style="6" bestFit="1" customWidth="1"/>
    <col min="2566" max="2566" width="7" style="6" customWidth="1"/>
    <col min="2567" max="2567" width="9.140625" style="6" customWidth="1"/>
    <col min="2568" max="2568" width="10.7109375" style="6" bestFit="1" customWidth="1"/>
    <col min="2569" max="2569" width="1.140625" style="6" customWidth="1"/>
    <col min="2570" max="2816" width="11.5703125" style="6"/>
    <col min="2817" max="2817" width="3.5703125" style="6" customWidth="1"/>
    <col min="2818" max="2818" width="30.5703125" style="6" customWidth="1"/>
    <col min="2819" max="2819" width="10.140625" style="6" customWidth="1"/>
    <col min="2820" max="2820" width="3" style="6" customWidth="1"/>
    <col min="2821" max="2821" width="13" style="6" bestFit="1" customWidth="1"/>
    <col min="2822" max="2822" width="7" style="6" customWidth="1"/>
    <col min="2823" max="2823" width="9.140625" style="6" customWidth="1"/>
    <col min="2824" max="2824" width="10.7109375" style="6" bestFit="1" customWidth="1"/>
    <col min="2825" max="2825" width="1.140625" style="6" customWidth="1"/>
    <col min="2826" max="3072" width="11.5703125" style="6"/>
    <col min="3073" max="3073" width="3.5703125" style="6" customWidth="1"/>
    <col min="3074" max="3074" width="30.5703125" style="6" customWidth="1"/>
    <col min="3075" max="3075" width="10.140625" style="6" customWidth="1"/>
    <col min="3076" max="3076" width="3" style="6" customWidth="1"/>
    <col min="3077" max="3077" width="13" style="6" bestFit="1" customWidth="1"/>
    <col min="3078" max="3078" width="7" style="6" customWidth="1"/>
    <col min="3079" max="3079" width="9.140625" style="6" customWidth="1"/>
    <col min="3080" max="3080" width="10.7109375" style="6" bestFit="1" customWidth="1"/>
    <col min="3081" max="3081" width="1.140625" style="6" customWidth="1"/>
    <col min="3082" max="3328" width="11.5703125" style="6"/>
    <col min="3329" max="3329" width="3.5703125" style="6" customWidth="1"/>
    <col min="3330" max="3330" width="30.5703125" style="6" customWidth="1"/>
    <col min="3331" max="3331" width="10.140625" style="6" customWidth="1"/>
    <col min="3332" max="3332" width="3" style="6" customWidth="1"/>
    <col min="3333" max="3333" width="13" style="6" bestFit="1" customWidth="1"/>
    <col min="3334" max="3334" width="7" style="6" customWidth="1"/>
    <col min="3335" max="3335" width="9.140625" style="6" customWidth="1"/>
    <col min="3336" max="3336" width="10.7109375" style="6" bestFit="1" customWidth="1"/>
    <col min="3337" max="3337" width="1.140625" style="6" customWidth="1"/>
    <col min="3338" max="3584" width="11.5703125" style="6"/>
    <col min="3585" max="3585" width="3.5703125" style="6" customWidth="1"/>
    <col min="3586" max="3586" width="30.5703125" style="6" customWidth="1"/>
    <col min="3587" max="3587" width="10.140625" style="6" customWidth="1"/>
    <col min="3588" max="3588" width="3" style="6" customWidth="1"/>
    <col min="3589" max="3589" width="13" style="6" bestFit="1" customWidth="1"/>
    <col min="3590" max="3590" width="7" style="6" customWidth="1"/>
    <col min="3591" max="3591" width="9.140625" style="6" customWidth="1"/>
    <col min="3592" max="3592" width="10.7109375" style="6" bestFit="1" customWidth="1"/>
    <col min="3593" max="3593" width="1.140625" style="6" customWidth="1"/>
    <col min="3594" max="3840" width="11.5703125" style="6"/>
    <col min="3841" max="3841" width="3.5703125" style="6" customWidth="1"/>
    <col min="3842" max="3842" width="30.5703125" style="6" customWidth="1"/>
    <col min="3843" max="3843" width="10.140625" style="6" customWidth="1"/>
    <col min="3844" max="3844" width="3" style="6" customWidth="1"/>
    <col min="3845" max="3845" width="13" style="6" bestFit="1" customWidth="1"/>
    <col min="3846" max="3846" width="7" style="6" customWidth="1"/>
    <col min="3847" max="3847" width="9.140625" style="6" customWidth="1"/>
    <col min="3848" max="3848" width="10.7109375" style="6" bestFit="1" customWidth="1"/>
    <col min="3849" max="3849" width="1.140625" style="6" customWidth="1"/>
    <col min="3850" max="4096" width="11.5703125" style="6"/>
    <col min="4097" max="4097" width="3.5703125" style="6" customWidth="1"/>
    <col min="4098" max="4098" width="30.5703125" style="6" customWidth="1"/>
    <col min="4099" max="4099" width="10.140625" style="6" customWidth="1"/>
    <col min="4100" max="4100" width="3" style="6" customWidth="1"/>
    <col min="4101" max="4101" width="13" style="6" bestFit="1" customWidth="1"/>
    <col min="4102" max="4102" width="7" style="6" customWidth="1"/>
    <col min="4103" max="4103" width="9.140625" style="6" customWidth="1"/>
    <col min="4104" max="4104" width="10.7109375" style="6" bestFit="1" customWidth="1"/>
    <col min="4105" max="4105" width="1.140625" style="6" customWidth="1"/>
    <col min="4106" max="4352" width="11.5703125" style="6"/>
    <col min="4353" max="4353" width="3.5703125" style="6" customWidth="1"/>
    <col min="4354" max="4354" width="30.5703125" style="6" customWidth="1"/>
    <col min="4355" max="4355" width="10.140625" style="6" customWidth="1"/>
    <col min="4356" max="4356" width="3" style="6" customWidth="1"/>
    <col min="4357" max="4357" width="13" style="6" bestFit="1" customWidth="1"/>
    <col min="4358" max="4358" width="7" style="6" customWidth="1"/>
    <col min="4359" max="4359" width="9.140625" style="6" customWidth="1"/>
    <col min="4360" max="4360" width="10.7109375" style="6" bestFit="1" customWidth="1"/>
    <col min="4361" max="4361" width="1.140625" style="6" customWidth="1"/>
    <col min="4362" max="4608" width="11.5703125" style="6"/>
    <col min="4609" max="4609" width="3.5703125" style="6" customWidth="1"/>
    <col min="4610" max="4610" width="30.5703125" style="6" customWidth="1"/>
    <col min="4611" max="4611" width="10.140625" style="6" customWidth="1"/>
    <col min="4612" max="4612" width="3" style="6" customWidth="1"/>
    <col min="4613" max="4613" width="13" style="6" bestFit="1" customWidth="1"/>
    <col min="4614" max="4614" width="7" style="6" customWidth="1"/>
    <col min="4615" max="4615" width="9.140625" style="6" customWidth="1"/>
    <col min="4616" max="4616" width="10.7109375" style="6" bestFit="1" customWidth="1"/>
    <col min="4617" max="4617" width="1.140625" style="6" customWidth="1"/>
    <col min="4618" max="4864" width="11.5703125" style="6"/>
    <col min="4865" max="4865" width="3.5703125" style="6" customWidth="1"/>
    <col min="4866" max="4866" width="30.5703125" style="6" customWidth="1"/>
    <col min="4867" max="4867" width="10.140625" style="6" customWidth="1"/>
    <col min="4868" max="4868" width="3" style="6" customWidth="1"/>
    <col min="4869" max="4869" width="13" style="6" bestFit="1" customWidth="1"/>
    <col min="4870" max="4870" width="7" style="6" customWidth="1"/>
    <col min="4871" max="4871" width="9.140625" style="6" customWidth="1"/>
    <col min="4872" max="4872" width="10.7109375" style="6" bestFit="1" customWidth="1"/>
    <col min="4873" max="4873" width="1.140625" style="6" customWidth="1"/>
    <col min="4874" max="5120" width="11.5703125" style="6"/>
    <col min="5121" max="5121" width="3.5703125" style="6" customWidth="1"/>
    <col min="5122" max="5122" width="30.5703125" style="6" customWidth="1"/>
    <col min="5123" max="5123" width="10.140625" style="6" customWidth="1"/>
    <col min="5124" max="5124" width="3" style="6" customWidth="1"/>
    <col min="5125" max="5125" width="13" style="6" bestFit="1" customWidth="1"/>
    <col min="5126" max="5126" width="7" style="6" customWidth="1"/>
    <col min="5127" max="5127" width="9.140625" style="6" customWidth="1"/>
    <col min="5128" max="5128" width="10.7109375" style="6" bestFit="1" customWidth="1"/>
    <col min="5129" max="5129" width="1.140625" style="6" customWidth="1"/>
    <col min="5130" max="5376" width="11.5703125" style="6"/>
    <col min="5377" max="5377" width="3.5703125" style="6" customWidth="1"/>
    <col min="5378" max="5378" width="30.5703125" style="6" customWidth="1"/>
    <col min="5379" max="5379" width="10.140625" style="6" customWidth="1"/>
    <col min="5380" max="5380" width="3" style="6" customWidth="1"/>
    <col min="5381" max="5381" width="13" style="6" bestFit="1" customWidth="1"/>
    <col min="5382" max="5382" width="7" style="6" customWidth="1"/>
    <col min="5383" max="5383" width="9.140625" style="6" customWidth="1"/>
    <col min="5384" max="5384" width="10.7109375" style="6" bestFit="1" customWidth="1"/>
    <col min="5385" max="5385" width="1.140625" style="6" customWidth="1"/>
    <col min="5386" max="5632" width="11.5703125" style="6"/>
    <col min="5633" max="5633" width="3.5703125" style="6" customWidth="1"/>
    <col min="5634" max="5634" width="30.5703125" style="6" customWidth="1"/>
    <col min="5635" max="5635" width="10.140625" style="6" customWidth="1"/>
    <col min="5636" max="5636" width="3" style="6" customWidth="1"/>
    <col min="5637" max="5637" width="13" style="6" bestFit="1" customWidth="1"/>
    <col min="5638" max="5638" width="7" style="6" customWidth="1"/>
    <col min="5639" max="5639" width="9.140625" style="6" customWidth="1"/>
    <col min="5640" max="5640" width="10.7109375" style="6" bestFit="1" customWidth="1"/>
    <col min="5641" max="5641" width="1.140625" style="6" customWidth="1"/>
    <col min="5642" max="5888" width="11.5703125" style="6"/>
    <col min="5889" max="5889" width="3.5703125" style="6" customWidth="1"/>
    <col min="5890" max="5890" width="30.5703125" style="6" customWidth="1"/>
    <col min="5891" max="5891" width="10.140625" style="6" customWidth="1"/>
    <col min="5892" max="5892" width="3" style="6" customWidth="1"/>
    <col min="5893" max="5893" width="13" style="6" bestFit="1" customWidth="1"/>
    <col min="5894" max="5894" width="7" style="6" customWidth="1"/>
    <col min="5895" max="5895" width="9.140625" style="6" customWidth="1"/>
    <col min="5896" max="5896" width="10.7109375" style="6" bestFit="1" customWidth="1"/>
    <col min="5897" max="5897" width="1.140625" style="6" customWidth="1"/>
    <col min="5898" max="6144" width="11.5703125" style="6"/>
    <col min="6145" max="6145" width="3.5703125" style="6" customWidth="1"/>
    <col min="6146" max="6146" width="30.5703125" style="6" customWidth="1"/>
    <col min="6147" max="6147" width="10.140625" style="6" customWidth="1"/>
    <col min="6148" max="6148" width="3" style="6" customWidth="1"/>
    <col min="6149" max="6149" width="13" style="6" bestFit="1" customWidth="1"/>
    <col min="6150" max="6150" width="7" style="6" customWidth="1"/>
    <col min="6151" max="6151" width="9.140625" style="6" customWidth="1"/>
    <col min="6152" max="6152" width="10.7109375" style="6" bestFit="1" customWidth="1"/>
    <col min="6153" max="6153" width="1.140625" style="6" customWidth="1"/>
    <col min="6154" max="6400" width="11.5703125" style="6"/>
    <col min="6401" max="6401" width="3.5703125" style="6" customWidth="1"/>
    <col min="6402" max="6402" width="30.5703125" style="6" customWidth="1"/>
    <col min="6403" max="6403" width="10.140625" style="6" customWidth="1"/>
    <col min="6404" max="6404" width="3" style="6" customWidth="1"/>
    <col min="6405" max="6405" width="13" style="6" bestFit="1" customWidth="1"/>
    <col min="6406" max="6406" width="7" style="6" customWidth="1"/>
    <col min="6407" max="6407" width="9.140625" style="6" customWidth="1"/>
    <col min="6408" max="6408" width="10.7109375" style="6" bestFit="1" customWidth="1"/>
    <col min="6409" max="6409" width="1.140625" style="6" customWidth="1"/>
    <col min="6410" max="6656" width="11.5703125" style="6"/>
    <col min="6657" max="6657" width="3.5703125" style="6" customWidth="1"/>
    <col min="6658" max="6658" width="30.5703125" style="6" customWidth="1"/>
    <col min="6659" max="6659" width="10.140625" style="6" customWidth="1"/>
    <col min="6660" max="6660" width="3" style="6" customWidth="1"/>
    <col min="6661" max="6661" width="13" style="6" bestFit="1" customWidth="1"/>
    <col min="6662" max="6662" width="7" style="6" customWidth="1"/>
    <col min="6663" max="6663" width="9.140625" style="6" customWidth="1"/>
    <col min="6664" max="6664" width="10.7109375" style="6" bestFit="1" customWidth="1"/>
    <col min="6665" max="6665" width="1.140625" style="6" customWidth="1"/>
    <col min="6666" max="6912" width="11.5703125" style="6"/>
    <col min="6913" max="6913" width="3.5703125" style="6" customWidth="1"/>
    <col min="6914" max="6914" width="30.5703125" style="6" customWidth="1"/>
    <col min="6915" max="6915" width="10.140625" style="6" customWidth="1"/>
    <col min="6916" max="6916" width="3" style="6" customWidth="1"/>
    <col min="6917" max="6917" width="13" style="6" bestFit="1" customWidth="1"/>
    <col min="6918" max="6918" width="7" style="6" customWidth="1"/>
    <col min="6919" max="6919" width="9.140625" style="6" customWidth="1"/>
    <col min="6920" max="6920" width="10.7109375" style="6" bestFit="1" customWidth="1"/>
    <col min="6921" max="6921" width="1.140625" style="6" customWidth="1"/>
    <col min="6922" max="7168" width="11.5703125" style="6"/>
    <col min="7169" max="7169" width="3.5703125" style="6" customWidth="1"/>
    <col min="7170" max="7170" width="30.5703125" style="6" customWidth="1"/>
    <col min="7171" max="7171" width="10.140625" style="6" customWidth="1"/>
    <col min="7172" max="7172" width="3" style="6" customWidth="1"/>
    <col min="7173" max="7173" width="13" style="6" bestFit="1" customWidth="1"/>
    <col min="7174" max="7174" width="7" style="6" customWidth="1"/>
    <col min="7175" max="7175" width="9.140625" style="6" customWidth="1"/>
    <col min="7176" max="7176" width="10.7109375" style="6" bestFit="1" customWidth="1"/>
    <col min="7177" max="7177" width="1.140625" style="6" customWidth="1"/>
    <col min="7178" max="7424" width="11.5703125" style="6"/>
    <col min="7425" max="7425" width="3.5703125" style="6" customWidth="1"/>
    <col min="7426" max="7426" width="30.5703125" style="6" customWidth="1"/>
    <col min="7427" max="7427" width="10.140625" style="6" customWidth="1"/>
    <col min="7428" max="7428" width="3" style="6" customWidth="1"/>
    <col min="7429" max="7429" width="13" style="6" bestFit="1" customWidth="1"/>
    <col min="7430" max="7430" width="7" style="6" customWidth="1"/>
    <col min="7431" max="7431" width="9.140625" style="6" customWidth="1"/>
    <col min="7432" max="7432" width="10.7109375" style="6" bestFit="1" customWidth="1"/>
    <col min="7433" max="7433" width="1.140625" style="6" customWidth="1"/>
    <col min="7434" max="7680" width="11.5703125" style="6"/>
    <col min="7681" max="7681" width="3.5703125" style="6" customWidth="1"/>
    <col min="7682" max="7682" width="30.5703125" style="6" customWidth="1"/>
    <col min="7683" max="7683" width="10.140625" style="6" customWidth="1"/>
    <col min="7684" max="7684" width="3" style="6" customWidth="1"/>
    <col min="7685" max="7685" width="13" style="6" bestFit="1" customWidth="1"/>
    <col min="7686" max="7686" width="7" style="6" customWidth="1"/>
    <col min="7687" max="7687" width="9.140625" style="6" customWidth="1"/>
    <col min="7688" max="7688" width="10.7109375" style="6" bestFit="1" customWidth="1"/>
    <col min="7689" max="7689" width="1.140625" style="6" customWidth="1"/>
    <col min="7690" max="7936" width="11.5703125" style="6"/>
    <col min="7937" max="7937" width="3.5703125" style="6" customWidth="1"/>
    <col min="7938" max="7938" width="30.5703125" style="6" customWidth="1"/>
    <col min="7939" max="7939" width="10.140625" style="6" customWidth="1"/>
    <col min="7940" max="7940" width="3" style="6" customWidth="1"/>
    <col min="7941" max="7941" width="13" style="6" bestFit="1" customWidth="1"/>
    <col min="7942" max="7942" width="7" style="6" customWidth="1"/>
    <col min="7943" max="7943" width="9.140625" style="6" customWidth="1"/>
    <col min="7944" max="7944" width="10.7109375" style="6" bestFit="1" customWidth="1"/>
    <col min="7945" max="7945" width="1.140625" style="6" customWidth="1"/>
    <col min="7946" max="8192" width="11.5703125" style="6"/>
    <col min="8193" max="8193" width="3.5703125" style="6" customWidth="1"/>
    <col min="8194" max="8194" width="30.5703125" style="6" customWidth="1"/>
    <col min="8195" max="8195" width="10.140625" style="6" customWidth="1"/>
    <col min="8196" max="8196" width="3" style="6" customWidth="1"/>
    <col min="8197" max="8197" width="13" style="6" bestFit="1" customWidth="1"/>
    <col min="8198" max="8198" width="7" style="6" customWidth="1"/>
    <col min="8199" max="8199" width="9.140625" style="6" customWidth="1"/>
    <col min="8200" max="8200" width="10.7109375" style="6" bestFit="1" customWidth="1"/>
    <col min="8201" max="8201" width="1.140625" style="6" customWidth="1"/>
    <col min="8202" max="8448" width="11.5703125" style="6"/>
    <col min="8449" max="8449" width="3.5703125" style="6" customWidth="1"/>
    <col min="8450" max="8450" width="30.5703125" style="6" customWidth="1"/>
    <col min="8451" max="8451" width="10.140625" style="6" customWidth="1"/>
    <col min="8452" max="8452" width="3" style="6" customWidth="1"/>
    <col min="8453" max="8453" width="13" style="6" bestFit="1" customWidth="1"/>
    <col min="8454" max="8454" width="7" style="6" customWidth="1"/>
    <col min="8455" max="8455" width="9.140625" style="6" customWidth="1"/>
    <col min="8456" max="8456" width="10.7109375" style="6" bestFit="1" customWidth="1"/>
    <col min="8457" max="8457" width="1.140625" style="6" customWidth="1"/>
    <col min="8458" max="8704" width="11.5703125" style="6"/>
    <col min="8705" max="8705" width="3.5703125" style="6" customWidth="1"/>
    <col min="8706" max="8706" width="30.5703125" style="6" customWidth="1"/>
    <col min="8707" max="8707" width="10.140625" style="6" customWidth="1"/>
    <col min="8708" max="8708" width="3" style="6" customWidth="1"/>
    <col min="8709" max="8709" width="13" style="6" bestFit="1" customWidth="1"/>
    <col min="8710" max="8710" width="7" style="6" customWidth="1"/>
    <col min="8711" max="8711" width="9.140625" style="6" customWidth="1"/>
    <col min="8712" max="8712" width="10.7109375" style="6" bestFit="1" customWidth="1"/>
    <col min="8713" max="8713" width="1.140625" style="6" customWidth="1"/>
    <col min="8714" max="8960" width="11.5703125" style="6"/>
    <col min="8961" max="8961" width="3.5703125" style="6" customWidth="1"/>
    <col min="8962" max="8962" width="30.5703125" style="6" customWidth="1"/>
    <col min="8963" max="8963" width="10.140625" style="6" customWidth="1"/>
    <col min="8964" max="8964" width="3" style="6" customWidth="1"/>
    <col min="8965" max="8965" width="13" style="6" bestFit="1" customWidth="1"/>
    <col min="8966" max="8966" width="7" style="6" customWidth="1"/>
    <col min="8967" max="8967" width="9.140625" style="6" customWidth="1"/>
    <col min="8968" max="8968" width="10.7109375" style="6" bestFit="1" customWidth="1"/>
    <col min="8969" max="8969" width="1.140625" style="6" customWidth="1"/>
    <col min="8970" max="9216" width="11.5703125" style="6"/>
    <col min="9217" max="9217" width="3.5703125" style="6" customWidth="1"/>
    <col min="9218" max="9218" width="30.5703125" style="6" customWidth="1"/>
    <col min="9219" max="9219" width="10.140625" style="6" customWidth="1"/>
    <col min="9220" max="9220" width="3" style="6" customWidth="1"/>
    <col min="9221" max="9221" width="13" style="6" bestFit="1" customWidth="1"/>
    <col min="9222" max="9222" width="7" style="6" customWidth="1"/>
    <col min="9223" max="9223" width="9.140625" style="6" customWidth="1"/>
    <col min="9224" max="9224" width="10.7109375" style="6" bestFit="1" customWidth="1"/>
    <col min="9225" max="9225" width="1.140625" style="6" customWidth="1"/>
    <col min="9226" max="9472" width="11.5703125" style="6"/>
    <col min="9473" max="9473" width="3.5703125" style="6" customWidth="1"/>
    <col min="9474" max="9474" width="30.5703125" style="6" customWidth="1"/>
    <col min="9475" max="9475" width="10.140625" style="6" customWidth="1"/>
    <col min="9476" max="9476" width="3" style="6" customWidth="1"/>
    <col min="9477" max="9477" width="13" style="6" bestFit="1" customWidth="1"/>
    <col min="9478" max="9478" width="7" style="6" customWidth="1"/>
    <col min="9479" max="9479" width="9.140625" style="6" customWidth="1"/>
    <col min="9480" max="9480" width="10.7109375" style="6" bestFit="1" customWidth="1"/>
    <col min="9481" max="9481" width="1.140625" style="6" customWidth="1"/>
    <col min="9482" max="9728" width="11.5703125" style="6"/>
    <col min="9729" max="9729" width="3.5703125" style="6" customWidth="1"/>
    <col min="9730" max="9730" width="30.5703125" style="6" customWidth="1"/>
    <col min="9731" max="9731" width="10.140625" style="6" customWidth="1"/>
    <col min="9732" max="9732" width="3" style="6" customWidth="1"/>
    <col min="9733" max="9733" width="13" style="6" bestFit="1" customWidth="1"/>
    <col min="9734" max="9734" width="7" style="6" customWidth="1"/>
    <col min="9735" max="9735" width="9.140625" style="6" customWidth="1"/>
    <col min="9736" max="9736" width="10.7109375" style="6" bestFit="1" customWidth="1"/>
    <col min="9737" max="9737" width="1.140625" style="6" customWidth="1"/>
    <col min="9738" max="9984" width="11.5703125" style="6"/>
    <col min="9985" max="9985" width="3.5703125" style="6" customWidth="1"/>
    <col min="9986" max="9986" width="30.5703125" style="6" customWidth="1"/>
    <col min="9987" max="9987" width="10.140625" style="6" customWidth="1"/>
    <col min="9988" max="9988" width="3" style="6" customWidth="1"/>
    <col min="9989" max="9989" width="13" style="6" bestFit="1" customWidth="1"/>
    <col min="9990" max="9990" width="7" style="6" customWidth="1"/>
    <col min="9991" max="9991" width="9.140625" style="6" customWidth="1"/>
    <col min="9992" max="9992" width="10.7109375" style="6" bestFit="1" customWidth="1"/>
    <col min="9993" max="9993" width="1.140625" style="6" customWidth="1"/>
    <col min="9994" max="10240" width="11.5703125" style="6"/>
    <col min="10241" max="10241" width="3.5703125" style="6" customWidth="1"/>
    <col min="10242" max="10242" width="30.5703125" style="6" customWidth="1"/>
    <col min="10243" max="10243" width="10.140625" style="6" customWidth="1"/>
    <col min="10244" max="10244" width="3" style="6" customWidth="1"/>
    <col min="10245" max="10245" width="13" style="6" bestFit="1" customWidth="1"/>
    <col min="10246" max="10246" width="7" style="6" customWidth="1"/>
    <col min="10247" max="10247" width="9.140625" style="6" customWidth="1"/>
    <col min="10248" max="10248" width="10.7109375" style="6" bestFit="1" customWidth="1"/>
    <col min="10249" max="10249" width="1.140625" style="6" customWidth="1"/>
    <col min="10250" max="10496" width="11.5703125" style="6"/>
    <col min="10497" max="10497" width="3.5703125" style="6" customWidth="1"/>
    <col min="10498" max="10498" width="30.5703125" style="6" customWidth="1"/>
    <col min="10499" max="10499" width="10.140625" style="6" customWidth="1"/>
    <col min="10500" max="10500" width="3" style="6" customWidth="1"/>
    <col min="10501" max="10501" width="13" style="6" bestFit="1" customWidth="1"/>
    <col min="10502" max="10502" width="7" style="6" customWidth="1"/>
    <col min="10503" max="10503" width="9.140625" style="6" customWidth="1"/>
    <col min="10504" max="10504" width="10.7109375" style="6" bestFit="1" customWidth="1"/>
    <col min="10505" max="10505" width="1.140625" style="6" customWidth="1"/>
    <col min="10506" max="10752" width="11.5703125" style="6"/>
    <col min="10753" max="10753" width="3.5703125" style="6" customWidth="1"/>
    <col min="10754" max="10754" width="30.5703125" style="6" customWidth="1"/>
    <col min="10755" max="10755" width="10.140625" style="6" customWidth="1"/>
    <col min="10756" max="10756" width="3" style="6" customWidth="1"/>
    <col min="10757" max="10757" width="13" style="6" bestFit="1" customWidth="1"/>
    <col min="10758" max="10758" width="7" style="6" customWidth="1"/>
    <col min="10759" max="10759" width="9.140625" style="6" customWidth="1"/>
    <col min="10760" max="10760" width="10.7109375" style="6" bestFit="1" customWidth="1"/>
    <col min="10761" max="10761" width="1.140625" style="6" customWidth="1"/>
    <col min="10762" max="11008" width="11.5703125" style="6"/>
    <col min="11009" max="11009" width="3.5703125" style="6" customWidth="1"/>
    <col min="11010" max="11010" width="30.5703125" style="6" customWidth="1"/>
    <col min="11011" max="11011" width="10.140625" style="6" customWidth="1"/>
    <col min="11012" max="11012" width="3" style="6" customWidth="1"/>
    <col min="11013" max="11013" width="13" style="6" bestFit="1" customWidth="1"/>
    <col min="11014" max="11014" width="7" style="6" customWidth="1"/>
    <col min="11015" max="11015" width="9.140625" style="6" customWidth="1"/>
    <col min="11016" max="11016" width="10.7109375" style="6" bestFit="1" customWidth="1"/>
    <col min="11017" max="11017" width="1.140625" style="6" customWidth="1"/>
    <col min="11018" max="11264" width="11.5703125" style="6"/>
    <col min="11265" max="11265" width="3.5703125" style="6" customWidth="1"/>
    <col min="11266" max="11266" width="30.5703125" style="6" customWidth="1"/>
    <col min="11267" max="11267" width="10.140625" style="6" customWidth="1"/>
    <col min="11268" max="11268" width="3" style="6" customWidth="1"/>
    <col min="11269" max="11269" width="13" style="6" bestFit="1" customWidth="1"/>
    <col min="11270" max="11270" width="7" style="6" customWidth="1"/>
    <col min="11271" max="11271" width="9.140625" style="6" customWidth="1"/>
    <col min="11272" max="11272" width="10.7109375" style="6" bestFit="1" customWidth="1"/>
    <col min="11273" max="11273" width="1.140625" style="6" customWidth="1"/>
    <col min="11274" max="11520" width="11.5703125" style="6"/>
    <col min="11521" max="11521" width="3.5703125" style="6" customWidth="1"/>
    <col min="11522" max="11522" width="30.5703125" style="6" customWidth="1"/>
    <col min="11523" max="11523" width="10.140625" style="6" customWidth="1"/>
    <col min="11524" max="11524" width="3" style="6" customWidth="1"/>
    <col min="11525" max="11525" width="13" style="6" bestFit="1" customWidth="1"/>
    <col min="11526" max="11526" width="7" style="6" customWidth="1"/>
    <col min="11527" max="11527" width="9.140625" style="6" customWidth="1"/>
    <col min="11528" max="11528" width="10.7109375" style="6" bestFit="1" customWidth="1"/>
    <col min="11529" max="11529" width="1.140625" style="6" customWidth="1"/>
    <col min="11530" max="11776" width="11.5703125" style="6"/>
    <col min="11777" max="11777" width="3.5703125" style="6" customWidth="1"/>
    <col min="11778" max="11778" width="30.5703125" style="6" customWidth="1"/>
    <col min="11779" max="11779" width="10.140625" style="6" customWidth="1"/>
    <col min="11780" max="11780" width="3" style="6" customWidth="1"/>
    <col min="11781" max="11781" width="13" style="6" bestFit="1" customWidth="1"/>
    <col min="11782" max="11782" width="7" style="6" customWidth="1"/>
    <col min="11783" max="11783" width="9.140625" style="6" customWidth="1"/>
    <col min="11784" max="11784" width="10.7109375" style="6" bestFit="1" customWidth="1"/>
    <col min="11785" max="11785" width="1.140625" style="6" customWidth="1"/>
    <col min="11786" max="12032" width="11.5703125" style="6"/>
    <col min="12033" max="12033" width="3.5703125" style="6" customWidth="1"/>
    <col min="12034" max="12034" width="30.5703125" style="6" customWidth="1"/>
    <col min="12035" max="12035" width="10.140625" style="6" customWidth="1"/>
    <col min="12036" max="12036" width="3" style="6" customWidth="1"/>
    <col min="12037" max="12037" width="13" style="6" bestFit="1" customWidth="1"/>
    <col min="12038" max="12038" width="7" style="6" customWidth="1"/>
    <col min="12039" max="12039" width="9.140625" style="6" customWidth="1"/>
    <col min="12040" max="12040" width="10.7109375" style="6" bestFit="1" customWidth="1"/>
    <col min="12041" max="12041" width="1.140625" style="6" customWidth="1"/>
    <col min="12042" max="12288" width="11.5703125" style="6"/>
    <col min="12289" max="12289" width="3.5703125" style="6" customWidth="1"/>
    <col min="12290" max="12290" width="30.5703125" style="6" customWidth="1"/>
    <col min="12291" max="12291" width="10.140625" style="6" customWidth="1"/>
    <col min="12292" max="12292" width="3" style="6" customWidth="1"/>
    <col min="12293" max="12293" width="13" style="6" bestFit="1" customWidth="1"/>
    <col min="12294" max="12294" width="7" style="6" customWidth="1"/>
    <col min="12295" max="12295" width="9.140625" style="6" customWidth="1"/>
    <col min="12296" max="12296" width="10.7109375" style="6" bestFit="1" customWidth="1"/>
    <col min="12297" max="12297" width="1.140625" style="6" customWidth="1"/>
    <col min="12298" max="12544" width="11.5703125" style="6"/>
    <col min="12545" max="12545" width="3.5703125" style="6" customWidth="1"/>
    <col min="12546" max="12546" width="30.5703125" style="6" customWidth="1"/>
    <col min="12547" max="12547" width="10.140625" style="6" customWidth="1"/>
    <col min="12548" max="12548" width="3" style="6" customWidth="1"/>
    <col min="12549" max="12549" width="13" style="6" bestFit="1" customWidth="1"/>
    <col min="12550" max="12550" width="7" style="6" customWidth="1"/>
    <col min="12551" max="12551" width="9.140625" style="6" customWidth="1"/>
    <col min="12552" max="12552" width="10.7109375" style="6" bestFit="1" customWidth="1"/>
    <col min="12553" max="12553" width="1.140625" style="6" customWidth="1"/>
    <col min="12554" max="12800" width="11.5703125" style="6"/>
    <col min="12801" max="12801" width="3.5703125" style="6" customWidth="1"/>
    <col min="12802" max="12802" width="30.5703125" style="6" customWidth="1"/>
    <col min="12803" max="12803" width="10.140625" style="6" customWidth="1"/>
    <col min="12804" max="12804" width="3" style="6" customWidth="1"/>
    <col min="12805" max="12805" width="13" style="6" bestFit="1" customWidth="1"/>
    <col min="12806" max="12806" width="7" style="6" customWidth="1"/>
    <col min="12807" max="12807" width="9.140625" style="6" customWidth="1"/>
    <col min="12808" max="12808" width="10.7109375" style="6" bestFit="1" customWidth="1"/>
    <col min="12809" max="12809" width="1.140625" style="6" customWidth="1"/>
    <col min="12810" max="13056" width="11.5703125" style="6"/>
    <col min="13057" max="13057" width="3.5703125" style="6" customWidth="1"/>
    <col min="13058" max="13058" width="30.5703125" style="6" customWidth="1"/>
    <col min="13059" max="13059" width="10.140625" style="6" customWidth="1"/>
    <col min="13060" max="13060" width="3" style="6" customWidth="1"/>
    <col min="13061" max="13061" width="13" style="6" bestFit="1" customWidth="1"/>
    <col min="13062" max="13062" width="7" style="6" customWidth="1"/>
    <col min="13063" max="13063" width="9.140625" style="6" customWidth="1"/>
    <col min="13064" max="13064" width="10.7109375" style="6" bestFit="1" customWidth="1"/>
    <col min="13065" max="13065" width="1.140625" style="6" customWidth="1"/>
    <col min="13066" max="13312" width="11.5703125" style="6"/>
    <col min="13313" max="13313" width="3.5703125" style="6" customWidth="1"/>
    <col min="13314" max="13314" width="30.5703125" style="6" customWidth="1"/>
    <col min="13315" max="13315" width="10.140625" style="6" customWidth="1"/>
    <col min="13316" max="13316" width="3" style="6" customWidth="1"/>
    <col min="13317" max="13317" width="13" style="6" bestFit="1" customWidth="1"/>
    <col min="13318" max="13318" width="7" style="6" customWidth="1"/>
    <col min="13319" max="13319" width="9.140625" style="6" customWidth="1"/>
    <col min="13320" max="13320" width="10.7109375" style="6" bestFit="1" customWidth="1"/>
    <col min="13321" max="13321" width="1.140625" style="6" customWidth="1"/>
    <col min="13322" max="13568" width="11.5703125" style="6"/>
    <col min="13569" max="13569" width="3.5703125" style="6" customWidth="1"/>
    <col min="13570" max="13570" width="30.5703125" style="6" customWidth="1"/>
    <col min="13571" max="13571" width="10.140625" style="6" customWidth="1"/>
    <col min="13572" max="13572" width="3" style="6" customWidth="1"/>
    <col min="13573" max="13573" width="13" style="6" bestFit="1" customWidth="1"/>
    <col min="13574" max="13574" width="7" style="6" customWidth="1"/>
    <col min="13575" max="13575" width="9.140625" style="6" customWidth="1"/>
    <col min="13576" max="13576" width="10.7109375" style="6" bestFit="1" customWidth="1"/>
    <col min="13577" max="13577" width="1.140625" style="6" customWidth="1"/>
    <col min="13578" max="13824" width="11.5703125" style="6"/>
    <col min="13825" max="13825" width="3.5703125" style="6" customWidth="1"/>
    <col min="13826" max="13826" width="30.5703125" style="6" customWidth="1"/>
    <col min="13827" max="13827" width="10.140625" style="6" customWidth="1"/>
    <col min="13828" max="13828" width="3" style="6" customWidth="1"/>
    <col min="13829" max="13829" width="13" style="6" bestFit="1" customWidth="1"/>
    <col min="13830" max="13830" width="7" style="6" customWidth="1"/>
    <col min="13831" max="13831" width="9.140625" style="6" customWidth="1"/>
    <col min="13832" max="13832" width="10.7109375" style="6" bestFit="1" customWidth="1"/>
    <col min="13833" max="13833" width="1.140625" style="6" customWidth="1"/>
    <col min="13834" max="14080" width="11.5703125" style="6"/>
    <col min="14081" max="14081" width="3.5703125" style="6" customWidth="1"/>
    <col min="14082" max="14082" width="30.5703125" style="6" customWidth="1"/>
    <col min="14083" max="14083" width="10.140625" style="6" customWidth="1"/>
    <col min="14084" max="14084" width="3" style="6" customWidth="1"/>
    <col min="14085" max="14085" width="13" style="6" bestFit="1" customWidth="1"/>
    <col min="14086" max="14086" width="7" style="6" customWidth="1"/>
    <col min="14087" max="14087" width="9.140625" style="6" customWidth="1"/>
    <col min="14088" max="14088" width="10.7109375" style="6" bestFit="1" customWidth="1"/>
    <col min="14089" max="14089" width="1.140625" style="6" customWidth="1"/>
    <col min="14090" max="14336" width="11.5703125" style="6"/>
    <col min="14337" max="14337" width="3.5703125" style="6" customWidth="1"/>
    <col min="14338" max="14338" width="30.5703125" style="6" customWidth="1"/>
    <col min="14339" max="14339" width="10.140625" style="6" customWidth="1"/>
    <col min="14340" max="14340" width="3" style="6" customWidth="1"/>
    <col min="14341" max="14341" width="13" style="6" bestFit="1" customWidth="1"/>
    <col min="14342" max="14342" width="7" style="6" customWidth="1"/>
    <col min="14343" max="14343" width="9.140625" style="6" customWidth="1"/>
    <col min="14344" max="14344" width="10.7109375" style="6" bestFit="1" customWidth="1"/>
    <col min="14345" max="14345" width="1.140625" style="6" customWidth="1"/>
    <col min="14346" max="14592" width="11.5703125" style="6"/>
    <col min="14593" max="14593" width="3.5703125" style="6" customWidth="1"/>
    <col min="14594" max="14594" width="30.5703125" style="6" customWidth="1"/>
    <col min="14595" max="14595" width="10.140625" style="6" customWidth="1"/>
    <col min="14596" max="14596" width="3" style="6" customWidth="1"/>
    <col min="14597" max="14597" width="13" style="6" bestFit="1" customWidth="1"/>
    <col min="14598" max="14598" width="7" style="6" customWidth="1"/>
    <col min="14599" max="14599" width="9.140625" style="6" customWidth="1"/>
    <col min="14600" max="14600" width="10.7109375" style="6" bestFit="1" customWidth="1"/>
    <col min="14601" max="14601" width="1.140625" style="6" customWidth="1"/>
    <col min="14602" max="14848" width="11.5703125" style="6"/>
    <col min="14849" max="14849" width="3.5703125" style="6" customWidth="1"/>
    <col min="14850" max="14850" width="30.5703125" style="6" customWidth="1"/>
    <col min="14851" max="14851" width="10.140625" style="6" customWidth="1"/>
    <col min="14852" max="14852" width="3" style="6" customWidth="1"/>
    <col min="14853" max="14853" width="13" style="6" bestFit="1" customWidth="1"/>
    <col min="14854" max="14854" width="7" style="6" customWidth="1"/>
    <col min="14855" max="14855" width="9.140625" style="6" customWidth="1"/>
    <col min="14856" max="14856" width="10.7109375" style="6" bestFit="1" customWidth="1"/>
    <col min="14857" max="14857" width="1.140625" style="6" customWidth="1"/>
    <col min="14858" max="15104" width="11.5703125" style="6"/>
    <col min="15105" max="15105" width="3.5703125" style="6" customWidth="1"/>
    <col min="15106" max="15106" width="30.5703125" style="6" customWidth="1"/>
    <col min="15107" max="15107" width="10.140625" style="6" customWidth="1"/>
    <col min="15108" max="15108" width="3" style="6" customWidth="1"/>
    <col min="15109" max="15109" width="13" style="6" bestFit="1" customWidth="1"/>
    <col min="15110" max="15110" width="7" style="6" customWidth="1"/>
    <col min="15111" max="15111" width="9.140625" style="6" customWidth="1"/>
    <col min="15112" max="15112" width="10.7109375" style="6" bestFit="1" customWidth="1"/>
    <col min="15113" max="15113" width="1.140625" style="6" customWidth="1"/>
    <col min="15114" max="15360" width="11.5703125" style="6"/>
    <col min="15361" max="15361" width="3.5703125" style="6" customWidth="1"/>
    <col min="15362" max="15362" width="30.5703125" style="6" customWidth="1"/>
    <col min="15363" max="15363" width="10.140625" style="6" customWidth="1"/>
    <col min="15364" max="15364" width="3" style="6" customWidth="1"/>
    <col min="15365" max="15365" width="13" style="6" bestFit="1" customWidth="1"/>
    <col min="15366" max="15366" width="7" style="6" customWidth="1"/>
    <col min="15367" max="15367" width="9.140625" style="6" customWidth="1"/>
    <col min="15368" max="15368" width="10.7109375" style="6" bestFit="1" customWidth="1"/>
    <col min="15369" max="15369" width="1.140625" style="6" customWidth="1"/>
    <col min="15370" max="15616" width="11.5703125" style="6"/>
    <col min="15617" max="15617" width="3.5703125" style="6" customWidth="1"/>
    <col min="15618" max="15618" width="30.5703125" style="6" customWidth="1"/>
    <col min="15619" max="15619" width="10.140625" style="6" customWidth="1"/>
    <col min="15620" max="15620" width="3" style="6" customWidth="1"/>
    <col min="15621" max="15621" width="13" style="6" bestFit="1" customWidth="1"/>
    <col min="15622" max="15622" width="7" style="6" customWidth="1"/>
    <col min="15623" max="15623" width="9.140625" style="6" customWidth="1"/>
    <col min="15624" max="15624" width="10.7109375" style="6" bestFit="1" customWidth="1"/>
    <col min="15625" max="15625" width="1.140625" style="6" customWidth="1"/>
    <col min="15626" max="15872" width="11.5703125" style="6"/>
    <col min="15873" max="15873" width="3.5703125" style="6" customWidth="1"/>
    <col min="15874" max="15874" width="30.5703125" style="6" customWidth="1"/>
    <col min="15875" max="15875" width="10.140625" style="6" customWidth="1"/>
    <col min="15876" max="15876" width="3" style="6" customWidth="1"/>
    <col min="15877" max="15877" width="13" style="6" bestFit="1" customWidth="1"/>
    <col min="15878" max="15878" width="7" style="6" customWidth="1"/>
    <col min="15879" max="15879" width="9.140625" style="6" customWidth="1"/>
    <col min="15880" max="15880" width="10.7109375" style="6" bestFit="1" customWidth="1"/>
    <col min="15881" max="15881" width="1.140625" style="6" customWidth="1"/>
    <col min="15882" max="16128" width="11.5703125" style="6"/>
    <col min="16129" max="16129" width="3.5703125" style="6" customWidth="1"/>
    <col min="16130" max="16130" width="30.5703125" style="6" customWidth="1"/>
    <col min="16131" max="16131" width="10.140625" style="6" customWidth="1"/>
    <col min="16132" max="16132" width="3" style="6" customWidth="1"/>
    <col min="16133" max="16133" width="13" style="6" bestFit="1" customWidth="1"/>
    <col min="16134" max="16134" width="7" style="6" customWidth="1"/>
    <col min="16135" max="16135" width="9.140625" style="6" customWidth="1"/>
    <col min="16136" max="16136" width="10.7109375" style="6" bestFit="1" customWidth="1"/>
    <col min="16137" max="16137" width="1.140625" style="6" customWidth="1"/>
    <col min="16138" max="16384" width="11.5703125" style="6"/>
  </cols>
  <sheetData>
    <row r="5" spans="1:18" x14ac:dyDescent="0.25">
      <c r="A5" s="1" t="s">
        <v>0</v>
      </c>
      <c r="B5" s="2"/>
      <c r="C5" s="2"/>
    </row>
    <row r="6" spans="1:18" ht="9" customHeight="1" x14ac:dyDescent="0.25">
      <c r="A6" s="1"/>
      <c r="B6" s="2"/>
      <c r="C6" s="2"/>
    </row>
    <row r="7" spans="1:18" s="8" customFormat="1" ht="15" x14ac:dyDescent="0.25">
      <c r="A7" s="23" t="s">
        <v>132</v>
      </c>
      <c r="B7" s="7"/>
      <c r="D7" s="25"/>
      <c r="E7" s="173" t="s">
        <v>2</v>
      </c>
      <c r="F7" s="189"/>
      <c r="G7" s="175">
        <v>45744</v>
      </c>
      <c r="H7" s="190"/>
      <c r="M7" s="97"/>
      <c r="N7" s="98"/>
      <c r="O7" s="99"/>
      <c r="Q7" s="100"/>
      <c r="R7" s="13"/>
    </row>
    <row r="8" spans="1:18" s="8" customFormat="1" ht="15" x14ac:dyDescent="0.25">
      <c r="A8" s="23" t="s">
        <v>133</v>
      </c>
      <c r="B8" s="7"/>
      <c r="D8" s="25"/>
      <c r="E8" s="177" t="s">
        <v>4</v>
      </c>
      <c r="F8" s="178"/>
      <c r="G8" s="179">
        <v>10426</v>
      </c>
      <c r="H8" s="180"/>
      <c r="M8" s="97"/>
      <c r="N8" s="98"/>
      <c r="O8" s="131"/>
      <c r="P8" s="100"/>
      <c r="Q8" s="130"/>
      <c r="R8" s="13"/>
    </row>
    <row r="9" spans="1:18" s="8" customFormat="1" ht="15" x14ac:dyDescent="0.25">
      <c r="A9" s="23" t="s">
        <v>134</v>
      </c>
      <c r="B9" s="7"/>
      <c r="D9" s="25"/>
      <c r="E9" s="177" t="s">
        <v>6</v>
      </c>
      <c r="F9" s="178"/>
      <c r="G9" s="179" t="s">
        <v>135</v>
      </c>
      <c r="H9" s="180"/>
      <c r="L9" s="44"/>
      <c r="M9" s="97"/>
      <c r="N9" s="98"/>
      <c r="O9" s="131"/>
      <c r="P9" s="100"/>
      <c r="Q9" s="130"/>
      <c r="R9" s="13"/>
    </row>
    <row r="10" spans="1:18" s="8" customFormat="1" ht="15" x14ac:dyDescent="0.25">
      <c r="A10" s="23" t="s">
        <v>136</v>
      </c>
      <c r="B10" s="7"/>
      <c r="D10" s="25"/>
      <c r="E10" s="200" t="s">
        <v>62</v>
      </c>
      <c r="F10" s="201"/>
      <c r="G10" s="202">
        <f>+G7</f>
        <v>45744</v>
      </c>
      <c r="H10" s="203"/>
      <c r="M10" s="97"/>
      <c r="N10" s="98"/>
      <c r="O10" s="99"/>
      <c r="Q10" s="100"/>
      <c r="R10" s="13"/>
    </row>
    <row r="11" spans="1:18" s="8" customFormat="1" ht="15" x14ac:dyDescent="0.25">
      <c r="A11" s="23" t="s">
        <v>137</v>
      </c>
      <c r="D11" s="25"/>
      <c r="E11" s="19" t="s">
        <v>9</v>
      </c>
      <c r="F11" s="165" t="s">
        <v>10</v>
      </c>
      <c r="G11" s="165"/>
      <c r="H11" s="166"/>
      <c r="L11" s="44"/>
      <c r="M11" s="97"/>
      <c r="N11" s="98"/>
      <c r="O11" s="131"/>
      <c r="P11" s="100"/>
      <c r="Q11" s="130"/>
      <c r="R11" s="13"/>
    </row>
    <row r="12" spans="1:18" s="8" customFormat="1" ht="15" x14ac:dyDescent="0.25">
      <c r="D12" s="25"/>
      <c r="E12" s="20" t="s">
        <v>11</v>
      </c>
      <c r="F12" s="167" t="s">
        <v>12</v>
      </c>
      <c r="G12" s="167"/>
      <c r="H12" s="168"/>
      <c r="M12" s="97"/>
      <c r="N12" s="98"/>
      <c r="O12" s="131"/>
      <c r="P12" s="100"/>
      <c r="Q12" s="130"/>
      <c r="R12" s="13"/>
    </row>
    <row r="13" spans="1:18" s="8" customFormat="1" ht="15" x14ac:dyDescent="0.25">
      <c r="D13" s="25"/>
      <c r="E13" s="11"/>
      <c r="F13" s="22"/>
    </row>
    <row r="14" spans="1:18" s="8" customFormat="1" ht="15" x14ac:dyDescent="0.25">
      <c r="D14" s="25"/>
      <c r="E14" s="11"/>
      <c r="F14" s="22"/>
    </row>
    <row r="15" spans="1:18" s="8" customFormat="1" ht="15" x14ac:dyDescent="0.25">
      <c r="D15" s="25"/>
      <c r="E15" s="11"/>
      <c r="F15" s="22"/>
    </row>
    <row r="16" spans="1:18" s="8" customFormat="1" ht="15" x14ac:dyDescent="0.25">
      <c r="D16" s="25"/>
      <c r="E16" s="11"/>
      <c r="F16" s="22"/>
    </row>
    <row r="17" spans="1:19" s="23" customFormat="1" ht="15" x14ac:dyDescent="0.25">
      <c r="L17" s="8"/>
      <c r="M17" s="8"/>
      <c r="N17" s="97"/>
      <c r="O17" s="98"/>
      <c r="P17" s="99"/>
      <c r="Q17" s="8"/>
      <c r="R17" s="100"/>
      <c r="S17" s="13"/>
    </row>
    <row r="18" spans="1:19" s="23" customFormat="1" ht="15" x14ac:dyDescent="0.25">
      <c r="A18" s="169" t="s">
        <v>13</v>
      </c>
      <c r="B18" s="169"/>
      <c r="C18" s="169"/>
      <c r="D18" s="169"/>
      <c r="E18" s="169"/>
      <c r="F18" s="169"/>
      <c r="G18" s="169"/>
      <c r="H18" s="169"/>
      <c r="L18" s="8"/>
      <c r="M18" s="8"/>
      <c r="N18" s="97"/>
      <c r="O18" s="98"/>
      <c r="P18" s="131"/>
      <c r="Q18" s="100"/>
      <c r="R18" s="130"/>
      <c r="S18" s="13"/>
    </row>
    <row r="19" spans="1:19" s="23" customFormat="1" ht="15" x14ac:dyDescent="0.25">
      <c r="A19" s="24"/>
      <c r="B19" s="24"/>
      <c r="C19" s="24"/>
      <c r="D19" s="24"/>
      <c r="E19" s="24"/>
      <c r="F19" s="24"/>
      <c r="G19" s="24"/>
      <c r="H19" s="24"/>
      <c r="L19" s="8"/>
      <c r="M19" s="8"/>
      <c r="N19" s="97"/>
      <c r="O19" s="98"/>
      <c r="P19" s="131"/>
      <c r="Q19" s="100"/>
      <c r="R19" s="130"/>
      <c r="S19" s="13"/>
    </row>
    <row r="20" spans="1:19" s="23" customFormat="1" ht="15" x14ac:dyDescent="0.25">
      <c r="A20" s="24"/>
      <c r="B20" s="24"/>
      <c r="C20" s="24"/>
      <c r="D20" s="24"/>
      <c r="E20" s="24"/>
      <c r="F20" s="24"/>
      <c r="G20" s="24"/>
      <c r="H20" s="24"/>
      <c r="L20" s="8"/>
      <c r="M20" s="44"/>
      <c r="N20" s="97"/>
      <c r="O20" s="98"/>
      <c r="P20" s="131"/>
      <c r="Q20" s="100"/>
      <c r="R20" s="130"/>
      <c r="S20" s="13"/>
    </row>
    <row r="21" spans="1:19" s="8" customFormat="1" ht="15" x14ac:dyDescent="0.25">
      <c r="A21" s="8" t="s">
        <v>65</v>
      </c>
      <c r="B21" s="7"/>
      <c r="D21" s="25"/>
      <c r="E21" s="11"/>
      <c r="F21" s="22"/>
    </row>
    <row r="22" spans="1:19" s="8" customFormat="1" ht="15" x14ac:dyDescent="0.25">
      <c r="A22" s="8" t="s">
        <v>66</v>
      </c>
      <c r="B22" s="7"/>
      <c r="D22" s="25"/>
      <c r="E22" s="11"/>
      <c r="F22" s="22"/>
    </row>
    <row r="23" spans="1:19" s="8" customFormat="1" ht="8.25" customHeight="1" x14ac:dyDescent="0.25">
      <c r="D23" s="25"/>
      <c r="E23" s="25"/>
      <c r="F23" s="11"/>
      <c r="G23" s="25"/>
    </row>
    <row r="24" spans="1:19" s="8" customFormat="1" ht="15" x14ac:dyDescent="0.25">
      <c r="A24" s="27" t="s">
        <v>16</v>
      </c>
      <c r="B24" s="28"/>
      <c r="C24" s="27"/>
      <c r="D24" s="25"/>
      <c r="E24" s="25"/>
      <c r="F24" s="11"/>
      <c r="G24" s="25"/>
      <c r="H24" s="11" t="s">
        <v>20</v>
      </c>
    </row>
    <row r="25" spans="1:19" s="8" customFormat="1" ht="7.5" customHeight="1" x14ac:dyDescent="0.25">
      <c r="A25" s="29"/>
      <c r="B25" s="29"/>
      <c r="C25" s="18"/>
      <c r="D25" s="112"/>
      <c r="E25" s="21"/>
      <c r="F25" s="21"/>
      <c r="G25" s="30"/>
      <c r="H25" s="18"/>
    </row>
    <row r="26" spans="1:19" s="8" customFormat="1" ht="7.5" customHeight="1" x14ac:dyDescent="0.25">
      <c r="C26" s="9"/>
      <c r="D26" s="25"/>
      <c r="E26" s="11"/>
      <c r="F26" s="11"/>
      <c r="G26" s="154"/>
      <c r="H26" s="9"/>
    </row>
    <row r="27" spans="1:19" s="8" customFormat="1" ht="15" x14ac:dyDescent="0.25">
      <c r="A27" s="8" t="s">
        <v>138</v>
      </c>
      <c r="E27" s="147"/>
      <c r="F27" s="11"/>
      <c r="G27" s="148"/>
      <c r="J27" s="13"/>
      <c r="K27" s="157"/>
      <c r="L27" s="158"/>
    </row>
    <row r="28" spans="1:19" s="8" customFormat="1" ht="15" x14ac:dyDescent="0.25">
      <c r="B28" s="8" t="s">
        <v>139</v>
      </c>
      <c r="E28" s="156"/>
      <c r="F28" s="11"/>
      <c r="G28" s="149"/>
      <c r="H28" s="13">
        <v>100</v>
      </c>
      <c r="K28" s="157"/>
    </row>
    <row r="29" spans="1:19" s="8" customFormat="1" ht="15" x14ac:dyDescent="0.25">
      <c r="C29" s="9"/>
    </row>
    <row r="30" spans="1:19" s="8" customFormat="1" ht="15" x14ac:dyDescent="0.25">
      <c r="C30" s="9"/>
      <c r="E30" s="33"/>
      <c r="F30" s="11"/>
      <c r="G30" s="159"/>
      <c r="H30" s="13"/>
    </row>
    <row r="31" spans="1:19" s="8" customFormat="1" ht="15" x14ac:dyDescent="0.25">
      <c r="C31" s="9"/>
      <c r="E31" s="33"/>
      <c r="F31" s="11"/>
      <c r="G31" s="149"/>
      <c r="H31" s="13"/>
    </row>
    <row r="32" spans="1:19" s="8" customFormat="1" ht="15" x14ac:dyDescent="0.25">
      <c r="C32" s="9"/>
      <c r="E32" s="33"/>
      <c r="F32" s="11"/>
      <c r="G32" s="159"/>
      <c r="H32" s="13"/>
    </row>
    <row r="33" spans="1:10" s="8" customFormat="1" ht="15" x14ac:dyDescent="0.25">
      <c r="C33" s="97"/>
      <c r="D33" s="98"/>
      <c r="E33" s="33"/>
      <c r="G33" s="100"/>
      <c r="H33" s="13"/>
    </row>
    <row r="34" spans="1:10" s="8" customFormat="1" ht="15" x14ac:dyDescent="0.25">
      <c r="C34" s="97"/>
      <c r="D34" s="98"/>
      <c r="E34" s="99"/>
      <c r="G34" s="100"/>
      <c r="H34" s="13"/>
    </row>
    <row r="35" spans="1:10" s="8" customFormat="1" ht="6.75" customHeight="1" x14ac:dyDescent="0.25">
      <c r="C35" s="98"/>
      <c r="D35" s="98"/>
      <c r="E35" s="144"/>
      <c r="F35" s="29"/>
      <c r="G35" s="21"/>
      <c r="H35" s="35"/>
    </row>
    <row r="36" spans="1:10" s="8" customFormat="1" ht="15" x14ac:dyDescent="0.25">
      <c r="A36" s="7"/>
      <c r="B36" s="7"/>
      <c r="E36" s="8" t="s">
        <v>29</v>
      </c>
      <c r="F36" s="7"/>
      <c r="G36" s="25"/>
      <c r="H36" s="13">
        <f>SUM(H26:H34)</f>
        <v>100</v>
      </c>
      <c r="J36" s="13"/>
    </row>
    <row r="37" spans="1:10" s="8" customFormat="1" ht="15" x14ac:dyDescent="0.25">
      <c r="E37" s="36" t="s">
        <v>30</v>
      </c>
      <c r="F37" s="7"/>
      <c r="G37" s="25"/>
      <c r="H37" s="13">
        <f>+H36*0.19</f>
        <v>19</v>
      </c>
    </row>
    <row r="38" spans="1:10" s="8" customFormat="1" thickBot="1" x14ac:dyDescent="0.3">
      <c r="E38" s="37" t="s">
        <v>31</v>
      </c>
      <c r="F38" s="38"/>
      <c r="G38" s="39"/>
      <c r="H38" s="40">
        <f>SUM(H36:H37)</f>
        <v>119</v>
      </c>
      <c r="J38" s="13"/>
    </row>
    <row r="39" spans="1:10" s="8" customFormat="1" ht="6" customHeight="1" thickTop="1" x14ac:dyDescent="0.25">
      <c r="E39" s="41"/>
      <c r="F39" s="11"/>
      <c r="G39" s="25"/>
      <c r="H39" s="13"/>
      <c r="J39" s="13"/>
    </row>
    <row r="40" spans="1:10" s="8" customFormat="1" ht="15" x14ac:dyDescent="0.25">
      <c r="A40" s="8" t="s">
        <v>140</v>
      </c>
      <c r="B40" s="7"/>
      <c r="D40" s="25"/>
      <c r="E40" s="11"/>
      <c r="F40" s="22"/>
    </row>
    <row r="41" spans="1:10" s="8" customFormat="1" ht="15" x14ac:dyDescent="0.25">
      <c r="D41" s="25"/>
      <c r="E41" s="11"/>
      <c r="F41" s="22"/>
    </row>
    <row r="44" spans="1:10" s="139" customFormat="1" ht="15" x14ac:dyDescent="0.25">
      <c r="B44" s="143"/>
      <c r="D44" s="140"/>
      <c r="E44" s="141"/>
      <c r="F44" s="140"/>
      <c r="G44" s="142"/>
    </row>
    <row r="45" spans="1:10" s="139" customFormat="1" ht="15" x14ac:dyDescent="0.25">
      <c r="D45" s="140"/>
      <c r="E45" s="141"/>
      <c r="F45" s="140"/>
      <c r="G45" s="142"/>
    </row>
    <row r="49" spans="1:8" ht="8.25" customHeight="1" x14ac:dyDescent="0.25">
      <c r="F49" s="3"/>
      <c r="G49" s="5"/>
    </row>
    <row r="50" spans="1:8" x14ac:dyDescent="0.25">
      <c r="A50" s="170" t="s">
        <v>141</v>
      </c>
      <c r="B50" s="170"/>
      <c r="C50" s="170"/>
      <c r="D50" s="170"/>
      <c r="E50" s="170"/>
      <c r="F50" s="170"/>
      <c r="G50" s="170"/>
      <c r="H50" s="170"/>
    </row>
  </sheetData>
  <mergeCells count="12">
    <mergeCell ref="A50:H50"/>
    <mergeCell ref="E7:F7"/>
    <mergeCell ref="G7:H7"/>
    <mergeCell ref="E8:F8"/>
    <mergeCell ref="G8:H8"/>
    <mergeCell ref="E9:F9"/>
    <mergeCell ref="G9:H9"/>
    <mergeCell ref="E10:F10"/>
    <mergeCell ref="G10:H10"/>
    <mergeCell ref="F11:H11"/>
    <mergeCell ref="F12:H12"/>
    <mergeCell ref="A18:H18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4DB2D15C4B84897E1610CBF74DCA7" ma:contentTypeVersion="12" ma:contentTypeDescription="Ein neues Dokument erstellen." ma:contentTypeScope="" ma:versionID="b4052999643e9b2d2097874f43316dd3">
  <xsd:schema xmlns:xsd="http://www.w3.org/2001/XMLSchema" xmlns:xs="http://www.w3.org/2001/XMLSchema" xmlns:p="http://schemas.microsoft.com/office/2006/metadata/properties" xmlns:ns2="39610a9a-d901-4909-bf1d-9eb88f698c46" xmlns:ns3="1b69345e-4f7f-4263-9167-af18e7b0a127" targetNamespace="http://schemas.microsoft.com/office/2006/metadata/properties" ma:root="true" ma:fieldsID="27cf6aa2d2a7100967435888a9fe679c" ns2:_="" ns3:_="">
    <xsd:import namespace="39610a9a-d901-4909-bf1d-9eb88f698c46"/>
    <xsd:import namespace="1b69345e-4f7f-4263-9167-af18e7b0a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0a9a-d901-4909-bf1d-9eb88f698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c87726b-915a-431c-9ffc-7e8adc276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9345e-4f7f-4263-9167-af18e7b0a1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4fb1be-d376-465e-81ae-ba40f1444eac}" ma:internalName="TaxCatchAll" ma:showField="CatchAllData" ma:web="1b69345e-4f7f-4263-9167-af18e7b0a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69345e-4f7f-4263-9167-af18e7b0a127" xsi:nil="true"/>
    <lcf76f155ced4ddcb4097134ff3c332f xmlns="39610a9a-d901-4909-bf1d-9eb88f698c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8A3251-F75B-4E9E-BA77-EEEF918225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B80922-6404-47B4-813D-39EE55FD54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610a9a-d901-4909-bf1d-9eb88f698c46"/>
    <ds:schemaRef ds:uri="1b69345e-4f7f-4263-9167-af18e7b0a1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F91EF6-D942-4EC7-9FFE-D28C0088E2E5}">
  <ds:schemaRefs>
    <ds:schemaRef ds:uri="http://schemas.microsoft.com/office/2006/metadata/properties"/>
    <ds:schemaRef ds:uri="http://schemas.microsoft.com/office/infopath/2007/PartnerControls"/>
    <ds:schemaRef ds:uri="1b69345e-4f7f-4263-9167-af18e7b0a127"/>
    <ds:schemaRef ds:uri="39610a9a-d901-4909-bf1d-9eb88f698c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Rg Form 1</vt:lpstr>
      <vt:lpstr>Rg Form 2 Lohn</vt:lpstr>
      <vt:lpstr>Rg Form 3 Fibu</vt:lpstr>
      <vt:lpstr>Rg Form 4 - Prüfungen</vt:lpstr>
      <vt:lpstr>Rg Form 5 - pauschal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 Ahting</dc:creator>
  <cp:lastModifiedBy>Wolle</cp:lastModifiedBy>
  <cp:lastPrinted>2025-11-29T14:29:47Z</cp:lastPrinted>
  <dcterms:created xsi:type="dcterms:W3CDTF">2025-11-29T14:01:25Z</dcterms:created>
  <dcterms:modified xsi:type="dcterms:W3CDTF">2025-12-04T18:51:17Z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0x010100D7E4DB2D15C4B84897E1610CBF74DCA7</vt:lpwstr>
  </property>
</Properties>
</file>