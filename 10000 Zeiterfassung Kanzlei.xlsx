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codeName="DieseArbeitsmappe"/>
  <mc:AlternateContent xmlns:mc="http://schemas.openxmlformats.org/markup-compatibility/2006">
    <mc:Choice Requires="x15">
      <x15ac:absPath xmlns:x15ac="http://schemas.microsoft.com/office/spreadsheetml/2010/11/ac" url="https://stbahting-my.sharepoint.com/personal/h_ahting_stb-ahting_de/Documents/Zeiterfassung/"/>
    </mc:Choice>
  </mc:AlternateContent>
  <xr:revisionPtr revIDLastSave="0" documentId="8_{7123223B-4246-413A-B08F-728CE5EE950A}" xr6:coauthVersionLast="47" xr6:coauthVersionMax="47" xr10:uidLastSave="{00000000-0000-0000-0000-000000000000}"/>
  <bookViews>
    <workbookView xWindow="-120" yWindow="-120" windowWidth="29040" windowHeight="15840" tabRatio="700" firstSheet="6" activeTab="6" xr2:uid="{5A353484-0E68-4912-BD2B-362C94CA2B03}"/>
  </bookViews>
  <sheets>
    <sheet name="abgerechnet" sheetId="29" r:id="rId1"/>
    <sheet name="HA" sheetId="26" r:id="rId2"/>
    <sheet name="KL" sheetId="27" r:id="rId3"/>
    <sheet name="ZD" sheetId="28" r:id="rId4"/>
    <sheet name="Sheet1" sheetId="31" r:id="rId5"/>
    <sheet name="CL" sheetId="32" r:id="rId6"/>
    <sheet name="WA" sheetId="33" r:id="rId7"/>
  </sheets>
  <definedNames>
    <definedName name="_xlnm._FilterDatabase" localSheetId="1" hidden="1">HA!$1:$1</definedName>
    <definedName name="_Toc455129646" localSheetId="1">HA!#REF!</definedName>
    <definedName name="Excel_BuiltIn__FilterDatabase" localSheetId="1">HA!#REF!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68" i="26" l="1"/>
  <c r="F1568" i="26" s="1"/>
  <c r="F269" i="26"/>
  <c r="F160" i="26"/>
  <c r="F342" i="26"/>
  <c r="F178" i="26"/>
  <c r="F328" i="26"/>
  <c r="G695" i="26"/>
  <c r="F1324" i="26"/>
  <c r="F306" i="26"/>
  <c r="F307" i="26"/>
  <c r="F1379" i="26"/>
  <c r="F199" i="26"/>
  <c r="G200" i="26"/>
  <c r="F646" i="26"/>
  <c r="G9" i="26"/>
  <c r="G10" i="26" s="1"/>
  <c r="F10" i="26" s="1"/>
  <c r="G1266" i="26"/>
  <c r="F847" i="26"/>
  <c r="G847" i="26" s="1"/>
  <c r="G243" i="26"/>
  <c r="F313" i="26"/>
  <c r="F484" i="26"/>
  <c r="G484" i="26" s="1"/>
  <c r="F480" i="26"/>
  <c r="G480" i="26" s="1"/>
  <c r="F1430" i="26"/>
  <c r="G1430" i="26" s="1"/>
  <c r="F1389" i="26"/>
  <c r="G1389" i="26"/>
  <c r="F1369" i="26"/>
  <c r="G1369" i="26" s="1"/>
  <c r="G1359" i="26"/>
  <c r="G1355" i="26"/>
  <c r="F1350" i="26"/>
  <c r="G1350" i="26" s="1"/>
  <c r="F1318" i="26"/>
  <c r="G1318" i="26" s="1"/>
  <c r="F1317" i="26"/>
  <c r="G1317" i="26" s="1"/>
  <c r="F1308" i="26"/>
  <c r="G1308" i="26" s="1"/>
  <c r="F1273" i="26"/>
  <c r="G1273" i="26" s="1"/>
  <c r="G1272" i="26"/>
  <c r="F1271" i="26"/>
  <c r="G1271" i="26" s="1"/>
  <c r="F1270" i="26"/>
  <c r="G1270" i="26" s="1"/>
  <c r="F1262" i="26"/>
  <c r="G1262" i="26" s="1"/>
  <c r="F1236" i="26"/>
  <c r="G1236" i="26" s="1"/>
  <c r="F1235" i="26"/>
  <c r="G1235" i="26" s="1"/>
  <c r="F1203" i="26"/>
  <c r="G1203" i="26" s="1"/>
  <c r="F1158" i="26"/>
  <c r="G1158" i="26" s="1"/>
  <c r="F1154" i="26"/>
  <c r="G1154" i="26" s="1"/>
  <c r="F1151" i="26"/>
  <c r="G1151" i="26" s="1"/>
  <c r="F1136" i="26"/>
  <c r="F1130" i="26"/>
  <c r="G1130" i="26" s="1"/>
  <c r="F1129" i="26"/>
  <c r="G1129" i="26" s="1"/>
  <c r="F1014" i="26"/>
  <c r="F1006" i="26"/>
  <c r="F148" i="26"/>
  <c r="G148" i="26" s="1"/>
  <c r="F963" i="26"/>
  <c r="G963" i="26" s="1"/>
  <c r="F962" i="26"/>
  <c r="G962" i="26" s="1"/>
  <c r="F960" i="26"/>
  <c r="G960" i="26" s="1"/>
  <c r="F952" i="26"/>
  <c r="G952" i="26" s="1"/>
  <c r="F942" i="26"/>
  <c r="G867" i="26"/>
  <c r="F849" i="26"/>
  <c r="G849" i="26" s="1"/>
  <c r="F846" i="26"/>
  <c r="G846" i="26" s="1"/>
  <c r="F843" i="26"/>
  <c r="F842" i="26"/>
  <c r="G842" i="26" s="1"/>
  <c r="F841" i="26"/>
  <c r="G841" i="26" s="1"/>
  <c r="F840" i="26"/>
  <c r="G840" i="26" s="1"/>
  <c r="F839" i="26"/>
  <c r="G839" i="26" s="1"/>
  <c r="F819" i="26"/>
  <c r="F787" i="26"/>
  <c r="G787" i="26" s="1"/>
  <c r="F754" i="26"/>
  <c r="G754" i="26" s="1"/>
  <c r="F726" i="26"/>
  <c r="F661" i="26"/>
  <c r="G661" i="26" s="1"/>
  <c r="F620" i="26"/>
  <c r="G620" i="26" s="1"/>
  <c r="F602" i="26"/>
  <c r="G590" i="26"/>
  <c r="F553" i="26"/>
  <c r="F543" i="26"/>
  <c r="F541" i="26"/>
  <c r="G541" i="26" s="1"/>
  <c r="F530" i="26"/>
  <c r="F526" i="26"/>
  <c r="F525" i="26"/>
  <c r="F524" i="26"/>
  <c r="F515" i="26"/>
  <c r="F500" i="26"/>
  <c r="G500" i="26" s="1"/>
  <c r="F499" i="26"/>
  <c r="G499" i="26" s="1"/>
  <c r="F479" i="26"/>
  <c r="G479" i="26" s="1"/>
  <c r="F458" i="26"/>
  <c r="G458" i="26" s="1"/>
  <c r="F415" i="26"/>
  <c r="G415" i="26" s="1"/>
  <c r="F402" i="26"/>
  <c r="G402" i="26" s="1"/>
  <c r="F375" i="26"/>
  <c r="G375" i="26" s="1"/>
  <c r="F362" i="26"/>
  <c r="G362" i="26" s="1"/>
  <c r="F343" i="26"/>
  <c r="F327" i="26"/>
  <c r="F303" i="26"/>
  <c r="G303" i="26" s="1"/>
  <c r="F302" i="26"/>
  <c r="G302" i="26" s="1"/>
  <c r="F285" i="26"/>
  <c r="G285" i="26" s="1"/>
  <c r="F284" i="26"/>
  <c r="G284" i="26" s="1"/>
  <c r="F254" i="26"/>
  <c r="F253" i="26"/>
  <c r="F252" i="26"/>
  <c r="G252" i="26" s="1"/>
  <c r="F251" i="26"/>
  <c r="G251" i="26" s="1"/>
  <c r="F250" i="26"/>
  <c r="G250" i="26" s="1"/>
  <c r="F249" i="26"/>
  <c r="G249" i="26" s="1"/>
  <c r="F246" i="26"/>
  <c r="F245" i="26"/>
  <c r="G245" i="26" s="1"/>
  <c r="G169" i="26"/>
  <c r="H183" i="26" s="1"/>
  <c r="F126" i="26"/>
  <c r="G126" i="26" s="1"/>
  <c r="F125" i="26"/>
  <c r="G125" i="26" s="1"/>
  <c r="F89" i="26"/>
  <c r="G89" i="26" s="1"/>
  <c r="F87" i="26"/>
  <c r="G65" i="26"/>
  <c r="F1073" i="26"/>
  <c r="G1073" i="26" s="1"/>
  <c r="G54" i="26"/>
  <c r="F54" i="26" s="1"/>
  <c r="F806" i="26"/>
</calcChain>
</file>

<file path=xl/sharedStrings.xml><?xml version="1.0" encoding="utf-8"?>
<sst xmlns="http://schemas.openxmlformats.org/spreadsheetml/2006/main" count="3311" uniqueCount="1975">
  <si>
    <t>Datum</t>
  </si>
  <si>
    <t>MD-Nr</t>
  </si>
  <si>
    <t>abgerechnet</t>
  </si>
  <si>
    <t>MD</t>
  </si>
  <si>
    <t>Tätigkeit</t>
  </si>
  <si>
    <t>Stunden</t>
  </si>
  <si>
    <t>berechnet</t>
  </si>
  <si>
    <t>van Echelpoel</t>
  </si>
  <si>
    <t>EST 2023; Anl N, Sonderauisganenm, hhnahe, Alle Anlagem V, Anl KAP zgT, wg Interactiove Brokers Eintzelaufstelluzng</t>
  </si>
  <si>
    <t>weitere Qänderungen ES 2022, Erläuterung zu Anfrage MD wg Aufstellung zu VuV Ergebnnissen, Email MD, Anl KAP geändert</t>
  </si>
  <si>
    <t>MD hier wg Rückgabe ESt-Belege 2022</t>
  </si>
  <si>
    <t>Elsterversand ESt 2022</t>
  </si>
  <si>
    <t>Tel MD wg Aufhebung Terminverlusttopf und EST 2023</t>
  </si>
  <si>
    <t>EST 2023; Anl V Wittelsbacherstr neu wg Verkauf ETW.  Anl KAPüberarbeitet, Emauil MD, Verliustvorträge zum 1.1.2023 ausgerechnet, Lit wg Dividenenerstattungsberträfgen</t>
  </si>
  <si>
    <t>Est 2023, setllungnahme zu Email von MD, Anl KAP Frau van E ergänzt nach neuen Unterlagen, Verlustvoragsberechnung 2020-2022/2023, Email mD</t>
  </si>
  <si>
    <t>x</t>
  </si>
  <si>
    <t>Bender</t>
  </si>
  <si>
    <t>TerminM D hier wg Immobilienvererbug/Schenkung von Mutter auf Söhne</t>
  </si>
  <si>
    <t>Lit Bewertzung Grundsrtück wg SchSt, Datenliste erstellt, Email mD</t>
  </si>
  <si>
    <t>Grundstücksbewertung n 185 BewG f SchSt f Fressgassimmobilie</t>
  </si>
  <si>
    <t>Tel v MD wg 10% Reduzierung Wert Nießbrauchsrecht wg Begünstigung f Wohneigentum, Lit RR, Anfrage v MD zu KV-Beiträgen, ddie die Mutter für ihn bezahlt und Schebnkung, lit, RR</t>
  </si>
  <si>
    <t>Tel v MD wg SChSt und wg Darlvertrag</t>
  </si>
  <si>
    <t>Grundbewsitzwertbescheid 16.12.2022, Einspruch vorbereitet/Entwurf, Tel MD deswegen</t>
  </si>
  <si>
    <t>Bewertungsbescheid Grst Tel wg Einspruch und Auswirkung verschiedener Begründungen, Vollmacht vorbereitet, fristwaahrenden Einspruch vorereitet</t>
  </si>
  <si>
    <t>Einspruch</t>
  </si>
  <si>
    <t>Tel Md wg Einspruch, Grundbesitzbewertungseinsprtuch überarbeitet, Rexchengang erfgänzt, besser dargelegt, Email MD, lit wg Abschlag f Denkmalschutz</t>
  </si>
  <si>
    <t>Tel FA wg Denkmaleindfluss auf Berechnung und BRW; Einspruch umformuliert, Berechnung neu, Tel Stadt wg Denkmalschutzkataster, Tel MD idS</t>
  </si>
  <si>
    <t>Einspruchsbegründung Grundbesitzwertbescheide, Fax FA</t>
  </si>
  <si>
    <t>ADV-Bescheid Fressgass, Email mD</t>
  </si>
  <si>
    <t>Tel v MD wg Fristverl bei Einspruchsbegründung Grstück</t>
  </si>
  <si>
    <t>Fristverl Tel FA Hr Waghner wg Einspruchsbegründung Große Bockenheimer</t>
  </si>
  <si>
    <t>Einspruchsbegründung Grpoße Bockenheimer, Fax FA</t>
  </si>
  <si>
    <t>Bewertungsbescheid (Änderung aufgrund Einspruch), Didffernzdarstellung, Schreiben und Tel MD</t>
  </si>
  <si>
    <t>Tel v MD wg SCHStB Grundstück</t>
  </si>
  <si>
    <t>Lit wg Zinsen und Stundung SchSt</t>
  </si>
  <si>
    <t>Lit wg SCHSTB und Stundungsanspruchu nd Zinsen, sowie wg Einspruch</t>
  </si>
  <si>
    <t>Einspruucgh 2 SCHStBe, SCHStB geprüft</t>
  </si>
  <si>
    <t>Tel v MD wg SZ zur Mahnung zur SchSt, Tel FA, Fax FA wg Widerspruch</t>
  </si>
  <si>
    <t>Inge</t>
  </si>
  <si>
    <t>Elsterversand eSt+USt+EÜR 2022</t>
  </si>
  <si>
    <t>EstB 2022+EStVorauszlgsB 2024+2025 ff, Brief MD, Telversiche Md wg Anfrage des FA zu Aloystrasse 1, Antwortfax vorbereitet</t>
  </si>
  <si>
    <t>geänderter EStB 2022 (Aufhebung VdN), Brief MD</t>
  </si>
  <si>
    <t>Adelheid Ahting</t>
  </si>
  <si>
    <t>EST 2023</t>
  </si>
  <si>
    <t>EST 2023, post- und Elsterversand</t>
  </si>
  <si>
    <t>EST 2022, Belegkopien, Belege 2021+2022 zurückgesendet</t>
  </si>
  <si>
    <t>Klaus</t>
  </si>
  <si>
    <t>Rgen Fibu III+IV/24+ EÜR 23</t>
  </si>
  <si>
    <t>Wolfgang</t>
  </si>
  <si>
    <t>Elsterversand ESt +EÜR+USt + GewSt 2022</t>
  </si>
  <si>
    <t>Elsterversand ESt +EÜR+USt + GewSt 2023</t>
  </si>
  <si>
    <t>Anfrage FA zu Est 2022+2023 beantwortet</t>
  </si>
  <si>
    <t>ESTBe 22+23, Brief MD, Tel MD wg KleinUURegel f PV Anlage</t>
  </si>
  <si>
    <t>UBX</t>
  </si>
  <si>
    <t>Hinterlegung JA 2023</t>
  </si>
  <si>
    <t>BHG Ahting + Lang</t>
  </si>
  <si>
    <t>Stellungnahme Faxx an FA wg Klein Uuregel</t>
  </si>
  <si>
    <t>BHG Ahting+Lang</t>
  </si>
  <si>
    <t>Elsterversand EGF+UST+Gewst+EÜR 2022</t>
  </si>
  <si>
    <t>Elsterversand EGF+UST+Gewst+EÜR 2023</t>
  </si>
  <si>
    <t>EGFBe 2022+2023 VuV, Enail MD</t>
  </si>
  <si>
    <t>Franz Pfaff</t>
  </si>
  <si>
    <t>Fibu Belege 21+20 erhalten für BP, JA 2023 mit MD besprochen</t>
  </si>
  <si>
    <t>Offenlegung JA 2023</t>
  </si>
  <si>
    <t>BP 20-22, GF-Vertragsordner zusgestellt für Bper, Excelübersicht Gehälter 20-22</t>
  </si>
  <si>
    <t>MD hier wg Fibu 12/2024</t>
  </si>
  <si>
    <t>VHV BetriebsHV-Fragebogen auisghefüllt, Fax VHV, Email MD, Creditreform Fragebogen zT</t>
  </si>
  <si>
    <t>Tel v Bper wg GdpdU-Daten, erneute Datenübertragung</t>
  </si>
  <si>
    <t>BP Beledurchsicht mit KL</t>
  </si>
  <si>
    <t xml:space="preserve">BP; Tel MD wg Kurztermin </t>
  </si>
  <si>
    <t>Termin Bper Her Weber hier, Verträge zusgestelt+Tel MD wg Verträgen</t>
  </si>
  <si>
    <t>Walter</t>
  </si>
  <si>
    <t>Durchsicht ESt+EÜR 2022</t>
  </si>
  <si>
    <t>Unterdeckungen (Rest aus Fibu I+II/23+ Fibu III/2023 nach Veerg mit ESt+EÜR 2022 inkl Fibu 2023 Nikulka = 440</t>
  </si>
  <si>
    <t>Elsterversand EST+UST+EÜR 2022</t>
  </si>
  <si>
    <t>Unterdeckung Fibu II/2024 (ZD+AK)</t>
  </si>
  <si>
    <t>ESTB 2022+EStverlustB 2022, Brief MD, Einspruch wg nachtr Vorauszlg Est 2023 + 2024 ff</t>
  </si>
  <si>
    <t>Tel v MD wg offener Rgen bei mir und Zahlung</t>
  </si>
  <si>
    <t>Tel Fr N wg Frage nach weiterem GrStmeßB auf 01.01.2024, Brief MD wg Prüfung Bescheide</t>
  </si>
  <si>
    <t>Klaus Walter</t>
  </si>
  <si>
    <t>GrStmneßBescheide 01.01.25 für 2 Einheiten, Brief MD</t>
  </si>
  <si>
    <t>Tel v MD wg GrStmeßBemn 2024+2025 der letzten Wochen</t>
  </si>
  <si>
    <t xml:space="preserve">Walter </t>
  </si>
  <si>
    <t>AufhebungsB GrSTnmeßB 01.01.2025</t>
  </si>
  <si>
    <t>Tel v MD wg Rechnerkauf vom Gehrhard Klaus/Byte FM für 1100,- und wg addon und Versteuerung</t>
  </si>
  <si>
    <t>Zerro</t>
  </si>
  <si>
    <t>Elsterversand KSt+UST+GewSt+E-Bil 2023</t>
  </si>
  <si>
    <t>Zerro GmbH</t>
  </si>
  <si>
    <t>von DRV wg BP 2021-2024, PA erhalten, Ablage+EuBP-Datenübertrag</t>
  </si>
  <si>
    <t>DRV Prüfung,  Unterlagen an DRV zusgestellt, Email Md wg Daten 2024, Daten an DRV weitergericht, mit Erläuterung zu 6060</t>
  </si>
  <si>
    <t>DRV-PB 2021-2024, Prüfberichte</t>
  </si>
  <si>
    <t>HA</t>
  </si>
  <si>
    <t>eigene Lobu 02/2024, Hrn Cirpaci angelegt</t>
  </si>
  <si>
    <t>eigene Fibu</t>
  </si>
  <si>
    <t>GbR</t>
  </si>
  <si>
    <t>Zählerstände Mainiova N58 Tel Hr Rassmann, Erfassung ibei Mainova</t>
  </si>
  <si>
    <t>Anlagen N, Vorsorge, Spenden, Anl V Brockhausstrasse Vorauszahlungen ermittelt etc</t>
  </si>
  <si>
    <t>Termin Bper Her Weber hier, Verträge zusgestellt, Stick bereitgerstellt und Daen hochgeladen, Anfrage wg ArBpapieren zu In Arbeit bef Aufträgen beantwortet, Arb-Papiere dazu ghhochgeladen+Rgen Debitoren 2023 herausgesuchtr</t>
  </si>
  <si>
    <t>K. Bossert</t>
  </si>
  <si>
    <t>Elsterversand EÜR (3x)+GewST+uST+EST 2022</t>
  </si>
  <si>
    <t>Klaus Bossert</t>
  </si>
  <si>
    <t>EStB 2022, Brief MD</t>
  </si>
  <si>
    <t>Reitstall</t>
  </si>
  <si>
    <t>DR Prüfung Berichte BG+SV+KSK durchgesehen, Aktennotiz wg Korr Löhne 2025</t>
  </si>
  <si>
    <t>Rg Lobu IV/24</t>
  </si>
  <si>
    <t>Tel VBG wg Zuständigkeit Schmidt Horses</t>
  </si>
  <si>
    <t>Termin dort wg Fibu IV/2024, Reiterverein EÜR 2024 ertellt, Eröffnungsbilanz erstellt etc</t>
  </si>
  <si>
    <t>Nikulka</t>
  </si>
  <si>
    <t>EGF B 2022 Brief MD</t>
  </si>
  <si>
    <t>Ablage Elsterauftrg. Elsterversand EGF+Ust+EÜR 2023</t>
  </si>
  <si>
    <t>EGFB 2023, Brief MD</t>
  </si>
  <si>
    <t>Tel v MD wg Versdienst 2006+2007+2008</t>
  </si>
  <si>
    <t>Berechnung Dfurchschnittsverdienste 01.04.2006-08.02.2008, Verdienstbescheinigung, Email MDF</t>
  </si>
  <si>
    <t>Zobrak Uddin</t>
  </si>
  <si>
    <t>JA 2018: SAV+AfA, Est 2018 neuen Gewinn Anteilsverlust ALT-GmbH-Anteile, Recherche wg Isolveter GmbH und Satzung etc, Tel mD wg Termin</t>
  </si>
  <si>
    <t>Zobrak</t>
  </si>
  <si>
    <t>Termin Hasim wg EST + JA 17+JA 2018</t>
  </si>
  <si>
    <t>Cascon</t>
  </si>
  <si>
    <t>Elsterversand eST+EÜR+Ust 2022</t>
  </si>
  <si>
    <t>von BzFst Aufforderung M I-IV/22, UStID f Kto 4336 geortüft / Validiert zT berichtit, Email md wg fehlerhafter UStIDs, Tel FA wg Mahnung Ust 2022, Email MD wg UstIDs und Email wg Mahnung, Email FA wg Audfrechnung und Erstattung sZ Ust 2022</t>
  </si>
  <si>
    <t>Buchungen 2022 wg ZM nach neuen Infos von MD umgebucht</t>
  </si>
  <si>
    <t>Nika</t>
  </si>
  <si>
    <t>Lit und Gespräch KL wg Erstattungen/zuschussverbuchung Strompreisbremse 2023</t>
  </si>
  <si>
    <t>USTB 12-2024, Anrechnung SVZ</t>
  </si>
  <si>
    <t>Frank Bossert</t>
  </si>
  <si>
    <t>Unterdeckung Fibu 2019+ESt 2020 Rest</t>
  </si>
  <si>
    <t>F. Bossert</t>
  </si>
  <si>
    <t>Unterdeckung Fibu 2022+ EST 2022</t>
  </si>
  <si>
    <t>Elsterversand eSt+2 EÜRs+GewSt+Ust 2022</t>
  </si>
  <si>
    <t>Zwangsgeldbescheid 2022 EÜR Kunst, Prüfung, Einspruch per Email</t>
  </si>
  <si>
    <t>Zwangsgeldbescheid 2022 EÜR + GewST+ERSt+UST , Prüfung, Einspruch per Email</t>
  </si>
  <si>
    <t>von FA Prüfung EST 2022; Bekege für VuV zusgestellt, per ELSTER-Übertragung an FA beantwortet</t>
  </si>
  <si>
    <t>uSTAbrg+VZB UST 2022+Email MD</t>
  </si>
  <si>
    <t>Schreiben des FA wg Aufhebung Zwangsgeld EST etc 222</t>
  </si>
  <si>
    <t>GewstmeßB+GewwstverlustB 2022 Brief MD</t>
  </si>
  <si>
    <t>EStB 2022, Brief MD, Einspruch</t>
  </si>
  <si>
    <t>geänderterEsTB 2022, Brief MD</t>
  </si>
  <si>
    <t>CB</t>
  </si>
  <si>
    <t>Stellungnahme Veräußerung Beckhöfer GmbH mit KL</t>
  </si>
  <si>
    <t>Mittelherkunft- und -verwendungs-Rg JA 2023-2021, Gespräch CB</t>
  </si>
  <si>
    <t>EST 2022 besprochen, Elsterversand</t>
  </si>
  <si>
    <t>ESTB+EStVerlustB 2022</t>
  </si>
  <si>
    <t>Ablage, Scans etc</t>
  </si>
  <si>
    <t>Kutschke</t>
  </si>
  <si>
    <t>Prof H</t>
  </si>
  <si>
    <t>Termin MD hier wg BerlinerTestatment und EStBelegen 2022</t>
  </si>
  <si>
    <t>Kroll</t>
  </si>
  <si>
    <t>Elsterversand EÜR+EsT+GeSt+Ust 2022</t>
  </si>
  <si>
    <t>GewstmeßBe 2021+2022+2024ff, Brief MD</t>
  </si>
  <si>
    <t>ESTBe 2021+2022, Brief MD</t>
  </si>
  <si>
    <t>Tel Md wg OP</t>
  </si>
  <si>
    <t>Acosta</t>
  </si>
  <si>
    <t>Reiter</t>
  </si>
  <si>
    <t>Unterdeckung ESt 2022</t>
  </si>
  <si>
    <t>Tel v Dr Flores wg Eheschließung mit Russin in 12/24, Auswirkungen auf Lstklasse und Est-Tarif in D in 2024</t>
  </si>
  <si>
    <t>Rg eBanz Offenlegung, Email dr Flores</t>
  </si>
  <si>
    <t>KSTB+KSTverlustB+KST-BMG-B+GestmeßB+GeweVerlustB 2023, Brief MD</t>
  </si>
  <si>
    <t>Schick</t>
  </si>
  <si>
    <t>Termin MD hier, Elsterversand eSt+Ust+EÜR 2022</t>
  </si>
  <si>
    <t>Fax FA wg Aufhebung UST.-VA-Verpfliochtung, Email MD wg Bestätigung über Anwendung § 19 UStG, Tel MD</t>
  </si>
  <si>
    <t>Tel Hr Bisold Verlagsges. Wg Ust auf Vergützungen f 2023, Zufluß ei Istversteuerung in 2024, Lit RR</t>
  </si>
  <si>
    <t>LRT</t>
  </si>
  <si>
    <t>Excelauswertung UST 12/2024 erstellt, Email Schnitter wg Schrottverkauf, ZM 12/2024</t>
  </si>
  <si>
    <t>UST VA IV/2024, Tel JK wg SVZ 20124, Schriottrg erfasst, Elsterversand</t>
  </si>
  <si>
    <t>Frage von Fr Schnitter zu Estattung Miete bei AN mit dopp HHF und Lit mit KL, Rra Fr Schnitter</t>
  </si>
  <si>
    <t>Tel Bperin f KLASrt AP weg fehlender PA</t>
  </si>
  <si>
    <t>DHBG</t>
  </si>
  <si>
    <t>Unterdeckung Fibu III+IV/2024</t>
  </si>
  <si>
    <t>LSt AP, Zustimmungserklärung zur Email Kommunikation ausgefüllt und ans FA gefaxt, hging nicht, geelsert</t>
  </si>
  <si>
    <t>TSH KG</t>
  </si>
  <si>
    <t>Kontenlite f Umstellung Ust+VorStKonten erstellt ab 2025, Email an JK</t>
  </si>
  <si>
    <t>TSH</t>
  </si>
  <si>
    <t>Ust VA 12/2024+ZM 12/24, Excelaufstellung, Elster Email JK+Tel JK</t>
  </si>
  <si>
    <t>2 x Tel MD wg Daten f LSt-AP, Anfrage von JK wg Daten f SAB Zuschuss Corona</t>
  </si>
  <si>
    <t>TSH GmbH</t>
  </si>
  <si>
    <t>Ust VA IV/2024, Tel JK wg Zahllast, Email,JK</t>
  </si>
  <si>
    <t>L&amp;S</t>
  </si>
  <si>
    <t>CB wg Verbuchung WP-Geschäfte</t>
  </si>
  <si>
    <t>DatevRg 03/24</t>
  </si>
  <si>
    <t>Simbadatenbestände 10184+10183 synchronisiert, Buchungsfehler Gterzuweisung 2071+2072 berichtigt, EBwerte 1.1.23 vorgetragen</t>
  </si>
  <si>
    <t xml:space="preserve">JA 2023; SACV+AFA, GewstRST 2021, Umgen, Scans, Darl abgeglichen, Bank abgeglichen, 3710 aufgelöst, 1370 augelöst, 1900 zgT, 3730, </t>
  </si>
  <si>
    <t>JA 2023; SAV, Abgänge SAV, OP-Abgl, AMEXkartenstand (Amex+DKB) zum 31.12.2023), Fragenliste, Belege verknüpft, USTAbgl zgT, 1% Regel + Fahrten WA, so RSt angepaßt</t>
  </si>
  <si>
    <t xml:space="preserve">Email MD wg JA, ARAP ergänzt, SAV bernigt, AfA bneui, Fragenlöiste ergänzt, </t>
  </si>
  <si>
    <t>Ablage Unterlagebn aus 2022aus Ordnern von CB</t>
  </si>
  <si>
    <t xml:space="preserve">CÜH 4 Orga profil Zuordnung versucht, Antwort auf Email des Servicekontaktes in Berlin wg unvollaständiger Freischaltung, </t>
  </si>
  <si>
    <t>CÜH Paket II Schlußabrechnung, Tel Servicecenter Berlin etc</t>
  </si>
  <si>
    <t>Ablage Emails von MD wg Bestätzigung RPGI zu SII</t>
  </si>
  <si>
    <t>Freigabe DATEV-Lohnseminar perTel</t>
  </si>
  <si>
    <t>CAM</t>
  </si>
  <si>
    <t>Unterdeckung Lobu IV/24</t>
  </si>
  <si>
    <t>JA 2023; Daten aus Email 31.10. von MD verarbbeitet, Kleideriventur ist gleich der aus 2022, Pfandkautionen ermittelt, Korr 1900+VorrSt au Fortbildungskosten 2 AN, neue Fragenliste, AN-Darlehen abgestimmt und verzinst, Raten vom Gehalt umgebucht</t>
  </si>
  <si>
    <t>Tel KfW wg Bonitätsunterlagen, Email TS wg Sachstand</t>
  </si>
  <si>
    <t>Tel MD wg mitgliedergebundemem Mandanten-Geschäft DATZEV, Freigabe</t>
  </si>
  <si>
    <t>Ablage</t>
  </si>
  <si>
    <t>Email MD wg BP 20-2022, Telversuch Bper+Tel Bper</t>
  </si>
  <si>
    <t>Kühn + Reiss GbR</t>
  </si>
  <si>
    <t>Email undTel v JR wg NK abrg Yaris N82</t>
  </si>
  <si>
    <t>Kühn &amp; Reiss GbR</t>
  </si>
  <si>
    <t>Telversuch Hr Yaris; NK-abrg Schlüssel detailliert dargestellt, Personenschlüssel, Korr Abrgen, Tel Dr Reiss</t>
  </si>
  <si>
    <t xml:space="preserve">geänderte NK-Abrg N82 f 2023 an Hrn Yaris und Email an  Asyha + Bauer OG, Tel </t>
  </si>
  <si>
    <t>Kühn &amp; Reiss</t>
  </si>
  <si>
    <t>Tel v Hrn Yaris wg Nutzwerwechselkosten und Winterdienst etc</t>
  </si>
  <si>
    <t>Tel v MD wg Nkabrg Ollikainen, Email MD</t>
  </si>
  <si>
    <t>GrSTBe N 80+82 geprüft, Tel MD</t>
  </si>
  <si>
    <t>2 Anfragen von PK wg GrESt auf Realteilung  beantwortet</t>
  </si>
  <si>
    <t>Melaphyr GmbH</t>
  </si>
  <si>
    <t>KStB 2022+2021 wg VR aus 2022, KSTVerlusdtVB+BMG-B+GewstmeßB+GewverlustB 2022, GestmeßB 2024 ff,, Brioef MD</t>
  </si>
  <si>
    <t>Alba</t>
  </si>
  <si>
    <t>Hinterlegung JA 2024 (30.4.24) und L-Eröffnungsbilanz 01.05.24</t>
  </si>
  <si>
    <t>Ablage/Scan div Unterlagen zu JA 2023+JA Rumpf-GJ 2024+Leröffnungsbilanz 2024</t>
  </si>
  <si>
    <t>Tel v Dr Reiss wg Liquidationsende und Geltendmachung von Forderungen der Käufer</t>
  </si>
  <si>
    <t>Tel v MD wg Insolvenzberater etc, Tel Wolle idS</t>
  </si>
  <si>
    <t>Alba/Melaphyr</t>
  </si>
  <si>
    <t>vorhandene Auszüge gebucht+Belege, JA 30.04.2025 vorbereitet, Tel FA wg Veranlagung 2023+2024 und Vorziehen, Tel MD wg Rückgabe FVB-Anteil+Gterprotokoll vorbereitet</t>
  </si>
  <si>
    <t>Dr. G. Reiss</t>
  </si>
  <si>
    <t>Unterdeckung EST 2023+ Löhne / Beratung 2023/2024+ NK-Abrg 2022/2023 Dtmarstr+Wirecardtermine dort</t>
  </si>
  <si>
    <t>EÜR 2023, KAV abrgebn geprüft und Verbuchung berichtigt, SAV+AfA, EÜR 2023</t>
  </si>
  <si>
    <t>Dres Reiss</t>
  </si>
  <si>
    <t>Taunusspark-Dar f Ditmarstrasse f 2024 nachgebucht, Belege verlnüft etc</t>
  </si>
  <si>
    <t>Dr. Reiss</t>
  </si>
  <si>
    <t>Tel v MSD wg Umstellung auf Klein UU-Regel</t>
  </si>
  <si>
    <t>Kühn GmbH</t>
  </si>
  <si>
    <t>Rg Anteil Ust erkl 2023, Ablage etc</t>
  </si>
  <si>
    <t>Kühn</t>
  </si>
  <si>
    <t>KL wg Gehaltsumwandkung DV Peter König, Altenatien gerchnet</t>
  </si>
  <si>
    <t>MD hier wg löhnen 12/24, kurze Beratung zu Immos etc</t>
  </si>
  <si>
    <t>Tel v MD wg AfA auif EDV/GWG, Email MD wg genauerer Auskuft zu AfA auf EDV</t>
  </si>
  <si>
    <t>Kühn Gmbh</t>
  </si>
  <si>
    <t>DRV-Prüfung, Unterlagen für PA01 zusammengestellt</t>
  </si>
  <si>
    <t>DRV-Prüfung, Tel uznd Email md wg weitere Unterlagen, 1% Regel/BLP bei 3 AN nachverfolgt, stf Fahrtkostenersatz Werner und Reuter nachverfolgt, Rückspr KL</t>
  </si>
  <si>
    <t>Tel v MD wgTermibn</t>
  </si>
  <si>
    <t>MD hiert wg Löhnen und DRV-Prüfunterlagen</t>
  </si>
  <si>
    <t>Kühn GmBH</t>
  </si>
  <si>
    <t>DRV Prüfung, Prov Abrgen Freitag und Gottlieb nachvollzogen</t>
  </si>
  <si>
    <t>DRV-Prüfung, Provisionsaufstellungen Gottfried verständlich abgeschrieben, Unterlagen zusgestellt, Tel MD wg Rckfragen zu Provisionen etc</t>
  </si>
  <si>
    <t>Email von mD wg DRV Prüfungsunterlagen, Ablage</t>
  </si>
  <si>
    <t>Email GB wg VAT I, Vj 2025</t>
  </si>
  <si>
    <t>Telversuche und Email ME`R wg Rückfragen dfers brit StBereaters zur UST Va I/2025, Email M/PK wg Zahlbetrag uznd Antwortemail nach GB wg PIVA</t>
  </si>
  <si>
    <t>Tel v MD wg Bewertung Anteile und wg Substanzwert, Tel wg Nußzeilö</t>
  </si>
  <si>
    <t>DRV-Prüfung, Stellungmnahme zur Belaeganforderung, Daten zusgestellt, Susas und Konten gedruckt etc, Uploadder daten</t>
  </si>
  <si>
    <t>Tel v PK wg RNV-Beträgen Fr Reuiter, zuvor Rücksprt von KL, Tel DRV Prüferin deswegen</t>
  </si>
  <si>
    <t>Seybothstr GbR</t>
  </si>
  <si>
    <t>EGF 2023 Elsterversand</t>
  </si>
  <si>
    <t>Seybothstr</t>
  </si>
  <si>
    <t>EGFB 2023, Brief MD, Email Dr Taic</t>
  </si>
  <si>
    <t>Dr J Reiss</t>
  </si>
  <si>
    <t>Suche Belege I/2024, Tel MD</t>
  </si>
  <si>
    <t>Dr Reiss RA</t>
  </si>
  <si>
    <t>Tel md wg Telkos, Telko verarbeitet (1590) Telkoprivatnutzung, Studiennachweris Sohn erfasst in Est</t>
  </si>
  <si>
    <t xml:space="preserve">Dr Reiss </t>
  </si>
  <si>
    <t>Rg Fibu III/24</t>
  </si>
  <si>
    <t xml:space="preserve">Fax von MD wg Weinpräsenten. LStAnmeldung 37b EStG vorbereitet, Tel md wg Versteuerung, </t>
  </si>
  <si>
    <t>Dr. Reiss RA</t>
  </si>
  <si>
    <t>Druck EÜR+Ust 2023, Rg etc</t>
  </si>
  <si>
    <t>Dr. J Reiss</t>
  </si>
  <si>
    <t>Lit wg VorSt-Berichtigung bei Übergang zur Klein UU-Regel</t>
  </si>
  <si>
    <t>Tel MD wg Übergang zur KleinUURegel ab 2025</t>
  </si>
  <si>
    <t>Dr Reiss</t>
  </si>
  <si>
    <t>DRV-Prüfung ALBA f Fichardstrasse 51, Rg</t>
  </si>
  <si>
    <t>Tel v MD wg KleinUURegel ab 2025, Recvhnungen 2025 berichtigt</t>
  </si>
  <si>
    <t>EB werte 2024 vorgetragen, 1% Regel auf Kostendeckel gemindert, UST-Vas verprobt, priv TelNutzung verbucht, SAV+AfA , Tel MD wgh vorl Ergebnis f 2024+Bankabgl 2024, Belege Storcelova Kopiert +verknüpft, Bank verknüpft</t>
  </si>
  <si>
    <t>Adamit</t>
  </si>
  <si>
    <t>JA 2023 durchgesehen+Druck etc</t>
  </si>
  <si>
    <t>Tel v Dr R wg Fragen zu Ja 2023 und Verlustvorträgen und zur Erückführung Darl an Gter</t>
  </si>
  <si>
    <t>oGA 02/2025 vorbereitet, Gterprotokoll</t>
  </si>
  <si>
    <t>Elsterversand UST+GeST+KSt+E-Bilanz 2023</t>
  </si>
  <si>
    <t>Adamit GmbH</t>
  </si>
  <si>
    <t>Fibu 2024, JA 2024 vorbereitet, (ist im Prinzip fertig, Elsterschittstelle fehlt noch)</t>
  </si>
  <si>
    <t>oGA 70 TEUR, Protokoll geändert, KapSTAnmeldung erstellt, Email MD mit Zahlungsdaten etc</t>
  </si>
  <si>
    <t>Ufer</t>
  </si>
  <si>
    <t>Elsterversand EGF+USt+3 EÜR# 2022</t>
  </si>
  <si>
    <t>ESt 2022, Kirchenaustritt erfasst, Tel MD wg Erlsterauftrag f ESt 2022</t>
  </si>
  <si>
    <t>TerminM D hier wg diverser Sachen, oGA-Bechkluß gescannt und KapstAnmeldung 10.03.25 vdrssendet, Nachricht an FA wg oGA-Beschluß</t>
  </si>
  <si>
    <t>P. Kühn</t>
  </si>
  <si>
    <t>Tel MD wg FVB-Darl 2023+Est 2023 Rest, FVB-Darl erfasst, Druck alles als pdf, Anschr etc</t>
  </si>
  <si>
    <t>Termin KV Gonder vorbereitet (1,5 Std). Termin 14:15-16:15 inkl Fahrt</t>
  </si>
  <si>
    <t>DRV Prüfberichte SV+KSK gegengelesen, Brief MD wg Abschluß, Rg</t>
  </si>
  <si>
    <t>Duysak</t>
  </si>
  <si>
    <t>Unterdeckung Fibu II+III/2023</t>
  </si>
  <si>
    <t>Unterdeckung Fibu I/2024</t>
  </si>
  <si>
    <t>Elsterversand EÜR 2022+Gewst+EST+USt 2022, EÜR 2018 wg Auflsg IAB</t>
  </si>
  <si>
    <t>GewSt-MeßBwe 2022+2023 Sicherheitsdienst, Brief MD</t>
  </si>
  <si>
    <t>Unterdeckung Fibu III/22</t>
  </si>
  <si>
    <t>Unterdeckung Fibu IV/2022</t>
  </si>
  <si>
    <t>Unterdeckung Fibu IV/2023 (10220+10221)</t>
  </si>
  <si>
    <t>Unterdeckung EST+EÜR 10220+10221 für 2022+2023</t>
  </si>
  <si>
    <t>Elsterversand 2 x  EÜR 2022, 2 x GewSt, USt 2022, eST 2022 und das Ganze noch mal für 2023</t>
  </si>
  <si>
    <t>Schreiben MD wg 2 neuer StNr</t>
  </si>
  <si>
    <t>EStBe 2023+2022, GewsTmeßBe Reinigung 22+23, GestmeßB Reinigung 2024 ff, Briedf MSD</t>
  </si>
  <si>
    <t>Ablage, Scan Lohnunterlagen 07+08/2024, Kl deswegen</t>
  </si>
  <si>
    <t>GewStB 2022+ nachtr Vorauszlgn 2023+Vorauszlgn ab 2024, Brief MD</t>
  </si>
  <si>
    <t>Unterdeckung Fibu II/2024</t>
  </si>
  <si>
    <t>Unterdeckung Libu II/2024 (KL)</t>
  </si>
  <si>
    <t xml:space="preserve">Ergo RS-Freagebogen Zahl der Mitarbeiter ermitelt und ausgefüllt, </t>
  </si>
  <si>
    <t>Süleyman Duysak</t>
  </si>
  <si>
    <t>DRV-Prüfung, Suche RV-Befreiungsanträge Minijobber, Übersicht Arbeitsdaten der Minijobber</t>
  </si>
  <si>
    <t>DRV-Prüfung, RV-Befreiungsanträge gescannt, Susas erstellt, Transfer an DRV+2. Transfer wg Fragen zu Sonnund Feiertagsszuschlägen</t>
  </si>
  <si>
    <t>EÜR /Fibu 2024 durchgesehen wg Susas etc</t>
  </si>
  <si>
    <t>mehrere Tel DRV Fr Wolf wg SFN Zuschläge und Berücksichtigung bei LFZ, Vorschlag von ihr zur Berücksichtigung, Frag zu Azubi-Tätigkleit Mohammed Yildirimoglu ab 11/2024 fehlerhafte Verbeirtagung (ohne Gleitzone), Korr durcjh KL in 2025, RR Fr Wolf wg Änderung durch Fr Wolff</t>
  </si>
  <si>
    <t>DRV Prüfung, Schlußprotokoll nachgerechne, Recherche wg Lt-Änderungen, Tel DRV, SV-Meldeportal MD freigeschaltet, Email MD wg Besprechungstermin</t>
  </si>
  <si>
    <t>VS Hair</t>
  </si>
  <si>
    <t>Unterdeckung  Fibu III+IV/24</t>
  </si>
  <si>
    <t>Termin MD hier wg Ergebnis der DRV-Prüfung, Freischaltung SV-Meldeportal mit Code von ihm, Fragen zu Lobu, Ansatz Kfz f Fahrten zur Treppenreinigung und wg Kauf Waschmaschine für 100 TEUR</t>
  </si>
  <si>
    <t>Hess</t>
  </si>
  <si>
    <t>Termin unten, Belege 2023 zurück, Sterkl, Elsteraufträge eingeholt</t>
  </si>
  <si>
    <t>Elsterversand E-Bilanz, EGF+UST+GewSt 2023</t>
  </si>
  <si>
    <t>Tel v FA 2545-2443, Hr Hohn, wg Negativbeträgen ig Erwerb in 10+11/24, Sachverhalt nachgesehen, Email an FA vorbereitet</t>
  </si>
  <si>
    <t>Telversuch FA und RR vom FA wg Nachweis neg igErwerbe zur UST-VA 10+11/2024, Anschreiben vom FA abgelegt</t>
  </si>
  <si>
    <t>Elsterversand EsT 2023</t>
  </si>
  <si>
    <t>ESTB+EStverlustB 2023, Tel MD wg Inventur und Ergebnis 2024, Angemessenheit nacghtr Vorauszlg 2025, Brief D</t>
  </si>
  <si>
    <t>Hess+Reiter</t>
  </si>
  <si>
    <t>Elster-Versand EGF+GewST+UST+E-Bilanz 2023</t>
  </si>
  <si>
    <t>Fahrrad24</t>
  </si>
  <si>
    <t>EGFB+GewstmeßB 2023, Brief MD</t>
  </si>
  <si>
    <t>Daten Fibu 01/2025 eingelesen</t>
  </si>
  <si>
    <t>Hess &amp; Reiter</t>
  </si>
  <si>
    <t>Rg Fibu 11+12/2024</t>
  </si>
  <si>
    <t>Drick alles als pdf , Email MD, Rg etc</t>
  </si>
  <si>
    <t>JA 2023 zu Hinterlegung eingestellt, Angabebnu nter berichtigt, zt neu berechnet, Elsterverasnd UST+GewST+EBIl+KSt, Email Como wg Feststellungsbeschluss</t>
  </si>
  <si>
    <t>RHS Dienstleistungen KG</t>
  </si>
  <si>
    <t>Ersttermin MD, algg Beratung (Rg-Nummern, Kundennummern, SV zT, Versteuerung KG, Vergleich GmbH), Verrtäge gescannt und kopiert (mit KL); Stammdaten angelegt</t>
  </si>
  <si>
    <t>DTS</t>
  </si>
  <si>
    <t>Unterdeckung JA 2020 (abzgl Überdeckung Fibu III/2023)</t>
  </si>
  <si>
    <t>Unterdeckung Fibu/JA 2021 abzgl Überdeckung JA 2022 50,-</t>
  </si>
  <si>
    <t>Elsterversand Ebilanz+Ust+GewST+KSt 2022, Hinterlegung JA 2022, Email Md weg Zweanghsgeldwiderruf 600,- an mD f St 2022, Wemail md wg UT Schätzung II/2024</t>
  </si>
  <si>
    <t>Email md wg Rg eBAnz f Offenlegung JA 2023</t>
  </si>
  <si>
    <t>Ust Abrg 2022 + VZB Email MD</t>
  </si>
  <si>
    <t>Tel v Fr Thies wg Zwangsgeld etc f 2022 und Elsterversand, UST Zklg 2022 etc</t>
  </si>
  <si>
    <t>Ebwerte 2023 vorgetragen, JA 2023 erstellt, so RSt, USTVas, IHKL VblK etc</t>
  </si>
  <si>
    <t>Mahnung UST 2022+ Ust II/24, Brief und Email MD</t>
  </si>
  <si>
    <t>Speth</t>
  </si>
  <si>
    <t>Rg Tausch gebr Lichtmaschine, Buchungenaufgedröselt, Ust nicht fällig berichtigt duch Umbg über Zlgskoto</t>
  </si>
  <si>
    <t>Rg Fibu III-IV/24</t>
  </si>
  <si>
    <t>Hommel</t>
  </si>
  <si>
    <t>Tel Md wg Fortbestehen des Betriebs,</t>
  </si>
  <si>
    <t>Neuversad Steuer und EÜR 2021+2022 wg Adressänderung</t>
  </si>
  <si>
    <t>Elsterversand Ust+GewSt+EÜR 2021+2022</t>
  </si>
  <si>
    <t>GewestmeßB+-verlustBe 2021+2022, GesTmeßB 2023 ff, Brief MD</t>
  </si>
  <si>
    <t>UST VA IV/2023, Nullmeldung, Schätzung, Enail MND, Email MD wg Mandatsbneendigung, Belege zusgesucht f Postversand, Paket zusgestellt</t>
  </si>
  <si>
    <t>UST VA I/24 Nullschätzung FA wg Erinnerung v FA</t>
  </si>
  <si>
    <t>Postversand Belege 18-23 und Mandataskündigung, Fax FA widerruf Vollmacht</t>
  </si>
  <si>
    <t>Kalmar</t>
  </si>
  <si>
    <t>Unterdeckung ESt 2021</t>
  </si>
  <si>
    <t>ESTB 2022, Brief MD</t>
  </si>
  <si>
    <t>EST 2023 begonnen,. Lstbescheinigungeb erfasst, Email Md mit Fragenliste</t>
  </si>
  <si>
    <t>Habton</t>
  </si>
  <si>
    <t>GewSTBe 2022+2023+geändeerter GewStBN 2018, Brief MD</t>
  </si>
  <si>
    <t>Termin MD hier wg Steuernachzahlungen 22+23+18 und Ratenzahlungsantrag 0,75+Vorbereitung 0,25</t>
  </si>
  <si>
    <t>Stundungsantrag Lich und FA Fragebogern zt ausgefüllt</t>
  </si>
  <si>
    <t>GewSt-VorauszahlungsB 2025 ff, Brief MD</t>
  </si>
  <si>
    <t>Ablehnungsbescheid zur Ratenstundung EsT 2018+2023</t>
  </si>
  <si>
    <t>Rg Lobu III+IV/2024</t>
  </si>
  <si>
    <t>Rg Fibu III+IV/2024</t>
  </si>
  <si>
    <t>Integria UG</t>
  </si>
  <si>
    <t>Unterdeckung JA 2023</t>
  </si>
  <si>
    <t>JA 2023, Rest, druck als pdf, Ksterkl, Hinterlegungsunterlagn etc, Email MD</t>
  </si>
  <si>
    <t>M&amp;K</t>
  </si>
  <si>
    <t>Rückfrage zu Schluaßabrg P I beantweortet</t>
  </si>
  <si>
    <t xml:space="preserve">JA 2022, SAV+AfA, Ebwerte, Ust Vas 2022, Abgl Ust Zahlunge, Fax FA wg Anforderung Kto </t>
  </si>
  <si>
    <t>Schkußabrechnungsbescheide Paket I abgerufen, Email MD wg Ersattung an RPGI</t>
  </si>
  <si>
    <t>EuBP-Daten 2020-2023 us DATEV versendet an DRV-Prüfer mit KL</t>
  </si>
  <si>
    <t>M+K</t>
  </si>
  <si>
    <t>JA 2022, so RSt zgT, Fragenliste an mD, Diff bei Kto 3720 gelöst, UStAbgl 3820, Enail md w Fragen, Enail GO wg weiterer Daten, OP-Abgl begonnen</t>
  </si>
  <si>
    <t>JA 2022, Tel v Fr Stich wg Santander-Darl nd Zuordnung auf Kunde Helbig</t>
  </si>
  <si>
    <t>Termin MD hier wg JA -U nterlagen 2022</t>
  </si>
  <si>
    <t>JA 2022; OP bereinigt, UST-Abgl, UST-Vas abgeglichen, Inventurzusammenstellung begonnen, Bankenabgleich</t>
  </si>
  <si>
    <t>Brief MD wg JA 2022</t>
  </si>
  <si>
    <t>MD hier wg Übergabne Schreiben zu Insolvenz, Rückgabe Inventur etc</t>
  </si>
  <si>
    <t>Tel Md wg JA 2022 M+K+BC, Telversuch MD, JA 2022 Unterlagen gesichtet, Sterkl 2022 im Entwurf vorbereiet</t>
  </si>
  <si>
    <t>Termin Hr Tomic hier wg Ende des Mandats</t>
  </si>
  <si>
    <t>Unterdeckung Lobu III/24</t>
  </si>
  <si>
    <t>Dölp</t>
  </si>
  <si>
    <t>Unterdeckung EsT 2022 = 897+ Unterdeckung EST 2023 = (1339,85)</t>
  </si>
  <si>
    <t>Liguori</t>
  </si>
  <si>
    <t>Elsterversand EST+Ust+ERÜR+GewSt 2022</t>
  </si>
  <si>
    <t>Email MD wgg Anforderung EST 2021 4,50 EUR</t>
  </si>
  <si>
    <t>Mahnung UST II/2024, Email mD</t>
  </si>
  <si>
    <t>EST 2023, Anlage R ermittet und erfasst, Durchsicht EÜR 2023 , Ewerte, PM wg fehlender Belege auf 1370, Abgl StB Zahlungen/Vblk, Telekom Vblk? Fragenliste</t>
  </si>
  <si>
    <t>Vollstreckungsankündigung uStII/2024, Email mD, neuer Ordner erstellt</t>
  </si>
  <si>
    <t>BC</t>
  </si>
  <si>
    <t>Steuerbescheide 2021 (KSt++BNMG+Kstverlust+GewstmeßB+Gewverlust 2021+ GewstmeßB 2023 ff) Brief MD</t>
  </si>
  <si>
    <t>JA 2022, Ebweerte , JA 22, Brief MD wg Abschluß</t>
  </si>
  <si>
    <t>Biker City GmbH</t>
  </si>
  <si>
    <t>MD Mitteilung neue Steuernummer ab 07/2024, Stammdaten aktualisiert</t>
  </si>
  <si>
    <t>Zaesura</t>
  </si>
  <si>
    <t>KStB 2018, BMGB +GewSTmeßB, VerkustBwe KSt+Gewst 2020</t>
  </si>
  <si>
    <t>Nanus gGmbH</t>
  </si>
  <si>
    <t>IfSG-Bescheide 6 Ablehnungen, 1 Bewilligung, Email MD</t>
  </si>
  <si>
    <t>Hinterlegung JA 2023, Ablage , Beantwortung Anfrage md zu Gterverrkto</t>
  </si>
  <si>
    <t>Gardé</t>
  </si>
  <si>
    <t>restl. Unterdeckung Fibu 2021 (1363,80) + EST/EÜR 2020 = 1338,50-676,35 = 662,15; abzgl Überdeckung EST 2022 = -760,5, abzgl Überdeckung EST 2023 = -168</t>
  </si>
  <si>
    <t>FHUG</t>
  </si>
  <si>
    <t>Termin MD hier, Elsterversand KSt+GewSt+E-Bil 2022</t>
  </si>
  <si>
    <t>Hinterlegug JA 2022</t>
  </si>
  <si>
    <t>Borkowski</t>
  </si>
  <si>
    <t>Elsterversand ESt+UST+GewST+Ebilanz 2022</t>
  </si>
  <si>
    <t>Fragen FA zu Eszt+GuV 2022, Brief FA, ZD wg Belegkopien</t>
  </si>
  <si>
    <t>Höhny GmbH</t>
  </si>
  <si>
    <t>MD Prüfberichte der DRV 2021-2024</t>
  </si>
  <si>
    <t>ARES</t>
  </si>
  <si>
    <t>Elsterversand EGF+EÜR+UST 2019</t>
  </si>
  <si>
    <t>ARES GbR</t>
  </si>
  <si>
    <t>EGFB 2019, Einspruch wg Zurechnung UST</t>
  </si>
  <si>
    <t xml:space="preserve">ARES </t>
  </si>
  <si>
    <t>geänderter EGFB 2019 noch mal geprüft, Email Mden</t>
  </si>
  <si>
    <t>Dr. Mielke</t>
  </si>
  <si>
    <t xml:space="preserve">Tel v DRV wg AP 2022-19, </t>
  </si>
  <si>
    <t>DRV-Prüfung 2019-2022, Tel MD, euBP-Daten gesendet, Auskunftsfragebogen ausgefüllt mit ind. Anlage, Brief DRV</t>
  </si>
  <si>
    <t>GAN</t>
  </si>
  <si>
    <t>Einspruch Zwangsgeldfestsetzung Steuern 2022</t>
  </si>
  <si>
    <t>Schwarz GmbH</t>
  </si>
  <si>
    <t>Elsterversand Ebilanz und Ust+KSt+GewSt 2023</t>
  </si>
  <si>
    <t>Schwarz Gmbh</t>
  </si>
  <si>
    <t>Ja 2024: Datenimport 31.08.2024; Korr Ebwerte, Ebwervortrag, Abgleiche etc</t>
  </si>
  <si>
    <t>Fax FA wg Prüfug KSt 2023</t>
  </si>
  <si>
    <t>Schwarz</t>
  </si>
  <si>
    <t>Tel v MD wg E-Rechnung ab 2025</t>
  </si>
  <si>
    <t>Schlußabrechnungsbescheid Paket II, geprüft, Email MD</t>
  </si>
  <si>
    <t>Breu</t>
  </si>
  <si>
    <t>Rest Unterdeckung JA 2021+Fibu IV/22+I/23+II/22+III/22 nach JA 2022 6211,34-(3043,23-2160), nach Fibu I.Hj 2024 (3909,6-3516)</t>
  </si>
  <si>
    <t>Plochberger</t>
  </si>
  <si>
    <t>Schreiben MD wg neuer StNr</t>
  </si>
  <si>
    <t>Elsterversand EST+Ust+GewSt+EÜR  2022</t>
  </si>
  <si>
    <t>ESTB+GewStmeßB 2022, Brief MD</t>
  </si>
  <si>
    <t>Tel v MD wg Kfz-Ufall auf Hanauer LDstr und Kosten, Fragen von ihm zu EST+UST-Zlgn</t>
  </si>
  <si>
    <t>Umsätze 023 gebucht, UTErkl 2023 (Schätzung mi t 0,-als Zahllast) eingereicht, Einspruch wg ÄnderungUSt-VA-Zeitraum auf Vj</t>
  </si>
  <si>
    <t>DRV-Formular R0665 ausefüllt für Arbeitsverhältnis der Mutter</t>
  </si>
  <si>
    <t>Tel v MD wg Est 2022+III/24 Zlghgn,Tel FA wg SZ, SZ überwiesen</t>
  </si>
  <si>
    <t>Tel Fa Email FA wg Freistellung, Telversuch MD</t>
  </si>
  <si>
    <t>Tel v MD wg Rgen mit 19% Ust, wg Sitzverlagerung Gewerbe, Freistellungsbescheiniguimg etc.</t>
  </si>
  <si>
    <t>Scan Freistellungsbescheinigung, Email MD,. Tel v MD</t>
  </si>
  <si>
    <t>Fax DRV/Knappschaft wg StB 2022 als Einkommensnachweis</t>
  </si>
  <si>
    <t>geänderter Be zu GewStme´ßB+-verlust +ESt 2021 und zu geänderter ESt 208, Brief MD</t>
  </si>
  <si>
    <t>SU</t>
  </si>
  <si>
    <t>Unterdeckung Plausi-Bericht 2022</t>
  </si>
  <si>
    <t>Frage von Fr Kahlert wg Steuerbefreiung und Schreibern des Mieters mit Bitte um steuerfreie Vermietung an ihn, mangels Otionsmöglichkeit</t>
  </si>
  <si>
    <t>Plausi 2023; Daten vom Uureg heruntergeladen</t>
  </si>
  <si>
    <t>Plausi 2023</t>
  </si>
  <si>
    <t>Nanus</t>
  </si>
  <si>
    <t xml:space="preserve">    </t>
  </si>
  <si>
    <t>Fax FA wg Antworta uf Anfrage 2 zur Sterkl 2022</t>
  </si>
  <si>
    <t>Nanus eV</t>
  </si>
  <si>
    <t>KST-FreistellungsB 2020-2022 Brief MD</t>
  </si>
  <si>
    <t>Nanuns gGmbH</t>
  </si>
  <si>
    <t>Tel v MD wg Urlaubsabnbrindung Judith… und deren Berechnung bei 1-Tage-Woche</t>
  </si>
  <si>
    <t>Montessori</t>
  </si>
  <si>
    <t>KSt Erkl 2022mit KL</t>
  </si>
  <si>
    <t>montessori</t>
  </si>
  <si>
    <t>Hinterlegung JA 2022+Tel D wg GF Gehalt</t>
  </si>
  <si>
    <t>NanuS</t>
  </si>
  <si>
    <t>Bestätigung UU-Eigenschaft, Enail mD</t>
  </si>
  <si>
    <t>Tätigkeitsbericht 2022 entworfen</t>
  </si>
  <si>
    <t>Montessori nanuS gGmbh</t>
  </si>
  <si>
    <t>Steuerbnescheide 2022, KST+BMG, KSTverlust+Gewstmeß+GewStverlustB f 2022+ GestmeßB 2025 ff, Brief MD</t>
  </si>
  <si>
    <t>Tel v CB wg SKR 99+SKR 9, DS in SKR09, Enail CB</t>
  </si>
  <si>
    <t>Montessori gGmbH</t>
  </si>
  <si>
    <t>LSt AP 2021-2024, Tel Fr Varga wg Belegen, Scan etc+Tel MD und Rückspr KL</t>
  </si>
  <si>
    <t>Tel LStAPerin wg LST AP 2021-2024+zustimmung el Kommunikation ausgefüllt</t>
  </si>
  <si>
    <t>Tel CB wg Fibu 2023</t>
  </si>
  <si>
    <t>Unterlagen für DRV-Prüfgug zusgestellt</t>
  </si>
  <si>
    <t>LST AP; Fax FA wg zustimmung Emailkommunikation</t>
  </si>
  <si>
    <t>DRV-Prüfung Unterlagen zur PA 01 zusamengestelt, Liste der Zahlungen f Erholungsbeihilfen f 08/2024 aufgestellt, Stellungnahme vorbereitet</t>
  </si>
  <si>
    <t>DRV-Anfrage beantwortet, Uploadf nach Check der von MD nachgereichten Unterlagen</t>
  </si>
  <si>
    <t>Hinterlegung JA 2023, zuvor Daten von MD sortuiert und gescannt</t>
  </si>
  <si>
    <t>Email md wg Rg eBAnz f Offenlegung JA 2023+GewStB 2021+GewstVZB 2012+ GewSTB 2022 ff Brief MD,Tel Stadtkasse WI</t>
  </si>
  <si>
    <t>Elsterversand KSt+GwST+Ebilanz 2023+ berichtiogte Ust 2022</t>
  </si>
  <si>
    <t>GewStB 2023, Email MD</t>
  </si>
  <si>
    <t>Kirchmair GmbH</t>
  </si>
  <si>
    <t>Elsterversand UST+GewST+KSt + Ebil 2023</t>
  </si>
  <si>
    <t>Uddin</t>
  </si>
  <si>
    <t>verbleibende Unterdeckung (Rest aus Fibu IV/2021 - 24.03.22 - nach EÜR 2021) nach CÜH III Antrag</t>
  </si>
  <si>
    <t>D. Uddin</t>
  </si>
  <si>
    <t>ZinsBe ESt 2018 (kein Bief MD - Nullbescheide)</t>
  </si>
  <si>
    <t>ESt-ZinsB 2019, kein Brief MD (Erstattung 23,-)</t>
  </si>
  <si>
    <t>Tel MD wg CÜH Schlußabrg etc</t>
  </si>
  <si>
    <t>Dennis Uddin</t>
  </si>
  <si>
    <t>Schlußabrg P I, Sdatena ngepaßt (Emailadresse, BVB), Email mD</t>
  </si>
  <si>
    <t>U+U</t>
  </si>
  <si>
    <t>Tel Timo Euler/W. Euler wg Übergabe CÜH schlußabrechnungen</t>
  </si>
  <si>
    <t>Schlußabrg CÜH Paket I versendet</t>
  </si>
  <si>
    <t>Anfrage FA zu EST 2019, wg Wegzugsbesteuerung, Fax FA</t>
  </si>
  <si>
    <t>GewestmeßB 2021+ GwsTverlustB 2021</t>
  </si>
  <si>
    <t>Schlußabrg P I, Antwort auzf Rückfrage des RPGI zu Nov+Dez-Hilfe</t>
  </si>
  <si>
    <t>Uddin, D</t>
  </si>
  <si>
    <t>Dennis</t>
  </si>
  <si>
    <t>Tel MD wg Daten ESt 2022</t>
  </si>
  <si>
    <t>Affentor</t>
  </si>
  <si>
    <t>DRVPrüfung, KSK-Fragebogen vorbereitet, Email MD+Tel MD</t>
  </si>
  <si>
    <t>U&amp;U</t>
  </si>
  <si>
    <t>Unterdeckung JA 2019</t>
  </si>
  <si>
    <t>Tel MD und Versendung Dezhilfeantrag</t>
  </si>
  <si>
    <t>Email Md mit JA 2019, Tel MD, Lastschruift</t>
  </si>
  <si>
    <t>Fibu-Daten im Datev-Format bereitgestellt+GdpdU-Format</t>
  </si>
  <si>
    <t>Email v MD wg JA 2019 und Tel v MD wg KUG etc</t>
  </si>
  <si>
    <t>Elsterversand Ust+GewsT+Kst+Ebil 2019+Hinterlergung JA 2019</t>
  </si>
  <si>
    <t>U+U GmbH</t>
  </si>
  <si>
    <t>CÜH II Antrag, Email md</t>
  </si>
  <si>
    <t>CÜH II Antrag versendet</t>
  </si>
  <si>
    <t>KStB+KStVerlustB+BMGB, GewstmeßB+GewverlusdtzB 2019, Brief MD</t>
  </si>
  <si>
    <t>Termin MD wg Meldung Josip Zobrak in 2019</t>
  </si>
  <si>
    <t>Brief MD wg Schlußabrg Paket I, Email mD</t>
  </si>
  <si>
    <t>Termin MD wg offener Rgen, Zlgsvereinarung getrioffen, Vereinbarung vorbereuitet, Verbuchung Barbeträge, Belegordner 10306+10137 an MD zurück</t>
  </si>
  <si>
    <t>von Brönner</t>
  </si>
  <si>
    <t>Hinterlegung JA 2023+Elster-Versand Ust+Ebilanz und GewSt+KSt 2023</t>
  </si>
  <si>
    <t>Tel v MD wg zinsberechnung Darl Das vom Vortag, Email MD wg ausstehenderRG</t>
  </si>
  <si>
    <t>Tel v MD wg Gewinni in D in 2024 und Rgestellung zwischen LDA+GmbH, Hinweis auf Verrechnungspreisproblematik, neue Produktlinie</t>
  </si>
  <si>
    <t>Anfrage des FA zur Prüfung UsT 10/2024, Tel Hr Pfeilstcker und Email wg Liste und Korrekturen, Antwortfax entworfen</t>
  </si>
  <si>
    <t>Dr. v. Mezey</t>
  </si>
  <si>
    <t>Termin Dr V M wg JA 2022, Elsterversand Eröffnungsbilanz 1.1.22</t>
  </si>
  <si>
    <t>Elsterversand E-Bilanz 2022 (mit Shwierigkeiten), Est+UST 2022, Elsterversand geänderrte EÜR 2021+UST 2021</t>
  </si>
  <si>
    <t>von Mezey</t>
  </si>
  <si>
    <t>EStB 2022, Einspruch und ADV, Brief MD</t>
  </si>
  <si>
    <t>Dr. von Mezey</t>
  </si>
  <si>
    <t>geänderter EStB 2022, Brief MD</t>
  </si>
  <si>
    <t>Antonow</t>
  </si>
  <si>
    <t>Mahnung LSt 08/2024, Email MD</t>
  </si>
  <si>
    <t>Tel v MD wg Krankheit Anerin</t>
  </si>
  <si>
    <t>Mahnung LST 09/24 per Email an MD</t>
  </si>
  <si>
    <t>Tel v MD wg Krankheitstage Heislitz; OPAusdruck meine Rgen gesendet</t>
  </si>
  <si>
    <t>Mahnung LSt 10/024 Email MD</t>
  </si>
  <si>
    <t>Mahnung zur LSt 12/2024, Enail MD</t>
  </si>
  <si>
    <t>Typeline GmbH</t>
  </si>
  <si>
    <t>Steuerbescheide : geänderte KStBe 2018+2019, geänderte BMG.Be 2018+2019 wg VR, KSTB+BMGB 2022+2023+KStverlustB 2023+2022+Gewstmeßb+GewVerlustB 2022+2023, Brief MD</t>
  </si>
  <si>
    <t>Bunte Bildung</t>
  </si>
  <si>
    <t>Ablage, EST Akte beschriftet etc</t>
  </si>
  <si>
    <t>Email md w JA-Ungerlage 2023 als pdf</t>
  </si>
  <si>
    <t>Tel v MD wg ermin und Kreditkartenabrg</t>
  </si>
  <si>
    <t>Bunte Bildung KG</t>
  </si>
  <si>
    <t>GewstmeßB 2022+2025 ff, GewverlustB 2022, EGF B 2022, Brief MD, Erläuterung an FA wg Anfrage</t>
  </si>
  <si>
    <t>GewStB 2022, Brief MD</t>
  </si>
  <si>
    <t>LST-Bescheionifgung 2022 per ELSTER, Lohnabregn 2022</t>
  </si>
  <si>
    <t>Elsterversand EGF+Ust+GewSt+Ebil 2023</t>
  </si>
  <si>
    <t>Tel DAK wg Untzeralgen f Versorgungsbezug, Elsterversand lst-Bescheinigung 2023+2024, Lit wg Versorgungsbezug etc</t>
  </si>
  <si>
    <t>EGFB+GesstmeßB 2023+ GewstmeßB 2025 ff, Einspruch , Neutransfer Ebil 2023</t>
  </si>
  <si>
    <t>GewStB 2023, Brief MD</t>
  </si>
  <si>
    <t>Thonet</t>
  </si>
  <si>
    <t>Mahnung Est III/24, Email mD</t>
  </si>
  <si>
    <t>nachger Belege eingearbeitet Est + EÜR 2022, Elsterversand EÜR+ewst+UST+EST 2022</t>
  </si>
  <si>
    <t>MD hier wg Belegen eSt/Fibu 2023, Ordner beschruiftet, PM</t>
  </si>
  <si>
    <t>USTAbrg 2022 mit VZB, Bief MD</t>
  </si>
  <si>
    <t>Skibicki</t>
  </si>
  <si>
    <t>Est 2023 hhnahe errechnet, Arbeitsblatt angeklegt</t>
  </si>
  <si>
    <t>EStB+GewstmeßB 22+ GewstmeßB 2025 ff, Brief MD</t>
  </si>
  <si>
    <t>Lartey</t>
  </si>
  <si>
    <t>Unterdeckung (rest Unterdeckung aus JA 2018 nach Abzug DRV Prüfung und JA 19</t>
  </si>
  <si>
    <t>Termin Md hier wg ESDT 19, Belege 2019 zurückgegeben, Fragen zu SefDesk</t>
  </si>
  <si>
    <t>Elsterversand EST+Ust+EÜR 2019</t>
  </si>
  <si>
    <t>EStB 2019, Brief MD, Anfrage im eStB 2019 nach Krankheitskosten beantwortet , Brief FA mit Unterlafgebn</t>
  </si>
  <si>
    <t>geänderter EStB 2019, Brief MD</t>
  </si>
  <si>
    <t>Termin vorbereitet</t>
  </si>
  <si>
    <t>Einspruch EStB 2019+Änderungsantrag EGF-B 2019, per Fax an FA FFM und FA Friedberg</t>
  </si>
  <si>
    <t>Enail Md wg Ablehnung Antrag auf Änderung EGF-B 2019, Scvan etc</t>
  </si>
  <si>
    <t>uST Abrg 2022, VZB, Brief MD</t>
  </si>
  <si>
    <t>Email MD wg Anforderung des FA zu Ja 2022+Tätigkeitsberichte</t>
  </si>
  <si>
    <t>KStB+BMGB+VerlustB KST+UST Mitteilung 2021, Brief MD</t>
  </si>
  <si>
    <t>Sachbericht durchgesehen, Tel KB wg weitere Unterlagen,Entwurf Anschreiben FA zu Anfragen zu JA 2022</t>
  </si>
  <si>
    <t>DRV Prüfung, SuSA 2021+2022+2023 erstellt, dafür EB werte 12023 berichtigtg, AN-Zahlungsübersicht im Zeitraum 20-24 ersttellt, Email KB wg RV Befreiungen und wg Daten 2023+2024 aus Fibu</t>
  </si>
  <si>
    <t>DRV-Prüfung Tel MD wg ausstehenden RV-Befreiungen AN</t>
  </si>
  <si>
    <t>Tel v KB wg Daten DRV, KSK evtl problematisch, Daten heruntergeladen und entzippt</t>
  </si>
  <si>
    <t>DRV-Prüfung angefragte Unterlagen an DRV per Cryptshare</t>
  </si>
  <si>
    <t>KStB+KStverlustB+GewstmeßB+KSt-BMG-B 2022, Einspruch, Tel KB, Elsterversand Einspruch, Briedf MD</t>
  </si>
  <si>
    <t>Anfrage DRV zu Kontenblättern, Fragebnogen KSK begonnen, Tel und Email KB wg Sommerbaunächten, Entwurf Stellungnahmer DRV-Anfrage</t>
  </si>
  <si>
    <t>Tel von KB wg Daten f DRV-Prüfung, Stellungnahme noh mal angesehen, Fargebogen KSK durchgesehen, Upload an DRV</t>
  </si>
  <si>
    <t>G294 UG</t>
  </si>
  <si>
    <t>Unterdeckung JA 2020+21+ Beratung und Einsprüche uSt 18+-2019</t>
  </si>
  <si>
    <t>THW</t>
  </si>
  <si>
    <t>Rest Unterdeckung CAM JA 2022 (740,75 abzgl. 10413-DRV20-23) (am 9.1.25)</t>
  </si>
  <si>
    <t>DRV-Prüdfung 20-23, Prüfbericht, Brief MD</t>
  </si>
  <si>
    <t>Kobu 12/24 mit KL</t>
  </si>
  <si>
    <t>Anfrage FA zu Prüfung EST 2022, Email Smühlbach wg Belegen</t>
  </si>
  <si>
    <t>Datenversand rG etc</t>
  </si>
  <si>
    <t>Antwort auf Prüfungsanfrage zur EST 2022 via Elster-Sonstige Nachricht in WISO, Unzerl zuvor zusgestellt und geprüft</t>
  </si>
  <si>
    <t>Elsterversand Est+uSt+GewST+GewST+E-Bilanz 2023</t>
  </si>
  <si>
    <t>ESTB, GestmeßB+FeststellungsB Nachversteueungspflichtiger Betarg 2022, Brief MD</t>
  </si>
  <si>
    <t>GewSTB 2022, Brief MD</t>
  </si>
  <si>
    <t>Ermahnung v FA wg verspäteter LST-Anmeldung 01/2025</t>
  </si>
  <si>
    <t>Andersch</t>
  </si>
  <si>
    <t>Strukturstatistik im Dienstleistungsgewerbe 2023</t>
  </si>
  <si>
    <t>Rg Lobu IV/2024</t>
  </si>
  <si>
    <t>Est 2023</t>
  </si>
  <si>
    <t>Stellungnahme zu Einspruch geänderte eStBe 2018-2021</t>
  </si>
  <si>
    <t>Kaczmarek</t>
  </si>
  <si>
    <t>DRV Prüfberichte 2021-2024 gelesen, Brief MD, Rg, KorrMeldungen Knappschaft und TK f Hrn Ay</t>
  </si>
  <si>
    <t>Hessenstatistik Strukturerhebung 2023</t>
  </si>
  <si>
    <t>Bolz</t>
  </si>
  <si>
    <t>Unterdeckung Fibu+Lobu I/2023</t>
  </si>
  <si>
    <t>Unterdeckung Fibu III/2023</t>
  </si>
  <si>
    <t>Unterdeckung Fibu II/2024 (ZD)</t>
  </si>
  <si>
    <t>Unterdeckung Est+JA 2023</t>
  </si>
  <si>
    <t>div Tel v MD wg ESTB Selina Bolz 2023</t>
  </si>
  <si>
    <t>Elsterversand ESt+GwST+Ebilanz 2023+  Ust 2023</t>
  </si>
  <si>
    <t>MD hier wg Fibu 10/24</t>
  </si>
  <si>
    <t>Aud´fhebungsB SDVZ 2025, Tel MD wg Erläuterung</t>
  </si>
  <si>
    <t>FSUG</t>
  </si>
  <si>
    <t>Tel v MD wg JA 2023 und Email, erneute Email, Tel Abstimmung MD wg Journalübernahmne dirt</t>
  </si>
  <si>
    <t>von FA Änderung LSt-Meldezeitraum, Email MD</t>
  </si>
  <si>
    <t>Umbgsmitteilung UST 12/2024 auf SVZ 2025, Enail MD</t>
  </si>
  <si>
    <t>Göpfert</t>
  </si>
  <si>
    <t>Elsterversand EST+UST+GewSt+EÜR 2020</t>
  </si>
  <si>
    <t>ESTB 20220, Email MD. Einsopruch wg Verlustrücktragsbegrenzung nach 2019</t>
  </si>
  <si>
    <t>geänderterEStB 2019+ VerlustB 2020, Emnail MDF</t>
  </si>
  <si>
    <t>ESt-ZinsB 2019, kein Brief MD</t>
  </si>
  <si>
    <t>Elsterversand UST+Ebil+KSt+GewSt 2023</t>
  </si>
  <si>
    <t xml:space="preserve">G294 </t>
  </si>
  <si>
    <t>Unterdeckung JA 2022+2023</t>
  </si>
  <si>
    <t>G294</t>
  </si>
  <si>
    <t>UST-Mitteilung 2022, Enmail KB deswegen</t>
  </si>
  <si>
    <t>Hinterlegung JA 2022+ JA 2023</t>
  </si>
  <si>
    <t>G 294 UG</t>
  </si>
  <si>
    <t>KStBe 2022+2023, GestmeßBe, GewVerlustBe+KStVerlustBe+BMGBe 2022+2023, Brief MD, Einspruch gg 2023</t>
  </si>
  <si>
    <t>geänderte Bescheide 2023 zur KST+KSt-BMG+GewstmeßB+GewVerlustB aufgrund Abhilfe Einspruch, Brief MD</t>
  </si>
  <si>
    <t>Verband prog SD</t>
  </si>
  <si>
    <t>Elsterversand EÜR +KSt 2023+GewSt 2023</t>
  </si>
  <si>
    <t>VS Hair &amp; Beaty</t>
  </si>
  <si>
    <t>Termin MD hier wg Mandat, Akte angelegt, Stamdaten angelegt in Simba</t>
  </si>
  <si>
    <t>VS Hair &amp; Beauty</t>
  </si>
  <si>
    <t>Fragebogen steuerl erfa, Email MD wg Vollmacht etc</t>
  </si>
  <si>
    <t>Termin MD hier wg Fibu und wg Frageboge, Fragebogen versendet zuvor Rest ausgefüllt</t>
  </si>
  <si>
    <t>Unterdeckung Fibu IV/2023</t>
  </si>
  <si>
    <t>SZ-Anforderung Ust I/2024, Emnail mD</t>
  </si>
  <si>
    <t>Mahnung UST II/2024, Enail MD</t>
  </si>
  <si>
    <t>VS</t>
  </si>
  <si>
    <t>Unterdeckung (ZD) Fibu IV/2024</t>
  </si>
  <si>
    <t>Termin MD hier g Erechnung und wg EST 2023 Abschätzung ergebnis etc</t>
  </si>
  <si>
    <t>Durchsicht EÜR 2023, PM wg unkllarer Posten/1460 etc, SAV zT angelgt</t>
  </si>
  <si>
    <t>VS hair</t>
  </si>
  <si>
    <t>Frage von Fr Goncalves wg Einkommensnachweis f Mietwohnung, Emailantwort</t>
  </si>
  <si>
    <t>Email MD wg Anforderung SZ UST III/24 durch das FA</t>
  </si>
  <si>
    <t>Email Md wg Umstellung auf Monatsabgabe UST ab 04/2025</t>
  </si>
  <si>
    <t>Salzbach GbR</t>
  </si>
  <si>
    <t>Termin Herr Andersch, Hr Skibicki wg Beendigung Salzbach, KUG, CÜHs, Vorsteuerberichtigung etc</t>
  </si>
  <si>
    <t>Rosenau</t>
  </si>
  <si>
    <t>Elsterversand EsT+UST+GewST+EÜR 2022</t>
  </si>
  <si>
    <t>GewstmeßB+EStB 2022, Brief MD</t>
  </si>
  <si>
    <t>Riina Möller</t>
  </si>
  <si>
    <t>DRV Prüfberichte 2021-2024 gelesen, Brief MD, Rg</t>
  </si>
  <si>
    <t>Riina möller</t>
  </si>
  <si>
    <t>Tel v MD wg GewStBen 2020+2021</t>
  </si>
  <si>
    <t>Bo Irion</t>
  </si>
  <si>
    <t>Unterdeckung 2020+2021</t>
  </si>
  <si>
    <t>Durchsicht EST + EÜR 2022</t>
  </si>
  <si>
    <t>Unterdeckung ESt/EÜR 2022</t>
  </si>
  <si>
    <t>Elsterversand EST+Ust+EÜR+Gewst 2022</t>
  </si>
  <si>
    <t>Irion</t>
  </si>
  <si>
    <t>EStB+GewstmeßB+GewVerlustB 2022, Brief MD</t>
  </si>
  <si>
    <t>Email von Md weg Elsterprotokollen, Email Md gesendet f 2022</t>
  </si>
  <si>
    <t>Inventuzrbestand erfasst</t>
  </si>
  <si>
    <t>OP-Abgl mit Fr Keller</t>
  </si>
  <si>
    <t>Gewinnverteilungsrechnung, Gesamtcheck, Gewinnverteilungsbuchungen, EGF, e-Bilanz, Sonder- und ergänzubngsbilanzen</t>
  </si>
  <si>
    <t>BD</t>
  </si>
  <si>
    <t>Termin Notare Rittershaus wg Grundschudlöschung</t>
  </si>
  <si>
    <t>LStchätzB 01/24, Einspruch, Nullmeldung, Brief MD</t>
  </si>
  <si>
    <t>AufhebungsBe LST 01/24+ VZ Lst 01/24, Brief MD</t>
  </si>
  <si>
    <t>D. Denka</t>
  </si>
  <si>
    <t>Unterdeckung ESt 20+21</t>
  </si>
  <si>
    <t>Anfrage vom FA wg Est 2022 und NK, Tel BL wg NK-Abrechnungen</t>
  </si>
  <si>
    <t>Dariusz Denka</t>
  </si>
  <si>
    <t>UStB+GewstmeßB+EGFB 2022, GesstmeßB 2025 ff Brief MD</t>
  </si>
  <si>
    <t>Denka</t>
  </si>
  <si>
    <t>Tel BL wg NK-Abrgen 21+22, Tel FA wg Fist f Anfrage zu EST 2022</t>
  </si>
  <si>
    <t>Darius Denkka</t>
  </si>
  <si>
    <t>Anfrage FA wg NK-Abrg 2021+2022, Unterl von MD (Handysnapshot) sortiert, Aufstellung der Beträge und Zeiten etc</t>
  </si>
  <si>
    <t>neue Unterlagenzur anfrage des FA zu Est 2022 erhalten, Anschreiben Fa verfasst, Unterlagen zusgestellt, Tel MD wgh weiterrerDaten</t>
  </si>
  <si>
    <t>Aufstellung zu Ratenzahlungen  auf NK Naxchtzahluzngen v Fr Selenietzki erjhalten, Antweortschreiben an FA zu Fragen zu eSt 2022 abgeschlossen. Scan. Eöser an FA</t>
  </si>
  <si>
    <t>geänderter ESTB 2021+ERStB 2022+Est-VerlustB 2022, Brief MD</t>
  </si>
  <si>
    <t>Marek Dobrzycki</t>
  </si>
  <si>
    <t>geänderter GewstmeßB+eSTB 2018 wg Auflösung IAB, Einspruch Fa, ADV beantragt, Brief MD, Gewstmeßb 2023+2025 ff</t>
  </si>
  <si>
    <t>Martek Dobrzycki</t>
  </si>
  <si>
    <t>Tel fvom FA Hr Weber wg IAB 2018 in 2021, Elsterversand weitere Unterlagena n ihn</t>
  </si>
  <si>
    <t>Dobzycki, Marek</t>
  </si>
  <si>
    <t>3. geänderter EStB+GewstmeßB 2018, Brief MD (Korr Auflösung IAB 2018 nach Eospruch)</t>
  </si>
  <si>
    <t>M. Dobrzycki</t>
  </si>
  <si>
    <t>GewsTB 2018+2023+2025ff+ZinsB 2018, Brief MD, Fax StAdt OF wg Einsprtuch</t>
  </si>
  <si>
    <t>Gadek</t>
  </si>
  <si>
    <t>Prüfung St 2021 vion FA, Anlag gedruckt gesichtet, Email BL</t>
  </si>
  <si>
    <t>Prüfung EST 2012; Eläuterungsscereiben FA, Elsterversand geänderte UIST 2021+ EÜR 2021, umfangreiche Stellungnahme</t>
  </si>
  <si>
    <t>GewstmeßB 2021+2024 ff, Brief MD+EStB 2021</t>
  </si>
  <si>
    <t>GewSTB 2021 (heändert), ZinsB GewST 2021, GewstVorauszlgsB 2024 ff, Brief MD</t>
  </si>
  <si>
    <t>MD wg neuer Steuernummern</t>
  </si>
  <si>
    <t>Kotas</t>
  </si>
  <si>
    <t>ESTB 2019, Brief MD</t>
  </si>
  <si>
    <t>J. Kotas</t>
  </si>
  <si>
    <t>Elsterversand EST 2020</t>
  </si>
  <si>
    <t>EsTB 2020, Brief MD</t>
  </si>
  <si>
    <t>Kogut</t>
  </si>
  <si>
    <t>JA 2022 geändert, Elster etc, Email BL</t>
  </si>
  <si>
    <t>EstB+GewstmeßB 2022 Brief MD</t>
  </si>
  <si>
    <t>Vbescheinigung Bauleister 13b LE an BL</t>
  </si>
  <si>
    <t>J. Milkowski</t>
  </si>
  <si>
    <t>Elsterversand EST 2023</t>
  </si>
  <si>
    <t>Milkowski</t>
  </si>
  <si>
    <t>Tel v Fr Berl wg E-Rechnung</t>
  </si>
  <si>
    <t>2 geänderte GewStBe vom 6.1.25+vom 13.1.25 geprüdft, telversuch Fr Berl</t>
  </si>
  <si>
    <t>von FA Änderung LSt-Meldezeitraum, Email BL</t>
  </si>
  <si>
    <t>Anfrage des FA (Prüfung EST 2023) zu Iab 2018 und dessen Auflösung, Fax FA mit Antwort (Hinzurechnungsbetrag in 2021 war nicht berücksichtigt)</t>
  </si>
  <si>
    <t>ESTB + GewstmeßB 2023+ geänd ESTB+Gewstmeß0b 2018 wg Teilauflösung IAB, Brief MD</t>
  </si>
  <si>
    <t>GewSTB 2023 geprüft, Telversuch Fr Berl, Email BL</t>
  </si>
  <si>
    <t>Sadowski</t>
  </si>
  <si>
    <t>GewStmeßB 202, Brief MD</t>
  </si>
  <si>
    <t>ESTB 2021, Brief MD</t>
  </si>
  <si>
    <t>Gaj</t>
  </si>
  <si>
    <t>SchätzBe zu UST+EST+GewstmeßB 2018, GestmeßB 2021 ff, Brief MD</t>
  </si>
  <si>
    <t>Radoslaw Ryszewski</t>
  </si>
  <si>
    <t>Elsterversand Est+GewT+UST+Ebil 2019</t>
  </si>
  <si>
    <t>R. Ryszewski</t>
  </si>
  <si>
    <t>EStB 2019, Brief MD</t>
  </si>
  <si>
    <t>Tel v MD wg Daten aus Simba, datenDVC erstellt, nschR MD</t>
  </si>
  <si>
    <t>Henryk Szymek</t>
  </si>
  <si>
    <t>Elsterversand Est 2017</t>
  </si>
  <si>
    <t>Grzenkowicz</t>
  </si>
  <si>
    <t>Anfrage FA zu GuV 2018, Korr, Ebil geelstert (Korr), Email FA</t>
  </si>
  <si>
    <t>geänd EStB+GewstmeßB+UStB 2018, Brief MD</t>
  </si>
  <si>
    <t>GewstB 2018 geprüft , Tel BD wg GewStB 2017, Email BD</t>
  </si>
  <si>
    <t>Faxe an FA und Stadt vorbereitet wg BVB für erstattungen</t>
  </si>
  <si>
    <t xml:space="preserve">unterlagen von Stadt Hattersheim zur Aufrechnung GewSt </t>
  </si>
  <si>
    <t>EStSchätzB 2019, Brief MD</t>
  </si>
  <si>
    <t>MD wg Zwangsgeldbescheid Ust+GewST 2019</t>
  </si>
  <si>
    <t>Gruenkowicz</t>
  </si>
  <si>
    <t>GewstB 2019+TZinsB 19, Brief MD</t>
  </si>
  <si>
    <t>Marek Grzenkowicz</t>
  </si>
  <si>
    <t>Fax Stadt Hattersheim wg GewStersttg 2019</t>
  </si>
  <si>
    <t>ZinsB USt 2019 (nullbescheid), kein Brief MD</t>
  </si>
  <si>
    <t>EStZinsB 21016, Fax FA wg Esttg, kein Brief MD</t>
  </si>
  <si>
    <t>M. Marzcak</t>
  </si>
  <si>
    <t>Unterdeckung Est 2022</t>
  </si>
  <si>
    <t>Marian Marczak</t>
  </si>
  <si>
    <t>GewestmeßB 2022 Brief MD</t>
  </si>
  <si>
    <t>Marczak</t>
  </si>
  <si>
    <t xml:space="preserve">Abschätzung/Berechnung vorl Einommen 2023/2024 auf Basis vorl Buchf Daten, </t>
  </si>
  <si>
    <t>Einkünftebestätuigung für MB</t>
  </si>
  <si>
    <t>Brief MD wg neuer Steuernummer, Email BL</t>
  </si>
  <si>
    <t>Knapik</t>
  </si>
  <si>
    <t>EST+EÜR+Aufgabebilanz 2022 überarbeitet, Email BL etc</t>
  </si>
  <si>
    <t>Elsterversand Est+Aufgabebilanz+EÜR+Ust+GewST 2022</t>
  </si>
  <si>
    <t>Wojcik</t>
  </si>
  <si>
    <t>Elsterversand EST+Ust+Gewst+Ebil 2022+Tel v MD wg Zwangsgeldabbuchung etc</t>
  </si>
  <si>
    <t>Ziolkowski</t>
  </si>
  <si>
    <t>EStB 2020, Brief MD</t>
  </si>
  <si>
    <t>EGFB+9GewstmeßB 2020+GewstmeßB 2022, Brief MD</t>
  </si>
  <si>
    <t>Mahnung Ust 2020, Emnail an BD/BL</t>
  </si>
  <si>
    <t>Elsterversand Est 2021</t>
  </si>
  <si>
    <t>Tel BL wg Anfrage des FA zu Falscher IBAN, IBAN beruichtigt in EST 2022</t>
  </si>
  <si>
    <t>Kalinowski GbR</t>
  </si>
  <si>
    <t>Tel FA wg UST VA 12/18+01+02/2019, Verrstdgsantrag, Tel FA wg EStB MD, Neuberkanntgabe veranlaßtm, Tel MD, Brief MD</t>
  </si>
  <si>
    <t>S. Kalinowski</t>
  </si>
  <si>
    <t>EStB 2018, Brief MD</t>
  </si>
  <si>
    <t>Ryszewski</t>
  </si>
  <si>
    <t>, Email FA wg BVB</t>
  </si>
  <si>
    <t>Tesfay</t>
  </si>
  <si>
    <t>Rückfrage des FA wg 1. Hälfte Novemberhilfe 2020 und Anghaben auf Anlage Corona (Zufluß erst 2021)</t>
  </si>
  <si>
    <t>Batko</t>
  </si>
  <si>
    <t>Elsterversand Est +UST+GewST+Ebil 2022</t>
  </si>
  <si>
    <t>D. Wierzbicki</t>
  </si>
  <si>
    <t>verbleibende Unterdeckung EÜR 2021 nach EÜR 2022 = 659,43-104 = 555,43</t>
  </si>
  <si>
    <t>EStB+GestmeßB+uStMitteilung 2022, Brief MD, Email BL wg Fragen des FA zu Est 2022, Schreiben an FA vorbereitet</t>
  </si>
  <si>
    <t>Fax FA wg Antwort auf Anfrage im EStB 2022</t>
  </si>
  <si>
    <t>Tel v MD wg Renovierung Haus Höchst/Liederbach in allen vier Bereichen, Hnweis auf nachtr HK</t>
  </si>
  <si>
    <t>Tel BL wg Fragen FA zu LST 2024</t>
  </si>
  <si>
    <t>Wierzbicki</t>
  </si>
  <si>
    <t>USTB 12/2024, Email BL</t>
  </si>
  <si>
    <t>Sebastian Zajkowski</t>
  </si>
  <si>
    <t>EstB 2019, Brief mD</t>
  </si>
  <si>
    <t>Starosciak</t>
  </si>
  <si>
    <t>AufhebungsB GewSTmeßB 2019 Vorauslgn Hofheim, Brief MD</t>
  </si>
  <si>
    <t>UStSchätzBe 9+10+11/2019 Brief MD</t>
  </si>
  <si>
    <t>USTB 09/2019</t>
  </si>
  <si>
    <t>USDTB+UStVZ-B 01/2020, Email BD</t>
  </si>
  <si>
    <t>Ust SchätzBe 07+08/2020, Twel BD wg Mandatskündigung, Mandatskündigung</t>
  </si>
  <si>
    <t>Zwangsgeldbescheid 2018er Erklärunge</t>
  </si>
  <si>
    <t>Mahnung Zwangsgelder zu Sterklärungen 2018, Email BD</t>
  </si>
  <si>
    <t>Ust SchätzB 10/2020, Brief mD, Mahnung Est IV/2020 an BL gesendet</t>
  </si>
  <si>
    <t>Mahnung Ust 10/2020, Email BD</t>
  </si>
  <si>
    <t>Ust ShätzB 12/2020, Berief MD</t>
  </si>
  <si>
    <t>Ust Mitteilung zu UST VA 11+12/2020, Email BL</t>
  </si>
  <si>
    <t>Mahnung Ust 02/2021+USB 01/2021</t>
  </si>
  <si>
    <t>Fax FA wg Widerruf Vollmacht</t>
  </si>
  <si>
    <t>LSt-VZB III/2021, Brief MD</t>
  </si>
  <si>
    <t>Simba-Datenabgleich 2020</t>
  </si>
  <si>
    <t>Pcionek</t>
  </si>
  <si>
    <t>EStB 2017, Brief MD, AfA-Beechgnung Friedrichstrasse berichtigt</t>
  </si>
  <si>
    <t>EST-SchätzB 2020, Brief MD</t>
  </si>
  <si>
    <t>EStB 2018, Einspruch und AdV wg Nichtberückichtigung Verluste GbR</t>
  </si>
  <si>
    <t>ADV-B ESt 2018, Brief MD</t>
  </si>
  <si>
    <t>Jonda</t>
  </si>
  <si>
    <t>EST 2022 durchgesehen, Anl V geändert 15% Grenze</t>
  </si>
  <si>
    <t>geänderterESt-VorauszahlungsB ab 2025, Brief MD</t>
  </si>
  <si>
    <t>ESTSchätzB 2022, GewstmeßBe 2022+2023, Brief MD viornreitet, Einspruch vorbereitet</t>
  </si>
  <si>
    <t>ESTSchätzB 2022, GewstmeßBe 2022+2023, Belegnachreichung FA vorbereitet</t>
  </si>
  <si>
    <t>Anfrgae des FA zu Est 2022 (Kfz-Kosten) per Elstermitteilung beantwortet, Brief MD wg EStB 2022 GewsmeßB 2022+2025 postfertig gemacht</t>
  </si>
  <si>
    <t>Marcin Mazurek</t>
  </si>
  <si>
    <t>ESTB+GewstmeßB 2022+ GewstmeßB 2024 ff, Brief MD+Tel BL wg 2023</t>
  </si>
  <si>
    <t>Radek Bau GbR</t>
  </si>
  <si>
    <t>EÜR 2019 gecheckt, Fragenliste etc, Telversuche undTel BD, EST 2019 gecheckt Anlagen V etc</t>
  </si>
  <si>
    <t>Klüber</t>
  </si>
  <si>
    <t>EstB 2019*+ geänderterEStB 12018, VerlustB 2049. Brief MD</t>
  </si>
  <si>
    <t>Adamczyk</t>
  </si>
  <si>
    <t>Est 2022+ EÜR 2022 RestDurchsicht Neuvorlage</t>
  </si>
  <si>
    <t>Skrzypski</t>
  </si>
  <si>
    <t>GewStmeßB+EStB 2022 Brief MD, Tel BL wg Fremdleistungen,</t>
  </si>
  <si>
    <t>Anfrage im EStB 2022 ans FA beantwortet per Wiso-Elsterübertragung = Fremdleistungen von Kleinunternehmerna us 2022</t>
  </si>
  <si>
    <t>Zapadka</t>
  </si>
  <si>
    <t>Est+EÜR 2023 durchgesehen, IAB-Kontrollblatt erstellt</t>
  </si>
  <si>
    <t>Peters</t>
  </si>
  <si>
    <t>USTAbrg 2021</t>
  </si>
  <si>
    <t>A. Peters</t>
  </si>
  <si>
    <t>EStB 2021+GewStmeßB 2021+2024 ff. Brief MSD auch wg Mandatsbeendigung, Daten-CD erstellt, Abgl Journalstand BL, Widerf Vollmacht FA</t>
  </si>
  <si>
    <t>Pawlowski</t>
  </si>
  <si>
    <t>Unterdeckung EST 2019</t>
  </si>
  <si>
    <t>Pawlowski Dawid</t>
  </si>
  <si>
    <t>Termin MD hier wg eSt 2019 und fragen zu 2020/21 ff VuV, Gewerne etc</t>
  </si>
  <si>
    <t>EStB 2019+geänderter EStB 2018, Brief MD, 1. Mahnung</t>
  </si>
  <si>
    <t>Dawid Pawlowski</t>
  </si>
  <si>
    <t>ZinsB ESt 2019 (Nullbescheid), kein Brief MD</t>
  </si>
  <si>
    <t>Dawid Jan Pawlowski</t>
  </si>
  <si>
    <t>geänderte ESt-ZinsBe 2018+2019, kein Brief MD trotz hoher Ersttg</t>
  </si>
  <si>
    <t>Magdalena Kowalska</t>
  </si>
  <si>
    <t>Elsterversand EST+EGF  2021</t>
  </si>
  <si>
    <t>Kowaalska, Magdalena</t>
  </si>
  <si>
    <t>EGFB 2021, Brief MD</t>
  </si>
  <si>
    <t>M. Kowalska</t>
  </si>
  <si>
    <t>EStB 2021, Brief MD</t>
  </si>
  <si>
    <t>Radek Bau</t>
  </si>
  <si>
    <t>Termin MD wg JA 2018</t>
  </si>
  <si>
    <t>Radek Bau GmbH</t>
  </si>
  <si>
    <t>Fax Fa Ratenstundungsantrag UST 2018, Email MD wg Feststellungsbechluß, Ebwerte 2019 entwickelt, Email BL wg Datenübernahme dort, Elstertversand Ust+GewST+KSt+Ebil 2018</t>
  </si>
  <si>
    <t>UStB Ratenstndungsbescheide 2018, Emnail und Brief MD</t>
  </si>
  <si>
    <t>uSt Abrg 2019, Tel MD wg Ratenstundung und erster Rate, Nachbuchung UST VAS 2019 wg Abschäztzung Ust 20198</t>
  </si>
  <si>
    <t>Fa Antwort Anfrage JA 2018</t>
  </si>
  <si>
    <t>2. Stundungsangrag UST 2018, Fax FA</t>
  </si>
  <si>
    <t>FA Einspruch UST-SVZB 2021, Elsterversand Nullmeldung SVz 2021</t>
  </si>
  <si>
    <t>FA Erinnerung Lst 02/21. Email BL</t>
  </si>
  <si>
    <t>Tel FA wg Stundung Ust 18, Tel MD, Fax Fa wg Weiterstundungsantrag und wg Ret Rückfragen JA 2018+Brief MD</t>
  </si>
  <si>
    <t>weiterstundungsB 3 Rate UST 2018, Berief MD</t>
  </si>
  <si>
    <t>Radek GmbH</t>
  </si>
  <si>
    <t>von FA wg Zuordnung ELSTERR-Gewst auf GbR, Tel FA wg Klärung, Gest 20418 betrifft die GmbH</t>
  </si>
  <si>
    <t>KStB+GewstmeßB 2018+ Gew+KstverlustB 2018+ BMG B 2018, Brief MD, Einspruch wg VR nach 2017</t>
  </si>
  <si>
    <t>Er5inerung LSt I/21, Email BL</t>
  </si>
  <si>
    <t>geänderte Be zu Kst+BMG+KST-Verlust 2018+2017, Brief MD, Mandatskündigung</t>
  </si>
  <si>
    <t>lstSchätzBe 04+05/2021 an mD</t>
  </si>
  <si>
    <t>Brief MD wg Erinnerung fehlemde LStAnmeldungen 04-06/21</t>
  </si>
  <si>
    <t>LStSchätzB 08-2021, Email BL</t>
  </si>
  <si>
    <t>Kruczala</t>
  </si>
  <si>
    <t>Einspruch eStSchätzB 2022, Elsterversand Est 2022</t>
  </si>
  <si>
    <t>EGFB+GewstmeßB 2022+ Gewstmeßb 2025 ff, Brief MD</t>
  </si>
  <si>
    <t>Ziolkowski GbR</t>
  </si>
  <si>
    <t>Mahnung ust 2022, Email BL</t>
  </si>
  <si>
    <t>Vollstreckungsankündigung Ust 2022, Email BL</t>
  </si>
  <si>
    <t>Ziiolkowski</t>
  </si>
  <si>
    <t>Vollstrankündigung UST III/24 an BeMA</t>
  </si>
  <si>
    <t>Email MD wg Anforderung SZ zur LSt+Ust</t>
  </si>
  <si>
    <t>Aster</t>
  </si>
  <si>
    <t>Planungsrechnung</t>
  </si>
  <si>
    <t>Planungsrechnung berichtigt/ergänzt, Emnail MD, Tel MD</t>
  </si>
  <si>
    <t>Schlußbarg Beschei Paket II, Mitteilung an RPGI wg Betriebsaufgabe</t>
  </si>
  <si>
    <t>EÜR 2022, Darl berichtigt, Abgleiche, Übergangs- und Aufgabebilanz 30.09.2022 erstellt, eST durchgesehen etc, umfanghr Ust-Verprobung, auch mit Anl EÜR etc</t>
  </si>
  <si>
    <t>Rafael Podolak</t>
  </si>
  <si>
    <t>Durchsicht EÜR 2018</t>
  </si>
  <si>
    <t>Strojwas</t>
  </si>
  <si>
    <t>Tel DATEV wg Datenfreigabe Lohn, Email neuer StB</t>
  </si>
  <si>
    <t>MD UST-Abrg 2019, Brief MD</t>
  </si>
  <si>
    <t>UmbgsMitteilung UST III/22 auf Ust 2020 gescannt. Emmauil BL</t>
  </si>
  <si>
    <t>Spychala</t>
  </si>
  <si>
    <t>Antwortschreiben FA gefaxt</t>
  </si>
  <si>
    <t>USTB 11/22 (geändert) wg meinesEimnspruches, EmailBL</t>
  </si>
  <si>
    <t>Michalak GbR</t>
  </si>
  <si>
    <t>StBe aus BP, EGFB+GewstmeßB+UStB 2015+2016, Brief MD</t>
  </si>
  <si>
    <t>Michalak</t>
  </si>
  <si>
    <t>geänderte ESTBe 2015+2016 aus BP, Einspruch gg ESTB 2016, Brief MD</t>
  </si>
  <si>
    <t>MD Vollstreckungsankündigung Ust 2016 aus BP</t>
  </si>
  <si>
    <t>Wieslaw Dobrzynski</t>
  </si>
  <si>
    <t>geänderte USTB 2016 und ESTB 2016 aufgruid meinerEinsürüche, Brief MD</t>
  </si>
  <si>
    <t>Pawel Serek</t>
  </si>
  <si>
    <t>Durchsicht ESt+EÜR 2020</t>
  </si>
  <si>
    <t>Serek</t>
  </si>
  <si>
    <t>CÜH II begonnen</t>
  </si>
  <si>
    <t>CÜH II zgT erfasst, Daten 10/2020 in Umsätzen ergänzt, Datev-Tool repariert, ergänzt, Email MD</t>
  </si>
  <si>
    <t>Tel MD wg CÜH II-antrag, abgeratwen, weil Kosten zu hoch für Antrag und Fixkosetn zu gering</t>
  </si>
  <si>
    <t>GewstMeß 2019+ MeßB f Vorauszlgn 2021, Brief MD</t>
  </si>
  <si>
    <t>Elsterversand EST 2019</t>
  </si>
  <si>
    <t>GewstmeßB 2021 ff, Brief MD</t>
  </si>
  <si>
    <t>Genehmigung IST-Versteuerung</t>
  </si>
  <si>
    <t>Podolak</t>
  </si>
  <si>
    <t>ELSTER-Versand ESt 2019</t>
  </si>
  <si>
    <t>Chorostkowski</t>
  </si>
  <si>
    <t>Elsterversand EÜR+UST+GewST+EST 2022+Est 2022 Mutter+UST+GewST+EÜR+EGF 2022 Erbengemeinschaft</t>
  </si>
  <si>
    <t>Vetter Bau</t>
  </si>
  <si>
    <t>Elsterversand EST+GewSt+UST+Ebil 2021</t>
  </si>
  <si>
    <t>Prüfung des FA zu EST 2021, Fax Fa</t>
  </si>
  <si>
    <t>M. Pruszynski</t>
  </si>
  <si>
    <t>Elster-ESt 2021 versendet</t>
  </si>
  <si>
    <t>Tel FA wg Mahnung ESt 2020</t>
  </si>
  <si>
    <t>EStB+GewstmeßB +Ust Abrg 2021, GestzerlB 2012+gewsdtmeßB 2024 ff</t>
  </si>
  <si>
    <t>Stariosciak</t>
  </si>
  <si>
    <t>Zwangsgeldandrohung esT+Ust/GewSt/EÜR 2022 Brief MD, Fax FA widerruf Vollmacht</t>
  </si>
  <si>
    <t>Erben Chorostkowski</t>
  </si>
  <si>
    <t>Unterdeckung Rückfragen FA zu 2021 und EGF 2022</t>
  </si>
  <si>
    <t>Durchsicht EÜR 2022+UStVerprobung, Anl V komplett neu aufgesetzt EGF erstellt Aufgabebilanz begonnen</t>
  </si>
  <si>
    <t>Fax FA wg Anl V</t>
  </si>
  <si>
    <t>Fa Antwort auf Anfrage zur EGF 2022, Tel MD + BL wg Verkauf Hilux, Aufgabebilanz überarbeitet</t>
  </si>
  <si>
    <t>EGFB+GewStmeßB+GewVerlustB 2022+GewStmeßB 2025 ff, Brief MD</t>
  </si>
  <si>
    <t>GrStB 2025 ff Hügelstr Dietzenbach, Lit Netrtecherche wg Grsthebesatzfestsetzung Dietztenbach, Bescheidprüfung, RR MD</t>
  </si>
  <si>
    <t>Metternich</t>
  </si>
  <si>
    <t>Betreutensache Erbfakll Sachverhalt besprohen, beizubringende Belege etc</t>
  </si>
  <si>
    <t>MD hier wg eigener Sache, Neendigung Titustherme, Büromietgemeinschaft</t>
  </si>
  <si>
    <t>PM wg Durchsucht Fibu I/24, Tel Fr Metternich</t>
  </si>
  <si>
    <t>Einspruch Zwangsgeldandrohung EÜR 2022</t>
  </si>
  <si>
    <t>Elstrneuiversand drei EÜRS 2022 Tel FA deswegen, StNr geändert</t>
  </si>
  <si>
    <t>Belegeg escannt 2023, Email BD</t>
  </si>
  <si>
    <t>Guterl</t>
  </si>
  <si>
    <t>Tel Md wg nterl und Est 20, begonnen</t>
  </si>
  <si>
    <t>EsTB 2017, Einspruch FA, Telversuch MD, tel v md</t>
  </si>
  <si>
    <t>2 Est beschr EsTpflicht 2019, Einsprtuch 2017 zurückghezogen, Antwortschreiben an FA wg Est 2018, Email MDF, Tel MD</t>
  </si>
  <si>
    <t>Elsterversand Est er + sie 2019</t>
  </si>
  <si>
    <t>EStB 2018, telversuche md, lit</t>
  </si>
  <si>
    <t>2 ESTVorauszlgsB er und sie, Email MD</t>
  </si>
  <si>
    <t>ESTBe 2020 er+Sie, Email mD, Scan, DBX Ablage</t>
  </si>
  <si>
    <t>ESt 2021, Daten erhalten, Emnail MD wg weioterer Unterlagen</t>
  </si>
  <si>
    <t>EWST er + sie 2021, Email md wg Daten</t>
  </si>
  <si>
    <t>EST erkl 2021, Anl V er und Sie, Tel mD. Elszerversand 2x</t>
  </si>
  <si>
    <t>ESTB 2021 er, Scan, Abnlahe in DBX, Anl V 2022 begonnen, Tel MD wg EStB 21 und fehlender Belege 22</t>
  </si>
  <si>
    <t>Est 2022, Emnail MD, Mahnung an MD f eSt 2021, Tel MD</t>
  </si>
  <si>
    <t>2 Berechnungen ESt 2021 in DBX gestellt</t>
  </si>
  <si>
    <t>ESTB 2022 Suzy</t>
  </si>
  <si>
    <t>Kolasinac</t>
  </si>
  <si>
    <t>Termin MD hier wg KapSt etc, MD heimgefahren</t>
  </si>
  <si>
    <t>Perez</t>
  </si>
  <si>
    <t>Teresa</t>
  </si>
  <si>
    <t>Termin MD hier wg ESt 2021</t>
  </si>
  <si>
    <t>Teresa Perez</t>
  </si>
  <si>
    <t>Elstervertsand GewSterkl PV 2021</t>
  </si>
  <si>
    <t>GewstmeßB+-verlustB 2021</t>
  </si>
  <si>
    <t>Tel auf Band wg Datn ESt 2022+2023</t>
  </si>
  <si>
    <t>Tel v FA wg Fragen zurt AfA 2022, Telversuche undTEl Teresa, Fax FA und Aufhebung Vollmacht</t>
  </si>
  <si>
    <t>Thorne</t>
  </si>
  <si>
    <t>Esterkl ;ark &amp; Andrea Thorne erstellt, Überschußrg berichtuigt (Rechenfehler), Telversuich MD wg Fragen</t>
  </si>
  <si>
    <t>Tel v MD wg EStB 2022</t>
  </si>
  <si>
    <t>EsTB 2022 ER+SIE geprüft, Brief ER und Brief SIE</t>
  </si>
  <si>
    <t>hgeänderter EStB ER 2022 Auhbung VDN, Broef MD</t>
  </si>
  <si>
    <t>Tel v MD wg Beteuiligung an PersG und Gterstellung etc, Fragen wg Ende des Realsplittings duch Ex-EF</t>
  </si>
  <si>
    <t>KSG</t>
  </si>
  <si>
    <t>Ordner beschriftet etc, Tel MD wg ergebnis und wg Rgsetllung</t>
  </si>
  <si>
    <t>Anfrage zu Est 2017 wg Trennung Miete und NK Hainer Weg, Fax FA</t>
  </si>
  <si>
    <t>Elsterversand geänderter JA 2017 nach BP, Ablage</t>
  </si>
  <si>
    <t>USTBe + GewstmeßBe+EStBe 14-16+GewStzerlB 16 aus BP. Bref MD, Einspruch wg Zinsen Ust und EST 14-16</t>
  </si>
  <si>
    <t>Tel FA Nidda wg Einspruch Zinsbescheide 14-16</t>
  </si>
  <si>
    <t>GewStB FFM 14-16 aus BP</t>
  </si>
  <si>
    <t>Ratenstundungsantrag Stadt FFM+FA Nidda</t>
  </si>
  <si>
    <t>Ratenzahlungsanträge Dr K und KSG bei FA Nidda, Email md deswegen, Tel Hr StB Schklauch wg Daten 2017, Emailversdand versucht, CD gebrannt, Berief RA Kasparek</t>
  </si>
  <si>
    <t>Ratenstundungsantrag und ZinsB Stadt FFM, Scan, Email MD, Übersicht überRaten geänderrt</t>
  </si>
  <si>
    <t>ESTB 2017+ GewstmeßB 2047+ f Vorauszlgn 2021 ff, Brief MD, tel fa wg Einfluss auf Stundung, Tel MD, Brutto-Netto-Berchnung, 15-17</t>
  </si>
  <si>
    <t>GewstB 2017 Limeshain</t>
  </si>
  <si>
    <t>Tel Md wg Ratenstundung, Stadt Limeshain stdgsantrag und Widerspruch GewstZinsen 2017. Email MD</t>
  </si>
  <si>
    <t>Email Md mit gerstellten Anträgen, Vollmnacht, Tel von Stadt Limeshain wg Vollmacht</t>
  </si>
  <si>
    <t>Tel Stadt Limeshain wg Mahnung GeWst 2016 und Aufnahme in Ratenantrag 2017, Emnail MD</t>
  </si>
  <si>
    <t xml:space="preserve">Tel v Stadt Limeshain wg Ratenstdg, Tel MD </t>
  </si>
  <si>
    <t>RastenstundungsB Limesghaibn GeSt 16+17, Tel mD</t>
  </si>
  <si>
    <t>GewSTVorauszlgsB 2021</t>
  </si>
  <si>
    <t>Volkmann</t>
  </si>
  <si>
    <t>Eeinspruch Zwangsgeldfestsetzung EÜR 2021,TelMD idS</t>
  </si>
  <si>
    <t>Fax FA wg Eispruch Zwangsgeld EST 2021/EÜR 2021</t>
  </si>
  <si>
    <t>Prüfung ESt 2021, Anfrage des FA beantwortet, Faktorverfahren berechnet</t>
  </si>
  <si>
    <t>Einsoruch ESTB 2021m Bescheif geprüft, Brief MD</t>
  </si>
  <si>
    <t>div Emails von Md abgelegt mit TelRgen, Tel MD wg Fragen zu Fahrtkosten und zu Telko-Ansatz, vor Anruf in Sachverhalt eingearbeitet</t>
  </si>
  <si>
    <t>Termin mD hier wg Belegen EST 2023, Belege 2021+2022 zurückgegeben, Beleg 2022 über weiteren Interviewuimsatz erhalten, Anl SIO ergänzt, Check weitere Belerge (Santander StBescheinigung 2020), Elsterversand EGF+EST+UT 2022</t>
  </si>
  <si>
    <t>Prüfung Est 2022 beantwortet, Fax FA</t>
  </si>
  <si>
    <t>geänderter EStB 2021+ EStB 2022, Brief MD</t>
  </si>
  <si>
    <t>Belege Est 2023 vorsortiert</t>
  </si>
  <si>
    <t>Est 2023, Spenden, Anl Kinder, Vorsorge, Anl N mit Bewirtungen etc, Anl V zT, Fragenliste, Email MD</t>
  </si>
  <si>
    <t>EGF 2023 Teresa Versicherugsvermittlungen</t>
  </si>
  <si>
    <t>EGF 2023 Teresa Versicherungen, Ablage 61039 EGF/EÜR Reisebüro</t>
  </si>
  <si>
    <t>EÜR Unternehmensberater, Est 2023 um Daten ergänzt, Ablage</t>
  </si>
  <si>
    <t>nachger eSt Belege 23 abgelegt</t>
  </si>
  <si>
    <t>Daten-Emails abngelegt von MD</t>
  </si>
  <si>
    <t>Stich</t>
  </si>
  <si>
    <t>Elsterversand ESt 2020</t>
  </si>
  <si>
    <t>Elsterversand eSt 2021</t>
  </si>
  <si>
    <t>Durchsicht Est 2023, Erläuterung Nachzahlung etc</t>
  </si>
  <si>
    <t>Ute Braun</t>
  </si>
  <si>
    <t>EST 2023, Brief MD, Scans etc</t>
  </si>
  <si>
    <t>Braun</t>
  </si>
  <si>
    <t>EStB+eSt-VerlustB 2023, Brief MD</t>
  </si>
  <si>
    <t>P. Arkenbosch</t>
  </si>
  <si>
    <t>Unterdeckung EÜR+EST 2023</t>
  </si>
  <si>
    <t>Cavlovic</t>
  </si>
  <si>
    <t>EStB 2023</t>
  </si>
  <si>
    <t>Bonara</t>
  </si>
  <si>
    <t>NGS</t>
  </si>
  <si>
    <t>UST VA III/24 (Korr) + IV/24, Email und Tel Rasda</t>
  </si>
  <si>
    <t>Erinnerung des FA an Ust VA II/24, Email Rada</t>
  </si>
  <si>
    <t>Elsterversand Ebilanz, EGF+GewST+Ust+Est 2023</t>
  </si>
  <si>
    <t>EGFB+GewstmeßB+GewZerlB 2023+ GessdtmeßB 2025 ff, Bnrief MD</t>
  </si>
  <si>
    <t>ESTB 2023, Brief MD</t>
  </si>
  <si>
    <t>von FA - Anfordferung von SZ z LST + Ust an MD weitergeleitet</t>
  </si>
  <si>
    <t>Fax FA f Bausabzugsteuerfreistellungsbescheinigung und UST 1TG und Bescheinigung in Steuzersachen</t>
  </si>
  <si>
    <t>Bescheinigung in Steuersachen, Email Rada, Postversand</t>
  </si>
  <si>
    <t>neuer Ordner angelegt</t>
  </si>
  <si>
    <t>Claudia Lotz</t>
  </si>
  <si>
    <t>Unterdeckung EST 2021 Cl Lotz und Janine Lotz</t>
  </si>
  <si>
    <t>Lotz</t>
  </si>
  <si>
    <t>Elsterversand ESt 2022 Claudia &amp; Janine Lotz</t>
  </si>
  <si>
    <t>C. Lotz</t>
  </si>
  <si>
    <t>ESTB 2022, Brief MD, Elster-Nachricht FA wg Kopie Schwerbehindertenausweus</t>
  </si>
  <si>
    <t>Email vomn mD wg EGF-B Teresa 2021 und Anfrage des FA zu GewAbmeldung, Email mD</t>
  </si>
  <si>
    <t>FS</t>
  </si>
  <si>
    <t>BP 17-19, KL wg Einlagenherkunft, Suche wg weiterer Rg zu Angang   Caddy</t>
  </si>
  <si>
    <t>Toolin</t>
  </si>
  <si>
    <t>Tel MD wg offener RG</t>
  </si>
  <si>
    <t>ESTBe 2019-2022, Brief MD</t>
  </si>
  <si>
    <t>von Auw</t>
  </si>
  <si>
    <t>Elsterversand EsT+uSt+Asnl EÜR 2022</t>
  </si>
  <si>
    <t>ESTB +ESTverlustB 2022, Brief MD</t>
  </si>
  <si>
    <t>Fleischer</t>
  </si>
  <si>
    <t>EstB 2023 Brief MD, Einspruch</t>
  </si>
  <si>
    <t>Nanz</t>
  </si>
  <si>
    <t>letzern Spendenbeleg gescannt, abgelgt, Anschr MD etc f ESt 2022</t>
  </si>
  <si>
    <t>Dr Bareis</t>
  </si>
  <si>
    <t>Email Bruder wg benötigter Unterlagen, Stand der Dinge etc</t>
  </si>
  <si>
    <t>Bareis</t>
  </si>
  <si>
    <t>Dr. Bareis</t>
  </si>
  <si>
    <t>Anfrage FA zu Est 2022 beantwortet, Fax FA</t>
  </si>
  <si>
    <t>Ait-Mansour</t>
  </si>
  <si>
    <t>Elsterversand Ust+EGF+EÜR+Esrt 2023</t>
  </si>
  <si>
    <t>Tel v MD wg Fragebogen Sohn zu Unterhalt</t>
  </si>
  <si>
    <t>Pooch</t>
  </si>
  <si>
    <t>Elsterversand EsT 2022</t>
  </si>
  <si>
    <t>Katrin Hoffmann</t>
  </si>
  <si>
    <t>verbleibende Unterdeckung Fibu II/2022 nach ESt/Eür 21 = 428,30-118,75</t>
  </si>
  <si>
    <t>Hoffmann</t>
  </si>
  <si>
    <t>Unterdeckung Fibu 2022</t>
  </si>
  <si>
    <t>Unterdeckung Fibu I+II/2023</t>
  </si>
  <si>
    <t>Unterdeckung ESt+EÜR 2022</t>
  </si>
  <si>
    <t>Elsterversand ESt+EÜR 2022</t>
  </si>
  <si>
    <t>Hoffmann-Heise</t>
  </si>
  <si>
    <t>Elsterversand Schwerbehindertenausweis ER an FA (aufgrund Anfrage von FA im EStB 2022), EStB 2022, Berief MD</t>
  </si>
  <si>
    <t>Unterdeckung Fibu 2023+ I. Hj 2024</t>
  </si>
  <si>
    <t>Unterdeckung Fibu III/24 - ZD</t>
  </si>
  <si>
    <t>DRV Prüfung. Prüfberichte erghalten, gegengeprüft, Brief MD</t>
  </si>
  <si>
    <t>Reggentin</t>
  </si>
  <si>
    <t>Unterdeckung EST 2020/Rest 60120</t>
  </si>
  <si>
    <t>Fax FA wg Änderung EsTB 2020. Lit dazu</t>
  </si>
  <si>
    <t>Tel v MD wg Erstattung ESt 2020, eStB 20220 geprüft und SZ-ErlaßB , langhes Tel MD, Antrag auf Aufhebubng dedrESt-Vorausuzlgan ab 2023</t>
  </si>
  <si>
    <t>Unterdeckung ESt 2021+2022</t>
  </si>
  <si>
    <t xml:space="preserve">Elserversand eSt 2021+2022, Ablage </t>
  </si>
  <si>
    <t>MD Schreiben des FA über Aufhebung Abgabeverpflichtung ESTerkl</t>
  </si>
  <si>
    <t>G. Braun</t>
  </si>
  <si>
    <t>Elsterversand Est+EÜR+Ust 2022</t>
  </si>
  <si>
    <t>Email md wg US.-Abrg 2022</t>
  </si>
  <si>
    <t>Duch</t>
  </si>
  <si>
    <t>Tel v MD wg UST-ID-Nr der EF, BzfSt auf 2 StNrn Bestätigungsverfajren angestoßen, Tel FA WI wg Fehlermeldungen beim BzfSt, Tel MD wg USTID</t>
  </si>
  <si>
    <t>Herzog</t>
  </si>
  <si>
    <t>Elsterversand Est 2023</t>
  </si>
  <si>
    <t>ESTB 2023, Brief MD (erstellt durch ZD)</t>
  </si>
  <si>
    <t>Bernstein</t>
  </si>
  <si>
    <t>Tel v MD wg Beschäftigung ihres Bruders als Minijobber oder auf rg-Basis</t>
  </si>
  <si>
    <t>Bodemann</t>
  </si>
  <si>
    <t>Thomas Bodemann</t>
  </si>
  <si>
    <t>MD hier wg EST 2023</t>
  </si>
  <si>
    <t xml:space="preserve">EST Erkl 2023 </t>
  </si>
  <si>
    <t>Timo Scandura</t>
  </si>
  <si>
    <t>Tel v MD wg ESt 2022, Frist, Angaben EÜR, Zwangsgeld, Ansatz Afa 35c EStG</t>
  </si>
  <si>
    <t xml:space="preserve">EST+EÜR 2022 Durchsicht der Elster-Erklärung 2022, Eür im Detail, Hinweis wg fehlerhafter eingabe bei Klein-UU-Umsätzen, Telkoeigenabnteil, Erläuterung BV ArbZ, erläuterung Voraussetzungen fürAbsatz Kfz als EÜR-rechnrt, Erläuterug Fahrtkostenpauschale W-A, Fragen zum Kindergeld EZB und Ansatz in eSt, Berechnung Kindergeld-Kinder-FB, Fragen zu eigenen Einkünften und Bezügen des Kindes ab 2023 </t>
  </si>
  <si>
    <t>Nurcin GbR</t>
  </si>
  <si>
    <t>ELSTER-EGF 2023</t>
  </si>
  <si>
    <t>Nurcin WEG</t>
  </si>
  <si>
    <t>EGF-B 2023, Brief MD</t>
  </si>
  <si>
    <t>B. Liebrecht</t>
  </si>
  <si>
    <t>Elsterversand EST+EÜR 2023</t>
  </si>
  <si>
    <t>ESTB 2023+ Brief MD</t>
  </si>
  <si>
    <t>Elsterversand ESt+USt+EÜR 2022</t>
  </si>
  <si>
    <t>EsTB 2022, Anfrage FA wg neg WEK in EÜR 2022 beantwortet, Fax FA Hofheim</t>
  </si>
  <si>
    <t>Fr Hoffmann hier wg Belegen EST 2023</t>
  </si>
  <si>
    <t>geänderter ESTB 2022, Aufhebung VDN, Brief MD</t>
  </si>
  <si>
    <t>Runzheimer</t>
  </si>
  <si>
    <t>Tel v MD Gründung GbR f Personalvermittlung er und sie und UASt/GewSt, Geweerbeanmeldung, Beibehaltung Coaching der Ef als selbst Tätigkeit</t>
  </si>
  <si>
    <t>Bodo</t>
  </si>
  <si>
    <t>EÜR 2023; Datenimportm, Belegverknüpfung, RK geprüft zT berictigt, Aktennotiz, Ust Vas verbucht, 1% Regel, SAV+AfA, USTAbgl</t>
  </si>
  <si>
    <t>EST 2023, Daten von Bodo erfasst</t>
  </si>
  <si>
    <t>Prüfung EST 2023 Bearbeitungsstand</t>
  </si>
  <si>
    <t>Tel v MD wg Stand der Dinge, ESt 2022 gesichtet, 2023 auch, Tel MD wg Stand, Email md wg ESt 2022, Datenabruf eingerichtet</t>
  </si>
  <si>
    <t>Elsterversand ESt 2022+USDT+EÜR 2022</t>
  </si>
  <si>
    <t xml:space="preserve">ESt 2023, neue Daten von MD eingearbeitet, Verpflegungsmehraufwand aermittelt und angesettzt, </t>
  </si>
  <si>
    <t>EsT 2023, EÜR Rest, Druck etc</t>
  </si>
  <si>
    <t>Elsterversand ESt+EÜR+Ust 2023</t>
  </si>
  <si>
    <t>Recherche wg Elstermelduznfg über Berechtigungseintrag an mD</t>
  </si>
  <si>
    <t>Anfrage FA zu EST 2022 beantwortet, Fax FA</t>
  </si>
  <si>
    <t>EStB 2022+2023, Aufhebungsantrag EST-Vorauszahlungen ab 2024 ff, Emnail +Whatssapp MD+Tel MD wg weiterer Erläuterungen</t>
  </si>
  <si>
    <t>Tel FA wg Ust-Abgabezeitraum 2025 ff</t>
  </si>
  <si>
    <t>USTB 12/2024, Email md wg Schreiben vom FA zu Klein UURegel ab 2025</t>
  </si>
  <si>
    <t>Tel MD wg KleinUUregel ab 2025, Lit wg rückwirkender Opttion zur UST, Hinweis auf stfreien Verkauf SAV in 2025 oder Entnahme</t>
  </si>
  <si>
    <t>Bautzener Str</t>
  </si>
  <si>
    <t>Elsterversand EGF+USt  2022+2023</t>
  </si>
  <si>
    <t xml:space="preserve">Bautzener Str </t>
  </si>
  <si>
    <t>EGFB 2022+2023, Berief MD</t>
  </si>
  <si>
    <t>M. Kumichel</t>
  </si>
  <si>
    <t>ESTB + VerlustB 2022, Brief MD</t>
  </si>
  <si>
    <t>geänderterEStB 2022, Brief MD</t>
  </si>
  <si>
    <t>M. Kulichel</t>
  </si>
  <si>
    <t>Email MD wg Mahnung EsT III/24</t>
  </si>
  <si>
    <t>Email Md wg Mahnung eSt 2022</t>
  </si>
  <si>
    <t>MK</t>
  </si>
  <si>
    <t>Zahlungserinnerungen offene StB RG</t>
  </si>
  <si>
    <t>Erbengem Kumichel</t>
  </si>
  <si>
    <t>Elsterversand EGF 2022</t>
  </si>
  <si>
    <t>Erben Kumichel</t>
  </si>
  <si>
    <t>anfrage des FA zu Egf 2022, StBescheibuivgubng 2022 an FA per Brief</t>
  </si>
  <si>
    <t>EGFB 2022, Brief MD</t>
  </si>
  <si>
    <t>Leitz</t>
  </si>
  <si>
    <t>Tel v MD wg Est 2022, Email Md wg verbleibender Fragen dazu</t>
  </si>
  <si>
    <t>Schwarzbauer</t>
  </si>
  <si>
    <t>EST 2023; Verbuchung Bank f Anl V 1-12/23, Anl V erstellt, Fragenliste, Anl N/Kind, Vorsorge, hhnahe erfasst, Emnail Md wg weiterer Unterlagen</t>
  </si>
  <si>
    <t>T. Schwarzbauer</t>
  </si>
  <si>
    <t>Emailversand ESt 2022, Tel v MD wg Steuer etc</t>
  </si>
  <si>
    <t xml:space="preserve">geänd ESTB 2021 </t>
  </si>
  <si>
    <t>Vollstreckungsankündigung UST VZ II/24</t>
  </si>
  <si>
    <t>Termin MD hier wg Fibu IV/2024, ASD-BGN-Meldung 2024 vervollständigt, Sca etc</t>
  </si>
  <si>
    <t>Mahnung UST Iii/2024, Email MD</t>
  </si>
  <si>
    <t>Narci</t>
  </si>
  <si>
    <t>EsTB 2023, Fax Fa wg Einspruch Est-Vorauszahlungen ab 2025, Email MD</t>
  </si>
  <si>
    <t>geänd eStVorauszlgsB 2025 ff Email MD</t>
  </si>
  <si>
    <t>Carsten Hensel</t>
  </si>
  <si>
    <t>Tel FA wg Fragen zu Est 2023; Elsterversand Zinsbescheinigung+Tel vonM D wg tand der Veranlagung und Tel MD wg OP</t>
  </si>
  <si>
    <t>Erdogan</t>
  </si>
  <si>
    <t>Änderung eSt 2022, Enail ada</t>
  </si>
  <si>
    <t>Elsterversand uSt+est+GewST+EÜR+E-Aufgabebilanz 2022</t>
  </si>
  <si>
    <t>Tel v FA HU wg Unterlagen zur Aufgabe/Veräußerung, Fax FA</t>
  </si>
  <si>
    <t>EStB+GewsTmeßB 2022, Tel FA wg fehlender Eintragung "E" in der mor vorliegendemn LStBewsch, dfort liegt geänderte LStBesch aus 03/2023 vor. Brief MD</t>
  </si>
  <si>
    <t>Hensel</t>
  </si>
  <si>
    <t>Tel FA Korbach wg Veranlagungsstand 2023, Enail an MD auf Anfrage von ihm</t>
  </si>
  <si>
    <t>Schramm</t>
  </si>
  <si>
    <t>Tel v hrn kellermann wg bvb f erstaasttungem, dfax fa</t>
  </si>
  <si>
    <t>H. Schramm</t>
  </si>
  <si>
    <t>ZinsB EST 2019, EStB 2019, Änderungsantrag wg Pfklegeaufwand, ESt Berechnug, 2x Tel FA id Sache, Dfax Faa mit KL</t>
  </si>
  <si>
    <t>geänderter EStB 2019, Bief MD</t>
  </si>
  <si>
    <t>Limberg</t>
  </si>
  <si>
    <t>Tel MD wg Amazon Umsatzliste 2023, zuvor von MD gesendet Einnahmendatei versucht zu importieren</t>
  </si>
  <si>
    <t>EStB 2022, PM</t>
  </si>
  <si>
    <t>Datenimport Amazon-Daten, umfangreiche Zusstellung der Monatsdaten zu einer Buchungsliste</t>
  </si>
  <si>
    <t>geänderter EStB 2021 Bref MD</t>
  </si>
  <si>
    <t>DRV-Prüfung, Prüfbericht durchgesehen, Schreiben MD</t>
  </si>
  <si>
    <t>Storcelova</t>
  </si>
  <si>
    <t>ESt 2021, Brief MD etc+</t>
  </si>
  <si>
    <t>Perikic</t>
  </si>
  <si>
    <t>Samuel P hier wg EST 2023 frühe Jahre der Großeltern, wg eigener ESt ab 2023</t>
  </si>
  <si>
    <t>Elsterversand EST 2022</t>
  </si>
  <si>
    <t>ESTB 022, Brief MD</t>
  </si>
  <si>
    <t>Ramadani</t>
  </si>
  <si>
    <t>Halit Ramadani</t>
  </si>
  <si>
    <t>Anfrage wg Veräußerungsverlust 2020, Fax FA</t>
  </si>
  <si>
    <t>EStB+GewStmeßB 2020+ GewstmeßB 21, Brief MD, Email Fa wg Wideruf Vvollmacht</t>
  </si>
  <si>
    <t>M. Storcelova</t>
  </si>
  <si>
    <t>Elsterversand ESt + EÜR 2022</t>
  </si>
  <si>
    <t>Prof Fritz</t>
  </si>
  <si>
    <t>Gesammelte Unterdeckungen EÜR 2021+Fibu 2022+Fibu 2023+EÜR+ESt 2022</t>
  </si>
  <si>
    <t>Fritz</t>
  </si>
  <si>
    <t>Rg Fibu iV/2023</t>
  </si>
  <si>
    <t>Elsterversand EÜR+Ust 2022 (60227+60228)+2xESt 2022 (EV)</t>
  </si>
  <si>
    <t>EsTB 2022 SIE, Eispruch, umfangreiche Prüfung</t>
  </si>
  <si>
    <t>Fr Fritz</t>
  </si>
  <si>
    <t>Tel v FA wg Einspruch zu EStB 2022</t>
  </si>
  <si>
    <t>wg Anfrage FA zu ESt 2022</t>
  </si>
  <si>
    <t>Termin MD wg PV Anlage bzw wg Rückfragen des FA zu ESt 2022</t>
  </si>
  <si>
    <t>E. Fritz</t>
  </si>
  <si>
    <t xml:space="preserve">Unterdeckung ESt 2021+GrestmeßB </t>
  </si>
  <si>
    <t>Tel FA WI , fr buoywg schlußverteilung b+u, telversuch AG ffm</t>
  </si>
  <si>
    <t>Tel v Md wg Schlußverteilung+Tel FA WI Fr Buoy wg Schlußbericht</t>
  </si>
  <si>
    <t xml:space="preserve">ESTB+ESTvedrerlustB 2021, Einsprtuch, Brief MD, Lit </t>
  </si>
  <si>
    <t>AdV-B EStNachzahlung 2021, Brief MD</t>
  </si>
  <si>
    <t>Tel Fr Ufer wg Kapellenstr etc</t>
  </si>
  <si>
    <t>Schreiben FA wg weitere Unterlagen Einsprtuch eST 2021, (zuvor Zuarbeit von PM), pert Elster online, Excelaufstellung Renovierungskostebn 2020-2022</t>
  </si>
  <si>
    <t>Email MD wg Änderung des UST VA Zeitraums ab 2025 auf Jahr</t>
  </si>
  <si>
    <t>Dilsiz</t>
  </si>
  <si>
    <t>Email Rada wg Steuerbn 2023</t>
  </si>
  <si>
    <t>Elsterversand EÜR+GewST+Ust+Est 2023</t>
  </si>
  <si>
    <t>EStB 2023, Brief MD</t>
  </si>
  <si>
    <t>Mahnung EsT IV/2024 an Rada</t>
  </si>
  <si>
    <t>Vollstreckungsankündigung EST IV/2024 an MD</t>
  </si>
  <si>
    <t>P. Ufer</t>
  </si>
  <si>
    <t>EStB 2022 Brief MD, Erinnerng offene Reg Est 22</t>
  </si>
  <si>
    <t>Phillipp Ufer</t>
  </si>
  <si>
    <t>Tel v MD Absenkung zVE 2024 zur Erklangung Elterngeldgrenze 2024/2025, Berchnung erstellt (Abschätzung), Email MD</t>
  </si>
  <si>
    <t>Tel v MD wg Abschätzung zur Senkung zvE 2024 f Elterngeld</t>
  </si>
  <si>
    <t>Klein+Duch</t>
  </si>
  <si>
    <t xml:space="preserve">Elsterversand ESt+ (HWK = UST+GewSt+EÜR 2021) + (Duch = UST+ GewST + 2x EÜR+2 x EGF 2021) </t>
  </si>
  <si>
    <t>Klein</t>
  </si>
  <si>
    <t>Elsterversand EÜR selbst Tätigkeit 2021 wg Erinnerung des FA, zuvoer Srtnr Stammdaten ergänzt</t>
  </si>
  <si>
    <t>HWK</t>
  </si>
  <si>
    <t>GrStmeßB 2025+ GrStwertB 2025 Turnerstr 3, Lit wg Einspruch, Winspruch Fax FA, Brief MD</t>
  </si>
  <si>
    <t>UST-Abrg 2021, Brief MD</t>
  </si>
  <si>
    <t>ESTB+VerlustB 2021, Brief MD</t>
  </si>
  <si>
    <t>Einspruch Begimnn Buchfüherungsplicht ab 01.01.2024</t>
  </si>
  <si>
    <t>von FA Änderung UST-Meldezeitraum auf VJ, Email MD</t>
  </si>
  <si>
    <t>EÜR 2022; Bank 2022 zuendegebucht, 1370 bereinigt, Belege aus Fibu Hhufer gescannt und verbucht/verknüpft, Email MD mit Fragenliste (umfangreich)</t>
  </si>
  <si>
    <t>Fibu 2022, Belegeverbucht, Umbgen von 1370, Telversuch MD</t>
  </si>
  <si>
    <t>Tel v MD wg Kauf Fahrrad in EÜR der EF und steuerlicher Ansatz, sie hat bereits Kfz, Roller und Ebike, Frage wg er als Minijobber bei seiner Frau</t>
  </si>
  <si>
    <t>Klein/Duch</t>
  </si>
  <si>
    <t>Durchicht 32022, Dropbocversand alles, Elsterversand alles, El mSD</t>
  </si>
  <si>
    <t>USTAbrg 2022, Brief MD</t>
  </si>
  <si>
    <t>Elsterversand EÜR 2022 (Nullmeldung) 60237</t>
  </si>
  <si>
    <t>Anfrage zu Est 2022 (Miete Kapellens) und angebl Abweichung EÜR Gewere und Usterkl , Fax FA, Telversuch FA</t>
  </si>
  <si>
    <t>PM wg Änderung EStB 2021</t>
  </si>
  <si>
    <t>2023; Daten aus DBX geholt</t>
  </si>
  <si>
    <t>Fax FA wg Anfrage zu EsT 2022</t>
  </si>
  <si>
    <t>GewstmeßB 2022+ 2024 ff, fr Duch, Brief MD</t>
  </si>
  <si>
    <t>Severin</t>
  </si>
  <si>
    <t>geänderte UST Mitteilungen I-IV72022+ I-IV/2021 erhaletn, alle ok,. Elsterversand EST++Ust+EÜR für 2019+2020+2021+2022. Tel MD</t>
  </si>
  <si>
    <t>Cronberger</t>
  </si>
  <si>
    <t>EstB 2022, Brief MD</t>
  </si>
  <si>
    <t>geänd ESTB 2022, Brief und Tel MD, Tel ZfA wg Nichtanerkennung Riesterrentenbeiträge</t>
  </si>
  <si>
    <t>Brief undTel MD wg Mahnung ESt 2022</t>
  </si>
  <si>
    <t>Tel MD wg Termin f Est 2023-Belege</t>
  </si>
  <si>
    <t>Chr. Eberlein</t>
  </si>
  <si>
    <t>Brief MD wg Erinnerung EsT 2019, Est 2019 geprüft, was fehlt</t>
  </si>
  <si>
    <t>Dirk Weber</t>
  </si>
  <si>
    <t>Unterdeckung JA + Est 2023 (ZD)</t>
  </si>
  <si>
    <t>Elsterversand Est+EGF+UST+GewST+E-Bil 2023</t>
  </si>
  <si>
    <t>Umbg Ust Guthaben 2023 aus Ust-Mitteilung, Mitteilung geprüft, Ablage</t>
  </si>
  <si>
    <t>Weber</t>
  </si>
  <si>
    <t>Herabsetzungsantrag Est ab IV/2024, nach Tel V MD, Email MD</t>
  </si>
  <si>
    <t>GewstmeßB 2023+2025 ff, Telversuch MD, Brief MD, EGFB 2023</t>
  </si>
  <si>
    <t>GeweSTB 2023, Brief MD</t>
  </si>
  <si>
    <t>geändfertzer EStVorauszlsB ab IV/24, Brief MD</t>
  </si>
  <si>
    <t>D. Weber</t>
  </si>
  <si>
    <t>GewStVorauszlgsB 2055 ff Brief MD</t>
  </si>
  <si>
    <t>Termin MD hier wg EST 18, Elsterversand</t>
  </si>
  <si>
    <t>ESTB 20148, Brief MD</t>
  </si>
  <si>
    <t>Tel v MND wg Nießbrauchsrecht viom Lebenspartner für neu zu erwerbendes Haus uzndd ErbSt, Varianten durchgesprochen</t>
  </si>
  <si>
    <t>Tel v MD wg Str und Arbeitszimmer, Nutzung gemuietete Wohnung etc</t>
  </si>
  <si>
    <t xml:space="preserve">Fragebogen steuerliche Erfassung, Elsterversand, </t>
  </si>
  <si>
    <t>Beantragung UST-ID-Nr + Ablage, Emnail MD w USTIDNr</t>
  </si>
  <si>
    <t>Tel v Md auch wg Fibu, Frage von ihr zu StillerGesellschaft mit Sohn und GnmbG, Hinweis auf Ergänzungspfleger</t>
  </si>
  <si>
    <t>Afrage von Md zu Au-Pair Kosten beantwortet, Lit dazu und Berechnung, Tel mD</t>
  </si>
  <si>
    <t>Email an MD wg Anfrage zu Kfz-Kostenbelegen, Rg f Fibu in Kopie gesendet</t>
  </si>
  <si>
    <t>PlanungsRg IV/2024+I/2025 nach von MD votgegebenen werten um UST ergänzt</t>
  </si>
  <si>
    <t>Linda Meyerer</t>
  </si>
  <si>
    <t>Fax FA wg Änderung BVB</t>
  </si>
  <si>
    <t>Elsterversand Anl EÜR+EGF+GewSt+Ust 2023+E-Aufgabebilanz</t>
  </si>
  <si>
    <t>Tomic</t>
  </si>
  <si>
    <t>geänderte ESTBe 2016+2017 Brief MD</t>
  </si>
  <si>
    <t>Neumann</t>
  </si>
  <si>
    <t>Tel MD wg Zwangsgeldandroghung zur eSt 2021</t>
  </si>
  <si>
    <t>Tel v MD wg Frist zu Debkmalshutzeinschränkugenbzw Einspruch, Tel Fr Seliger deswegenm Frist bis 30.06.24 verlängert</t>
  </si>
  <si>
    <t>Email v MD mit Antworten duurchgesehen, Rückemail an MD</t>
  </si>
  <si>
    <t>Tekl MD wg USt erkl 2022 ARES GbR, Elsterversand USt 2022</t>
  </si>
  <si>
    <t>OP-Asusbuchunben, Antwortemauil von Md abgearbeitet zu EÜR 2022, USt-Abgl 16%+19%</t>
  </si>
  <si>
    <t>ELSterversand EÜR + Ust 2022</t>
  </si>
  <si>
    <t>Tel MD w Entnahme Kfz aus Betrieb und steuerfolgen, ErbSt/SchstZahlung und AdV</t>
  </si>
  <si>
    <t>Tel v MD wg Kfz Entnahme</t>
  </si>
  <si>
    <t>Ust B 12/2024+Miteilung FA auf Quartalsmelder ab 2025, Email MD</t>
  </si>
  <si>
    <t>Daten mit CB synchronisiert</t>
  </si>
  <si>
    <t>M. Hoffmann</t>
  </si>
  <si>
    <t>EÜR 2023 1% Regel geprüft und geändert, Tel-Nutzung erfasst, Telversuche MD, berichtigte UST-VAs erfasst/vorbereitet+Tel MD, SAV+AfA 2023, OPListe, Belege gescannt und verknüpft. Tel MD wg Steuertfolgemn</t>
  </si>
  <si>
    <t>EÜR 2023 geändert, Aufgabebilanz 31.12.2023</t>
  </si>
  <si>
    <t>Email v MD wg UST 2022+2023 aus Gewertbe,AntwortEmail</t>
  </si>
  <si>
    <t>Einkünftebestätigung 2022 f Versorgungswerk</t>
  </si>
  <si>
    <t>RA Hoffmann</t>
  </si>
  <si>
    <t>Elsterversand berichtigte UST VAS 01-12/2022+01/2023</t>
  </si>
  <si>
    <t>Email MD wg ESt + EÜRs 2022</t>
  </si>
  <si>
    <t>Elsterversand EÜR+Ust 2022</t>
  </si>
  <si>
    <t>neue eSt-Nr fA Gelnhausen f est erhalten, in Wiso und Simba erfasst</t>
  </si>
  <si>
    <t>Darl-Vertrag Tante im Entwurf durchgesehen, Tel MD wg SChSt-Vermeiduzng aus Zinsvorteil</t>
  </si>
  <si>
    <t>Email CB wg Prüfung VorSt 04/2024</t>
  </si>
  <si>
    <t>neue Einkünftebescheingng 2022 an MD, Öänderung Büroadressdaten uin Simba</t>
  </si>
  <si>
    <t>Erhöhungsnatrag ESt ab IV/2023</t>
  </si>
  <si>
    <t>geänderter est-vorauszahlungsb IV/2023, Bruief MD</t>
  </si>
  <si>
    <t>EÜR 2022, OP 2022 durchgesehen, noch amal an MD gesendet</t>
  </si>
  <si>
    <t>OP-Bereinigung nach OOPliste MD</t>
  </si>
  <si>
    <t>JA 2023, EB wertwet aus 22 vorgetragen,. Email CB wg Journalen 22+23</t>
  </si>
  <si>
    <t>Beantwortung Anfrage im ESt-B 2022, Fax FA</t>
  </si>
  <si>
    <t>geänderter EStB 2022, Aufhebung VDN, Brief MD</t>
  </si>
  <si>
    <t>EÜR 2023, Ebwerte, 1370+1371 ausgeziffert, 1% Regel, Telkoprivatantil, SAV+AfA zT</t>
  </si>
  <si>
    <t>Beratung wg Schuldzimsen und SChSt az´ßuf vergünstigtes Darlehen</t>
  </si>
  <si>
    <t>EÜR 2023, Daten 2024 importiert, OP bearbeitet, zT ausgeglichen. Kto 1370+1371 mit 2024 abgeglichen und Email an Md wg Abgleich/Fragen</t>
  </si>
  <si>
    <t>2 x Emailstellungnahme zu Reparatzuraufwand in vermieter Zeit und spätere selbstnutzung</t>
  </si>
  <si>
    <t>Darl Vertrag SCHSt beurteilt, RR an MD</t>
  </si>
  <si>
    <t>Tel v Md wg Renovierungskosten Haus Oberursel, und Ansatz als AK/Sofortaufwandf</t>
  </si>
  <si>
    <t>Anfrage von md zu Gehalt/Minijob-Auswirkung der EF und Vergleich mit jetziger KV-Belastung, Email mD, Vergleichsberchnung erstellt</t>
  </si>
  <si>
    <t>Molge</t>
  </si>
  <si>
    <t>Elster-Versand Est 2022+EÜR 2022</t>
  </si>
  <si>
    <t>EsTB 2022, Email MD, Lit wg Rentenvbesteuerung DRV in Nrweghen</t>
  </si>
  <si>
    <t>Höhny</t>
  </si>
  <si>
    <t>Frank Höhny</t>
  </si>
  <si>
    <t>Tel v MD wg fehlender KV-abzug Tohter auf Werkstudentenabrg 10/2024, Lit datzu und RR</t>
  </si>
  <si>
    <t>Erika Hoffmann</t>
  </si>
  <si>
    <t>GrStmeßB Hartmann-Ibach Str 80, Brief MD</t>
  </si>
  <si>
    <t>D. Hoffmann</t>
  </si>
  <si>
    <t>Email FA wg Jahresteuerbescheinigung Coba 2021</t>
  </si>
  <si>
    <t>EsTB 2021, Brief MD</t>
  </si>
  <si>
    <t>Dietmar Hoffmann</t>
  </si>
  <si>
    <t>geändferter EStB 2020, Tel mD wg Freistellungf und Zurechnung der Kapitalerträfge, Brief MD</t>
  </si>
  <si>
    <t>Markus Hoffmann</t>
  </si>
  <si>
    <t>Tel StB Michel in der Sache Masseur Demuni, Tel RA Hoffmann und Büro BL wg CÜH-Antrag Phase 1, RR StB Michel und RA Hoffmann</t>
  </si>
  <si>
    <t>Schwarz FS</t>
  </si>
  <si>
    <t>Antwortschreiben auf Anfrage FA zu JA 2023 begonnen</t>
  </si>
  <si>
    <t>Antwortschreiben auf Anfrage FA zu JA 2023 fortgesetzt, Tel MD wg Sachverhaltsaufklärung. Mehrere Telefonate, Schreiben umgearbeitet</t>
  </si>
  <si>
    <t>Stellungnahme FA Hofheim nach Tel mit MD ergänzt+Fax FA</t>
  </si>
  <si>
    <t>Tel v MD wg Gewinnerziellung, AfA Herausnahme Kfz, Entnahmewerte etc</t>
  </si>
  <si>
    <t xml:space="preserve">Tel v MD und Email von MD wg GewstmeßB 2023+2025 ff, GestzerlB+GewVerlustB 2023 ff, </t>
  </si>
  <si>
    <t>Schwarz GbR</t>
  </si>
  <si>
    <t>Ust VA 09+10/2024, Email md</t>
  </si>
  <si>
    <t>UST VA 12/2024+DFV 2025, Elster, Email MD</t>
  </si>
  <si>
    <t>Silski</t>
  </si>
  <si>
    <t>Nullmeldng LST 2023, Email FA wg Aufhebung AG-LSt-Signal ab 2024</t>
  </si>
  <si>
    <t>Korr UT VA I/24</t>
  </si>
  <si>
    <t>Dr Primbs</t>
  </si>
  <si>
    <t>ESTB 2021, Tel MD, Brief MD</t>
  </si>
  <si>
    <t>Tel v md wg 500 euru aerbeitsverhältnis der Egefrau, Herabsetzumgsantrag mnachtr Est Vorauszlg 2020 prüfen</t>
  </si>
  <si>
    <t>Dres Primbs</t>
  </si>
  <si>
    <t>Tel MD wg geänderte, EStB wg Doppelberücksiocjhtigung Verlust aesthetixx, zuvor ÄnderunghsB verglichen</t>
  </si>
  <si>
    <t>Vargas-Hein</t>
  </si>
  <si>
    <t>Tel v FA Friedberg wg Einspruch und Diff zur ersten EÜR</t>
  </si>
  <si>
    <t>Vargas Hein</t>
  </si>
  <si>
    <t>geänderter EstB 2018, Email MD</t>
  </si>
  <si>
    <t>Despic</t>
  </si>
  <si>
    <t>Durchsicht EÜR BAU+Pension, Ust 2022, EST 2022</t>
  </si>
  <si>
    <t>Elsterversand ESt+2 x Gewst+UST+2 EÜR 2022</t>
  </si>
  <si>
    <t>Charis</t>
  </si>
  <si>
    <t>Adresse Sohn Fabian geändert, Elsterversand ESt+EÜR+UST 2023</t>
  </si>
  <si>
    <t>Lang</t>
  </si>
  <si>
    <t>ESTB+ESTVerlustB 2022, Tel MD wg KV-Bescheinighung, Brief MD</t>
  </si>
  <si>
    <t>Emailanfrage von MD zu Unterhalt an Katrin beantwortet</t>
  </si>
  <si>
    <t>Balen</t>
  </si>
  <si>
    <t>Elsterversand eST 2022</t>
  </si>
  <si>
    <t>D. Kumichel</t>
  </si>
  <si>
    <t>Anfrage fa zu Est 2022 angefangen, Tel Md wg weiterer Unterlagen Spark KA, und Aufhebung Freistellung</t>
  </si>
  <si>
    <t>Tel MD wg VorauszahlungsB 21022 und weg Anfrage zu Kapitalerträgen 2022 ff, Tel MD</t>
  </si>
  <si>
    <t>Antwortfax an FA wg Anfrage zu Est 2022</t>
  </si>
  <si>
    <t>Tel v MD wg Gehaltsabrgen 02+03 f Hrn Ufer wg Banjkdarl Wohg, Email mD</t>
  </si>
  <si>
    <t>Tel v Fr Ufer wg Verkauf Wjhg in Spaniweb,. DBA konsultiert, Est 12020 Frage zu Ertattung</t>
  </si>
  <si>
    <t>A. Gomez</t>
  </si>
  <si>
    <t>ESTB+ESTverlustB 2023, Brief MD</t>
  </si>
  <si>
    <t>geänderter EsT+ESTverlustB 2023 (Aufhebung VdN)</t>
  </si>
  <si>
    <t>Nandzik</t>
  </si>
  <si>
    <t>Tel v MD wg Fragen zur Ust 2022 Diff /Nachzlg, Tel wg Est 2022. Kontenblätter geemait</t>
  </si>
  <si>
    <t>EStVB +EsRTverlustB 2022, Brief MD</t>
  </si>
  <si>
    <t>UST VZ B 08/24, Emal MD</t>
  </si>
  <si>
    <t>Termin MD hier wg Daten/Belegen Est 2023. PM deswegen</t>
  </si>
  <si>
    <t>Email MD wg UST-VZB 11/2024</t>
  </si>
  <si>
    <t>Moldan</t>
  </si>
  <si>
    <t>Elsterversand-Est 2023</t>
  </si>
  <si>
    <t>Andreas Kunze</t>
  </si>
  <si>
    <t>EStB+GewstmeßB+GewVerlustB 2021+2022, Einspruch ESTB 2021, Brief MD</t>
  </si>
  <si>
    <t>geänderter ESTB 2019, Bief MD wg Teuilauflösung IAB 2019</t>
  </si>
  <si>
    <t>Kunze</t>
  </si>
  <si>
    <t>Rücknahme Einspruch EstB 2021</t>
  </si>
  <si>
    <t>A. Kunze</t>
  </si>
  <si>
    <t>Elsterversand EST 2024, Tel v MD wg Rükzahlung lterngeld und Stand Est 2023</t>
  </si>
  <si>
    <t>LAK</t>
  </si>
  <si>
    <t>Tel v MD wg IAB 2022 und Restlaufzeit bzw Restinvestvolumen, Erechnung und Folfgen, DSGVO, Archivierung, Lexware Fähigkeirt zu eRg, Fragen zu SV Pflicht VRD und Portiugak, freiw Vers in D zur Vefreiung in P, Gehäleter in Portzugal, nachgereichte Belege 2023 in ESt 2023 gecheckt, waren alle schon enthalten, +Email von und an ihn wg Einkommebn in Portugal,</t>
  </si>
  <si>
    <t>Tel MD wg Ausschüttungsbelastung, Berechnungsbeispiel angelegt, Email mD</t>
  </si>
  <si>
    <t>Lars Kunze</t>
  </si>
  <si>
    <t>geänderter SchsTB zur Gmbh Anteilserweerb von Hrn DAS 2022</t>
  </si>
  <si>
    <t>Bannister</t>
  </si>
  <si>
    <t>Tel v Fr Bannister wg GrStmeßB ob er schon da ist sie will Einsprtuch einlegen, Verfahren erläutert und Sinnhaftigkerit des Einspruchs</t>
  </si>
  <si>
    <t>GrStmeßB 2022, Brief MD</t>
  </si>
  <si>
    <t>Buzon GbR</t>
  </si>
  <si>
    <t>Unterdeckung EÜR 2020+priv Beratung in 20+21 281,20 abzgl Überdeckung EGF 21</t>
  </si>
  <si>
    <t>Buzon</t>
  </si>
  <si>
    <t>Unterdeckung EGF 2022</t>
  </si>
  <si>
    <t>Elserversand EGF 2023</t>
  </si>
  <si>
    <t>Anfrage FA zu Egf 2023 beantwortet</t>
  </si>
  <si>
    <t>EStBe 2022+2023 der Mutter, Brief MD</t>
  </si>
  <si>
    <t>MD hier wg Est 2019</t>
  </si>
  <si>
    <t>Backöfer</t>
  </si>
  <si>
    <t>Brief DAK Kopie EStB 2021</t>
  </si>
  <si>
    <t>Unterdeckung Backöfer Erben und ESt 2021+2022</t>
  </si>
  <si>
    <t>F. Backöfer</t>
  </si>
  <si>
    <t>Elsterversand 2022, Ust+EÜR+ESt+EGF</t>
  </si>
  <si>
    <t>ESTB 2022, Brief MD, Einspruch/Herabsetzungsantrag Estvorauszahlungen ab 2024</t>
  </si>
  <si>
    <t>geänderter EST-VorauszahlungsB ab II/2024, Brief MD</t>
  </si>
  <si>
    <t>Sturm</t>
  </si>
  <si>
    <t>Termin Hr Sturm wg Aufkösdung GbR, Werte abgestimmt f Entnahme SAV</t>
  </si>
  <si>
    <t>Vertrag f Anteuilsübertragung vorbereitet, Faxe an FA vorbereizet wg Anpassung EStVorauszaholung ab 2024, Fax wg Beendigung GbR und Ust Signal vorbereitet</t>
  </si>
  <si>
    <t>Sturm GbR</t>
  </si>
  <si>
    <t>Elsterversand EGF 2022, Auf Schreiben de FA hin, Tel MD wg Aufklöung GbR</t>
  </si>
  <si>
    <t>Fax FA wg Aufhebung Ust Sifgnal ab 024, Fax FA wg Anpasung eST-Vorauszahlungen ab 2024</t>
  </si>
  <si>
    <t>EGF-B 2022, Brief MD</t>
  </si>
  <si>
    <t>Philipp Sturm</t>
  </si>
  <si>
    <t>Elsterversand ESt+EGF+EÜR+Ust 2022</t>
  </si>
  <si>
    <t>ESTB 2022, Anfrage des Fa beantwirtet zu Ertrasminderungen, Brief MD</t>
  </si>
  <si>
    <t>P. Sturm</t>
  </si>
  <si>
    <t>EST-VorauszlgsB 2024 ff (geändert), Brief MD</t>
  </si>
  <si>
    <t>Base 9</t>
  </si>
  <si>
    <t>PM wg OP-Abgleih 2020/2021, Tel MD</t>
  </si>
  <si>
    <t>Unterdeckung EÜR 2022</t>
  </si>
  <si>
    <t>Elsterversand EGF+EÜR+GewST+Ust 2022, Ust 2022 neu verprtobt, Um,buchungen (aufweändig)</t>
  </si>
  <si>
    <t>Unterdeckung Fibu I. Hj 2024</t>
  </si>
  <si>
    <t>Email Umstellungsschreiben des FA uf Quartalsmeldung ab I/2025 an MD</t>
  </si>
  <si>
    <t>Reis Tomas</t>
  </si>
  <si>
    <t>Salinas</t>
  </si>
  <si>
    <t xml:space="preserve">restl. Unterdeckung ESt 2020 755,40 abzgl Überdeckung 2021 = -41,48 </t>
  </si>
  <si>
    <t>Keller</t>
  </si>
  <si>
    <t>Tel JK und Email weg fehlender Belege</t>
  </si>
  <si>
    <t>Javier Salinas</t>
  </si>
  <si>
    <t>Boer</t>
  </si>
  <si>
    <t>Elsterversand EST+Ust+GewST+E-Biklanz 2023</t>
  </si>
  <si>
    <t>GewstmeßB 2023+2025 ff, Est ER und ESTB Suie 2023, Brief MD</t>
  </si>
  <si>
    <t>Tel MD wg angeblichem Übergang auf KleinUURegel, Einspruch per Fax an FA, Kopien an MD</t>
  </si>
  <si>
    <t>geänderter UStB 2022, kein Brief MD</t>
  </si>
  <si>
    <t>Gramowski</t>
  </si>
  <si>
    <t>Termin MD hier wg EsT 2020+2021, Belege 2020+2021 zurückgegeben</t>
  </si>
  <si>
    <t xml:space="preserve">Elsterversand 2020: Versicherungen (UST+GewST+Anl EÜR+EGF), Autos (EGF+Anl EÜR), ESt </t>
  </si>
  <si>
    <t xml:space="preserve">Elsterversand 2021: Versicherungen (UST+GewST+Anl EÜR+EGF), ESt </t>
  </si>
  <si>
    <t>Bescheide FA FFM f Versicherungen = GestmeßB+ZuwendungsvortragsB, EGF-B+GewVerustBe 2020+2021, Gewstmeß0B ab 2022 ff, Brief MD</t>
  </si>
  <si>
    <t>EGF-B 2020 Autiooaufbeeitung, Brief MD+Tel FA wg Löschung Signal Autoaufbereitungab 2021</t>
  </si>
  <si>
    <t>EStB 2020+2021, Brief mD</t>
  </si>
  <si>
    <t>MD hier wg Daten Est 2019</t>
  </si>
  <si>
    <t>Studiobau GbR Kunze</t>
  </si>
  <si>
    <t>Tel MD wg Schätzung UST VA II/2023, Belege gebucht, Stammdaten angelegt</t>
  </si>
  <si>
    <t>Studiobau GbR Marheineke Kunze</t>
  </si>
  <si>
    <t>Email MD wg Ust VA II/2023, Elsterversand, Telversuch Hr Marheineke</t>
  </si>
  <si>
    <t>Marheineke GbR</t>
  </si>
  <si>
    <t>uST VA III/2023, Daten von MD verarbneitet, email md</t>
  </si>
  <si>
    <t>geänderter EStB 2021 (Aufhebung VdN), Brief MD</t>
  </si>
  <si>
    <t>Fibu IV/23+I/24 (nur 01+902/2024), Elsterversand</t>
  </si>
  <si>
    <t>Ust Vas II+III/24 (0,-Meldungen), Fax FA wg Löschung des Falles in 2023+2024</t>
  </si>
  <si>
    <t>Dr. Westhof</t>
  </si>
  <si>
    <t>Termin MD wg eStB 2021+2022 und Mandat</t>
  </si>
  <si>
    <t>Stammdaten angelegt, Akte etc, VDB Vollmacht angelegt, Email mD. Est 2022 erfasst , Steuermehrbelastung bei Wegfall Gnadensplitting ab 2025 auf 2 Arten gerechnet, Tel MD</t>
  </si>
  <si>
    <t>Westhof</t>
  </si>
  <si>
    <t>Tel v MD wg Daten f 2022 und Datenabruf angestoßen/eingerichtet</t>
  </si>
  <si>
    <t>Datenabrufcode erhalten (Twel von MD), Datenabruf in WISO freigeschlatet</t>
  </si>
  <si>
    <t>Tel v MD wg Fragen zu agb iun EStB 2022, Frage zu Zahlung Est 2022 und dadurch verbundene Anerklennung des EStB etc</t>
  </si>
  <si>
    <t>J. Hoffmann</t>
  </si>
  <si>
    <t>Elsterversand UST+EST+GewST+EÜR 2021</t>
  </si>
  <si>
    <t>Einspruch nachtzrägliche EST Vorauszahlung 2021</t>
  </si>
  <si>
    <t>Tel FA wg ESt-Veranlagung 2021, Teklversuch FinKa</t>
  </si>
  <si>
    <t>EStB 2021</t>
  </si>
  <si>
    <t>Anfragen des Fa zu EST 2021+2020 beantwortet, Enail fA, EGF2021 und Gwestzerlegungserkl 2020+2021 versendet</t>
  </si>
  <si>
    <t>Jens Molge</t>
  </si>
  <si>
    <t>Elster EGF+EÜR 2019 (Nullmeldfung) übermittelt</t>
  </si>
  <si>
    <t>Tel v MD wg Zwangsgeldandrohug EÜR 2019, EGF erstellt und geelstert</t>
  </si>
  <si>
    <t>RG lobu + Durchsicht Est 2022</t>
  </si>
  <si>
    <t>E. Hoffmann</t>
  </si>
  <si>
    <t>Elsterversand Est+Ust+GeweSt+EÜR 2022</t>
  </si>
  <si>
    <t>GewStmeßB 2022+2024 ff, GewVerlustVB 2022, Brief MD</t>
  </si>
  <si>
    <t>Tel v MD wg Verlusten aus Spekulation, Töpfe erklärt, KapstBesche 2020 nachvollzogen und ESTBerechnung 2020 ergänzt, Folgen berchnet, Tel mD wg doppelter Vergabe von Sparerpauschbeträgen</t>
  </si>
  <si>
    <t>Flores</t>
  </si>
  <si>
    <t>VBG-UU Fragebogen ausgefüllt, Email mD+Telversuch und Tel MD</t>
  </si>
  <si>
    <t>VBG-Bescheie und Lohnsummenmeldung 2017 abgesetzt, Email MD</t>
  </si>
  <si>
    <t>Emekci</t>
  </si>
  <si>
    <t>Elsterversand Anl EÜR+EST+GewSt+Ust 2023+</t>
  </si>
  <si>
    <t>ESTB 2023, Brief MD, Tel FA Nidda (Kasse) wg fehlender Aufrechnung KISt-Nachzahlung mit EsT)</t>
  </si>
  <si>
    <t>Tel MD wg Kauf Vermiwetungsobkekt und steuerl Beratungstermin, EST 2023 vom Vortag angesprohen</t>
  </si>
  <si>
    <t>Kunz, M</t>
  </si>
  <si>
    <t>EStERkl 2023 der Mutter, berichtigt, Geelstert</t>
  </si>
  <si>
    <t>ErbSTerkl durchhesehen, Sachverhaltsnotiz erstellt, Tel Fr Metternich wg einem fehlenden Beleg</t>
  </si>
  <si>
    <t>Michaela Kunz</t>
  </si>
  <si>
    <t>ErbSTerkl durchgesehen wg nachgereichter Unterlagen von MD, Vermögensaufstellung AG Königstein ausgefüllt,. Email Kmett wg Unterschrift, Akte durchsortiert etc</t>
  </si>
  <si>
    <t>EST 2023, Anl N erfasst, Tel MD wg Ergebnis, Email Est an MD</t>
  </si>
  <si>
    <t>verbleibende Unterdeckung EST+EÜR 2019 nach ESt 2020 (5124,05-372,7)</t>
  </si>
  <si>
    <t>Tel MD wg Druck EÜRS 60374+61374 2021 bzw 2021/2022, pdf Erkl 2021 erstellt und versendet, Email MD</t>
  </si>
  <si>
    <t>Enrico Keller</t>
  </si>
  <si>
    <t>Elsterversand eSt+Ust+LuF-EÜR 2021+EÜR Lohnbetrieb 2012+ Gewsterkl 2021, EinspruchZwangsgeldfestsertzung EST 2021</t>
  </si>
  <si>
    <t>Einspruchsrücknahme Zwangsgelder EST 2021</t>
  </si>
  <si>
    <t>EStB+GewstmeßB 2021, GestmeßB 2025 ff, Brief MD</t>
  </si>
  <si>
    <t>Email MD wg Erinnerung EST 2022</t>
  </si>
  <si>
    <t>Paul Rose</t>
  </si>
  <si>
    <t>Elsterversand eSt+Ust+LuF-EÜR 2021, EinspruchZwangsgeldfestsertzung 2021</t>
  </si>
  <si>
    <t>ESTB 2021+EStVorauszajhlungsVB 2025 ff, Brief MD</t>
  </si>
  <si>
    <t>Rose</t>
  </si>
  <si>
    <t>Email mD weg Erinnerung Steuer 2022</t>
  </si>
  <si>
    <t>Simon&amp;Pioch</t>
  </si>
  <si>
    <t>Ersttermin wg Mandatsübernahme, Stammdaten und Akten angelegt, Scans etc+Est 2023 angelegt</t>
  </si>
  <si>
    <t>Dres Schmidt</t>
  </si>
  <si>
    <t>EStB+VerlustB 2022+ geänderte EStBe 2021+2020</t>
  </si>
  <si>
    <t>geänderter GrstmeßB 2022+ GrStwertB 2025, Tel FA wg Einspruch, da Bescheid inhaltsgleich</t>
  </si>
  <si>
    <t>Dr. Schmidt</t>
  </si>
  <si>
    <t>Elsterversand EGF+USt+EÜR+GewST 2022+EST</t>
  </si>
  <si>
    <t>Fax Fa wg Fragebogen steuerl erfassung, Tel FA FFM wg Ergebnisanteil aus GbR, Tel FA DA wg stNr GbR</t>
  </si>
  <si>
    <t>EGFB 2022+GewstmeßVB+GewVerlustB 2022+ GewstmeßB 2024 ff, Brioef MD</t>
  </si>
  <si>
    <t>Tfax FA wg Aufhebung KOStVorauszlgn ab 2024, Tel fA wg Zuordnung eST-VorauszahlungIII/2023 u offener Restbeträge</t>
  </si>
  <si>
    <t>Dr. Primbs</t>
  </si>
  <si>
    <t>Tel RA Hoffmann wg anfrage von Md per Email</t>
  </si>
  <si>
    <t>geänderter EStVorauszlgsB 2024 ff, estattung KiSt, Brief MD</t>
  </si>
  <si>
    <t>Durchicht Kapitalkonto-Unterlagen Ang Riemenschneider, Email MD und RA Hoffmann, Email Fr Dächert wg Fragen, Tel RA Hoffmann</t>
  </si>
  <si>
    <t>Email an WP Dächert wg Kapitalkonten und abw Gewinnverteilung 2023, Ebwerte nachvollzogen etc</t>
  </si>
  <si>
    <t xml:space="preserve">Tel v RA Hoffmann wg Streitrage </t>
  </si>
  <si>
    <t>Tel v MD wg ESTnachzahlung aus Gewinn von 200 TEUR unter Azug vca 15 TEUR Sonder-BA, Hinweis an MD Sonder BA an Fr Dächert zu melden, Fragen von ihm zu Holdimgstrukturen und Immobilien etc Umwandlung Sozietät in Gmbh etc, Elsterversand neuie SEPA LEM</t>
  </si>
  <si>
    <t>Email v Fr Dächert wg Kapitalkonten an RA Hoffmann gesendet, RR von ihm</t>
  </si>
  <si>
    <t>Elsterversand EST+EGF+UST+EÜR 2018</t>
  </si>
  <si>
    <t>EGF-B 2018, Einspruch</t>
  </si>
  <si>
    <t>Antwort FA Friedfberg wg Anfrage zu EÜR 2018</t>
  </si>
  <si>
    <t>Tel FA Friederg wg Einspruch EGFB 2018, Telversuch und Fax ESTB 2018 FA FFM, Fax Fa Friedberg wg ADV</t>
  </si>
  <si>
    <t>Tel FA Friednerg wg Dartum EGHF-B 2018, Telversuche undTel FA FFM wg Mahnsperre, SZ-Aufhebungsantrag per Fax an fA FFm</t>
  </si>
  <si>
    <t>EGF-B 2018 (geänderter), Brief MD</t>
  </si>
  <si>
    <t>Elsterversand Est 2019+ EÜR 2019+Ust+EGF 2019+ GewST 2019</t>
  </si>
  <si>
    <t>Wiegand</t>
  </si>
  <si>
    <t>Unterdeckung 2019 Vje 889,97 abzgl 2020 Überdeckung) +2022</t>
  </si>
  <si>
    <t>Unterdeckung ESt 2020+2021</t>
  </si>
  <si>
    <t>Arztkosten EM erfasst</t>
  </si>
  <si>
    <t>Termin MD hier wg Est 2022, Nachteil des Ehemannes ausgerechnet aus ZVm + ihren Vorteil aus ZV, Elsterversand Est+UST 2022</t>
  </si>
  <si>
    <t>Email FA friedberg wg Frist Est 2023</t>
  </si>
  <si>
    <t>Termin MD hier wg Est 2023</t>
  </si>
  <si>
    <t>Oktay</t>
  </si>
  <si>
    <t>Brief MD, EStvorauszlgsB 2019, ErstattunfsBVB vorbereitet</t>
  </si>
  <si>
    <t>GewSTmeßB + EStB 2018, Brief MD</t>
  </si>
  <si>
    <t>Gonzalves de Freitas</t>
  </si>
  <si>
    <t>Tel FA wg Erinnerung Steuer 2023 und selbständfige Arbeuit, Tel MD, Email MD wg Vollmacvht, Fax FA wg Vollmacht und wg Frst 2023, Est 2023 angelegt, Lohnersatz berefchnet, Belege gescannt</t>
  </si>
  <si>
    <t>Raimondi</t>
  </si>
  <si>
    <t>Daten von Md zu Est 2023 werhalten, gescannt, verarbeitet, Fragenliste, tel md wg Fragen zu Kindern etc</t>
  </si>
  <si>
    <t>Albert</t>
  </si>
  <si>
    <t>Elsterversand Usterkl+Abnl EÜR 2023 Michael Albert 80405</t>
  </si>
  <si>
    <t>Tel FA wg LStBesch 2022, Elsternachricht an FA mit Sendeprotokoll</t>
  </si>
  <si>
    <t>geänd ESTB 2022, Aufhebung VdN , Brief mD</t>
  </si>
  <si>
    <t>Paul Albert</t>
  </si>
  <si>
    <t>Tel v MD wg ESDT 2022 Fragen</t>
  </si>
  <si>
    <t>P. Albert</t>
  </si>
  <si>
    <t>ESTB 2022, Brief MD (erstellt durch ZD)</t>
  </si>
  <si>
    <t>Tel v Hrn Kellermann, Tel FA Fulda wg Bearbeitungsgang</t>
  </si>
  <si>
    <t>P. Schramm</t>
  </si>
  <si>
    <t>Hr Kellermann hier wg Aniorderung Grundbesotzwert</t>
  </si>
  <si>
    <t>Tel FA wg Grundbesitzwerterkl erbengem; Versuch Unterlagen zu mailen bzw per Elster zu senden, Nrief FA mit Belegen, Neubeurteilung nach Unterlagen vom Vortag für gesantem erbfall</t>
  </si>
  <si>
    <t>EStB + eStVerlustB 2022 für die Eltern, Bnrief MD wg Diff</t>
  </si>
  <si>
    <t>Jan Skibicki</t>
  </si>
  <si>
    <t>MD hier wg Prüfung ESTB 2022 derEltern</t>
  </si>
  <si>
    <t>MD hier wg VuV von 60514 an Mitglieder der PG, GmbH.-Gründung Er und seine Frau SV-Pflicht, Vermeidung BAU/PV für Grundvermögen</t>
  </si>
  <si>
    <t>geänderter EStB 2022, Berief MD, Einspruch FA wg 35 Esg</t>
  </si>
  <si>
    <t>geänderter ESTB 2022 nach Einspruch+geänderter EsTVB nachtr Vorauszlg 2023, Berief MD</t>
  </si>
  <si>
    <t>Termin MD hier wg Erlöuterung Aktennotiz Vermietunga usd 60410 an ihn/EF oder GmbH</t>
  </si>
  <si>
    <t>MD wg Fragen des FA zur Sterkl des Denkmalvereins 2020-2022</t>
  </si>
  <si>
    <t>WEG Andersch</t>
  </si>
  <si>
    <t>verbleibende Unterdeckung EGF 2020 (2021) = 664,5-169,30</t>
  </si>
  <si>
    <t>WEG Salzbach</t>
  </si>
  <si>
    <t>Aktennotiz Beurteilung Nutzung Wohnung 1. OG Hinterhaus</t>
  </si>
  <si>
    <t>WEG Salzabch</t>
  </si>
  <si>
    <t>TerminM D hier wg Fragen zur Verschmeltung, vereinfachung der beiden Geschöfte Café und WEG, Vermietung an Nina Skibicki für Whg hinte, die nur privat genzutzt wird, Steuerkiche Folgen (1/4 der Kosten raus, der Einnahmen dito) 16:00-18:00 1 std sdavon EDV Beratuing HA, 1 std StBereatung JS</t>
  </si>
  <si>
    <t>WEG Andersch/Skibicki</t>
  </si>
  <si>
    <t>Prüferichte durchgesehe, Schreiben an MD</t>
  </si>
  <si>
    <t>Email md wg Erläuterung Änderung Auswirkung Verlustvorträge neues Recht (Termingesdchäfte), Alternatiovberechnungen erstellt</t>
  </si>
  <si>
    <t>TerminM D hier wg EST 2023+2022 Berechnung, Fragen zu Verrerbung, wegzuzugsbesteuerug ins Asland etc, zuvor Terminvorbereitung</t>
  </si>
  <si>
    <t>EST 2023 überarbeitet wg ausl QSt, aus Aktiendivdenden von IB dtse Dividenden herausgerchnet, Ansatz geändert uiin Anlö KAP, Belege ff fA zusgestellt</t>
  </si>
  <si>
    <t>Berisha</t>
  </si>
  <si>
    <t>Unterdeckung Fibu I/2023+Lobu III/24+25</t>
  </si>
  <si>
    <t>Unterdeckung Fibu II/2023</t>
  </si>
  <si>
    <t>Unterdeckung JA 2021</t>
  </si>
  <si>
    <t>Unterdeckung Fibu III/2023 (ZD)</t>
  </si>
  <si>
    <t>Termin MD wg EST 202+ Steuernahzlg und nachtr Vorauszlg 2023, EK-Nachweis 31.12.2023 erstellt f Buslizenz (vorl Zahlen 2023 weiter ermittelt, AfA etc, SAV erfasst, Ebwerte erfasst)</t>
  </si>
  <si>
    <t>Elsterversand Est+Ust+GewST+EÜR 2022</t>
  </si>
  <si>
    <t>Atmaxa Trans, Rücksendung Schreiben dfes FA Berlin International</t>
  </si>
  <si>
    <t xml:space="preserve">Anfrage FA wg Diff Ust/EÜR 2022 mit PM+KL </t>
  </si>
  <si>
    <t>Mahnung Gewst III/24, Eail MD</t>
  </si>
  <si>
    <t>geänderterEstVorauszlgsB 2023+ 2024+2025ff (2 Stk), geänderter GewstmeßB v2024 ff nach Einspruch, Berief md</t>
  </si>
  <si>
    <t xml:space="preserve">Tel v MD wg Zahlungen EST + GewSt 2022, mD hier wg Verkauf von Bussen Abschätzung GeWstnachzahlung 2023 (ca 32.000,-) </t>
  </si>
  <si>
    <t>geänderter GewStvorauszlgsB 2024 ff, Brief MD</t>
  </si>
  <si>
    <t>/Tel v MD wg Bonitätsunterlagen Leasing, RR wg neg ergebnis bis 08/2024</t>
  </si>
  <si>
    <t>Termin Md hier wg Verkauf 4 Busse an ehemalige Mitarbeiter</t>
  </si>
  <si>
    <t>AB</t>
  </si>
  <si>
    <t>Ermahnung des FA wg verspäteter Abngabe UST 09-2024</t>
  </si>
  <si>
    <t xml:space="preserve">Anfrage FA zur VorSt 10/2024, Belege herausgesucht. Lit wg Rgangaben, Telversich MD, versucht, StNr des LE zu verifizieren, Korr Fibu, </t>
  </si>
  <si>
    <t>Schlußabrechnungsbescheide Paket II, geprüft, Email MD</t>
  </si>
  <si>
    <t>VorSTnachweis 10/24 an FA via Elsterübermittlung, zuvor geänderte UST VA versendet f 10/24</t>
  </si>
  <si>
    <t>AB Travel</t>
  </si>
  <si>
    <t>tel v MD wg Neueinstellung Hr Ter, Lit Schreibenentwürfe von MD mit Terp, Änderung Word-Dokumemt</t>
  </si>
  <si>
    <t xml:space="preserve">USTB 10/2024, Verbuchung nicht abzb VorST, Umbg UST 12/2024 auf SVZ 2025 nach Umbuchungsmitteilung des FA </t>
  </si>
  <si>
    <t>längereas Telefonat mit MD wg eSt 2022 und Erklärungen, Elsterversand</t>
  </si>
  <si>
    <t xml:space="preserve">Brief MD wg Erteilung neuer St-Nr </t>
  </si>
  <si>
    <t>tel v MD wg erinnerung Abgabe Est 2023, Email FA deswegen und wg Fristverl f StB</t>
  </si>
  <si>
    <t>tel v md wg etl-rgen, rg rosy ziegler, rg untheim, f 2022</t>
  </si>
  <si>
    <t>Brief FA Fulda, Nachreichung Erbfallkostenbeleg</t>
  </si>
  <si>
    <t>Vollstrekungsankündigung EST III/2024, Brief MD</t>
  </si>
  <si>
    <t>Tel MD wg Vollsteecvjung eSt IIi724</t>
  </si>
  <si>
    <t>Fax Fa wg Widersprich Vollstreckung III/24, Antrag Erlass SZ+sehr langes Tel FA GI und Hofheim wg StNrn-Wirrwarr+Tel Fr Kunze wg Sepa-LEM etc+Email FA wg neuer LEM, nachdem sie endlich von MD erhalten wurde</t>
  </si>
  <si>
    <t>Tel Md wg Fragen zu fehlerhafter Bezeichung Verwendfungsuzweck beio Zahlung Est III/24</t>
  </si>
  <si>
    <t>Email MD wg Aufhebung SZ EsT + SolZ III/2024</t>
  </si>
  <si>
    <t>EStB 2022, Einspruich wg Fünftelregel und wg Feststetzung der Vorauszahlungen ab IV/2024, Brief MD, Tel FA wg lt EStB nicht abgebuchter EStVorauszahlung IV/24</t>
  </si>
  <si>
    <t>Tel MD wg gar nnix/ Est 2022 und Krankheitkostebn, Termin im januar 25 vereinbart</t>
  </si>
  <si>
    <t>Termin MD hier wg ESt 2022+2023 mit KL</t>
  </si>
  <si>
    <t>Fr Kunze</t>
  </si>
  <si>
    <t>EStB 2022 ER, geönderte EsTVoarauszlgsVBe 2024 und 2025 ff Auf Basis unseres Heransetzungsantrages, Fax FAS wg BVB f Erstattungen, Brief MD</t>
  </si>
  <si>
    <t>Rg Bedarfswert</t>
  </si>
  <si>
    <t>Bedarfswerterkl an FA gesendet, Postversand, Unterlagen zugefügt, Scan etc</t>
  </si>
  <si>
    <t>DAS</t>
  </si>
  <si>
    <t>ESTB 2021 hgeprüft, Telversuch MD, Fax FA wg Arb-Tagen</t>
  </si>
  <si>
    <t>Das</t>
  </si>
  <si>
    <t>Tel FA wg weitereTage in D f 2 Arbeitsverhältnis ab 15.10.2021, Tel MD, Rr an FA</t>
  </si>
  <si>
    <t>Detroy</t>
  </si>
  <si>
    <t>Unterdeckung Fibu I/2024 = 786,20-21,6 (Lobu III/24)</t>
  </si>
  <si>
    <t>EB 2023 berichtigt, Umbgen JA 2023 Telefonnutzung e, UST Abgl, Belege gesichtet, Ust nicht fällig berichtigt dazu Betrag gesucht, Fragenliste, eSt 2023, Anl R Datenübernahme vom FA, plausibilisiert, pdf-Belege des Vorbearaters durchgesehen, Kfz-Kosten umgebuch</t>
  </si>
  <si>
    <t>ESTB 2012, Tel mD, Herabsetzungsantrag VZ und nachträgl Vorauszahlung 2023 ff+GewstmeßB+EstverlustB 2021</t>
  </si>
  <si>
    <t>nachgereichte Belege 2021-20123 verarbeitet, 1590 in 2023 zt aufgelöst. Hhnahe Dienste 2021-202 erfasst, Fragenliste aktualisiert</t>
  </si>
  <si>
    <t>AufhebungsB EST-VZ 2021, geänd EST-VorauszlgsB 2023 +2024 ff, AblehnungsB Aufhebung UST-VZ 2021</t>
  </si>
  <si>
    <t xml:space="preserve">MD wg Herabnsetzungsbescheiden VZ ESt 2021+EStVorauszahlungen etc, Fragen vo ihm zu geänderten Ustvas </t>
  </si>
  <si>
    <t>Postgang MD div Schriftstücke</t>
  </si>
  <si>
    <t>Telversuch Vorberater wg Fibu-daten I/24</t>
  </si>
  <si>
    <t>GewStB 21021 erhalten, geprüft, MD wg Mahnung und SEPA-LEM</t>
  </si>
  <si>
    <t>Unterdeckung Fibu III/2024</t>
  </si>
  <si>
    <t>EÜR 2023, Verprobung USTVas und UST 2023, Suche Differenzen, Anpassungsbuchunben, Ust 10-12/2023 abgegrenzt, Est Berechnung 2023 neu, Est 2024 Planberechnung anhand aktueller BWA bis 10/2024</t>
  </si>
  <si>
    <t>Termin MD wg Ergebnisplanung/Steuer 2024+2023</t>
  </si>
  <si>
    <t>USTB SVZ 2025</t>
  </si>
  <si>
    <t>EÜR 2023, Ausbuchungen 1590, Lit wg Homeoffice, Ansatzwert ermittelt, Tel MD wg fehlender Belege, ES 2023 durchgesehen</t>
  </si>
  <si>
    <t>EB 2024 aktualisiert, Durchsicht 1780, DP Email MD, UST-Soll gebucht etc</t>
  </si>
  <si>
    <t>Unterdeckung Fibu IV/2024</t>
  </si>
  <si>
    <t>Rg Fibu und Lobu IV/24</t>
  </si>
  <si>
    <t>Termin bei mD wg Lobu/Fivbu, Klärung DP EWS 2024</t>
  </si>
  <si>
    <t>Bikramjit Singh</t>
  </si>
  <si>
    <t>Email an Md wh offenerRgen, Ablage Elsterauftrag und Email von ihm f 2023</t>
  </si>
  <si>
    <t>Singh</t>
  </si>
  <si>
    <t>Tel MD wg Änferungen ab 2025 bei EF = Autorenarbeit im Selbstverlag über Kindle, 13b auf Ausgangs- und Eigangsumsätze, Telko, ArbZ, Feragen zu Bitcoin-Habndel beantwortet und Sdteuer darauf, Fifo, Behaltensfrist, Freigrenze, Vergleichmit KapsT und wertpapier, ArbZ bei EF und BV-Eigenschadft erläutert, Fax FA wg USt-ISD-Nr Antrag</t>
  </si>
  <si>
    <t>B. Singh</t>
  </si>
  <si>
    <t>Email von md wg USTnummer iund wg benötigter UST-ID-Nummer, Antweort an ihn</t>
  </si>
  <si>
    <t>Sophienstr GbR</t>
  </si>
  <si>
    <t>Sophienstr</t>
  </si>
  <si>
    <t>Tel v Hrn palmer wg usscheiden Hr Eldag, Hinweis auf 10.-Jahresfrust dfie am 23.12.2024 abläuft, Vertrag eret i 2025 schließen!; § 11 Übergang von Anteilen ist besser als Kündigung und Neueitrit, Vorgang löst GrESt aus!</t>
  </si>
  <si>
    <t>Singh Khalsa</t>
  </si>
  <si>
    <t>MD hier wg Belegen 2019</t>
  </si>
  <si>
    <t>Khalsa</t>
  </si>
  <si>
    <t>Elsterversand EST+Ust+GewST+Anl EÜR 2020+2021</t>
  </si>
  <si>
    <t>EStB+GewstmeßB+GewVerlustB 2021, korr GewSterkl geelstert, Bref MD</t>
  </si>
  <si>
    <t>geänderter ewsrtmeßB+6VerlusdtB 2021, Brief MD</t>
  </si>
  <si>
    <t>Email von mD und Antwortemail wg GrSterkl</t>
  </si>
  <si>
    <t>Tel wg Mahnung zu offenen Rechnungen, Email an MD</t>
  </si>
  <si>
    <t>Höhn</t>
  </si>
  <si>
    <t>Elsterversamd ESt + UST+Gewst+EÜR 2019+2020</t>
  </si>
  <si>
    <t>Tobias Höhn</t>
  </si>
  <si>
    <t>GewstmeßB+EStB 2020 geprüft</t>
  </si>
  <si>
    <t>Judas</t>
  </si>
  <si>
    <t>Est 2020 ER mit neuen Angaben geändert, Email md</t>
  </si>
  <si>
    <t>Elsterversand 2 ESTerkl 2019+2 ESTerkl 2020</t>
  </si>
  <si>
    <t>ERSTBe er +Sie für 2019, Einspruch FA</t>
  </si>
  <si>
    <t>ESTBe 2020, Einspruch ESt 2020 er, umfangfeiche Email an MD</t>
  </si>
  <si>
    <t>ESTBe 2019 geändertet Bescheide, Email md, Zlgn verfolgt, Eispruch EST B 2019 Er</t>
  </si>
  <si>
    <t>Unterlagen von FA zu Einspruch ESTB 20419, Abgleuich, Email Fr Judas desdwegen, Fax FA wg Einspruchrücknahme bnicht beklanntgegeener EsTB 2020 hr Judas</t>
  </si>
  <si>
    <t>Email fA wg Einspruchsrücknahme 2019</t>
  </si>
  <si>
    <t>Löhl</t>
  </si>
  <si>
    <t>Unterdeckung 2021</t>
  </si>
  <si>
    <t>Daten von MD erhalten, UStVZ-B IV-2023 lesbar gemcaht (HEIC-Dateien), Rückspr PM</t>
  </si>
  <si>
    <t>P. Löhl</t>
  </si>
  <si>
    <t>Elsterversand usT+GewSt u. Anl EÜR 2022+Est 2022</t>
  </si>
  <si>
    <t>Termin Fr Löhl hier wg Fibu I/2024. Fragen wgen schlechtem Geschäftsgang und wg Verkauf SAV von ihr, Fragen zu Kostensenkung f StB-Kosten</t>
  </si>
  <si>
    <t>Arkenbosch</t>
  </si>
  <si>
    <t>Tel v Md wg GrStmeßB u Einspruch erweiteruingf (nein); wg Zwangsfgeldandrohungen</t>
  </si>
  <si>
    <t>Orhanli</t>
  </si>
  <si>
    <t>UST VA III/2023</t>
  </si>
  <si>
    <t>Elsterversand UST+GewSt+EÜR+ESt 2022</t>
  </si>
  <si>
    <t>EStB 202+ GewstmeßB 2022, Brief MD, Enspruch ESTB 2022 qwg EPP 300,- des EM</t>
  </si>
  <si>
    <t>Tel Fa wg Einspruch eStB 2022 E-Jkennzeichen/EPP nicht zugeflossen? Doch lt geänderter LST-Bescheibifung 2022 vom 25.02.2023, die mir nicht vorliegt, Einspruchsrückmnahme</t>
  </si>
  <si>
    <t>Ust-VA IV72023</t>
  </si>
  <si>
    <t>Tel v Rada wg Kaufvertrag Betrieb, Invverz gesendet, Tel MD, Vertrag kommentiert</t>
  </si>
  <si>
    <t>Datenimport Fibu 2023, EÜR 2023+Est 2023, Abgl Sav mit Verkaufsvertrag, Aufgabebilanz 01.01.2024</t>
  </si>
  <si>
    <t>DRV Prüfung 21-24, Kontenblätrter erstellt und SuSas, Email Rada</t>
  </si>
  <si>
    <t>Kubiak</t>
  </si>
  <si>
    <t>Anfrage FA zu ESt 2019, MF dedswegen, geänderte E-Bilanz übermittelt</t>
  </si>
  <si>
    <t>Mandatsbeendigungm, Fax MD, Ordner zusgestellt</t>
  </si>
  <si>
    <t>Tel MD wg Beleganholung, Telversuch FA wg Bescheiddifferenz</t>
  </si>
  <si>
    <t>Tel FA wg Prüfung EStB 2019, AfA-Liste neu entwickelt für Anl v Fr Kubiak</t>
  </si>
  <si>
    <t>Einspruch EStB 2019</t>
  </si>
  <si>
    <t>Daten der Buchführung 2019+2020 zusgestellt, Email ujnd Tel MD</t>
  </si>
  <si>
    <t>Haimann</t>
  </si>
  <si>
    <t>Unterdeckung GrStmeßB Erkl B99 Whg 7 REST (urspr 218,9)</t>
  </si>
  <si>
    <t>Elsterversand ESt 2023, Email v MD erhalte, Tel MD</t>
  </si>
  <si>
    <t>Tel FA wg Erinnerung Prüfung eSt 20213, Sache ist dort ein irrtum und Anfrage damit erledigt.</t>
  </si>
  <si>
    <t>SEPA-LEM vorbereitet</t>
  </si>
  <si>
    <t>Fac Sepa LEM an MD, Fax an FA mit kurzem Anschreiben FA</t>
  </si>
  <si>
    <t>GrStB 2025 ff, Prüfung, Tel mD</t>
  </si>
  <si>
    <t>Gabriel</t>
  </si>
  <si>
    <t>HD Borchardt</t>
  </si>
  <si>
    <t xml:space="preserve">Termin MD hier wg Vorwurf Beihilfe unerl StBeratung </t>
  </si>
  <si>
    <t>ESTB 2019m, Brief MD</t>
  </si>
  <si>
    <t>Café Salzbach</t>
  </si>
  <si>
    <t>Unterdeckung egf 2023= 240,- abzgl Teildeckung 18.02.25 DRV</t>
  </si>
  <si>
    <t>Skibicki GbR</t>
  </si>
  <si>
    <t>Email MD wg Frage nach Zusammenführung aller Tätigkeiten in eimne GbR</t>
  </si>
  <si>
    <t>Elsterversand UST+Gewst+EGF+EÜR 2023</t>
  </si>
  <si>
    <t>USTMitteilung 2023, Verrechnung gebucht, Email MD</t>
  </si>
  <si>
    <t>Tel v JS wg DRV Prüfung, Email</t>
  </si>
  <si>
    <t>Prüfberichte durchgesehen, Scan etc</t>
  </si>
  <si>
    <t>Mitteilung des FA auf Jahresmelder ab 2025 und Klein UU-Regel, Email an MD</t>
  </si>
  <si>
    <t>Kalaitzis</t>
  </si>
  <si>
    <t>Email md wg Mahnung Stadt DA 2 Stdgsraten</t>
  </si>
  <si>
    <t>Mahnung austehende Rate Stadt DA, Email MD</t>
  </si>
  <si>
    <t>Email md wg Mahnung Stadt DA, Fax Sdtadt FF;+DA wg Widerruf Vollmacht</t>
  </si>
  <si>
    <t>Ataxna</t>
  </si>
  <si>
    <t>Unterdeckung Fibu I-III/220</t>
  </si>
  <si>
    <t>Atmaxha Trans</t>
  </si>
  <si>
    <t>Ktoauszug FinkA, Änderung UStVA auf jährlich ab 2021</t>
  </si>
  <si>
    <t>Atmaxha</t>
  </si>
  <si>
    <t>Mahnung UST I-2021 an MD geeimailt</t>
  </si>
  <si>
    <t>Vollstreckungsankündigung Ust I/21 An MD</t>
  </si>
  <si>
    <t xml:space="preserve">Atmaxha </t>
  </si>
  <si>
    <t>Einspruch Ust SchätzB 2019+ Asbgabe USTerkl 2019+2020</t>
  </si>
  <si>
    <t>uSTVB 2019, Emnail MD</t>
  </si>
  <si>
    <t>Mahnung Ust 2019 an mD</t>
  </si>
  <si>
    <t>Mahnung Ust IV/2021, Email MD/Hr Berisha</t>
  </si>
  <si>
    <t>Kto FinKa Berlin erhalten, Abngl UST 2021, VA IV/21 gebucht, Tel Hr Berisha wg Belegen und Zahlungen etc</t>
  </si>
  <si>
    <t>Kto Finka erhalten, Abgleich, UST 2021 erKL VIERTES Quiartal ist unvollständig, Email MD wg Fragen zu UST 2021+I/2022</t>
  </si>
  <si>
    <t>Tel v Vertreter des MD wg Anmietung Mietwohnung etc</t>
  </si>
  <si>
    <t>Email AB wg Vollstreckungankündigung Ust 2019-2021</t>
  </si>
  <si>
    <t>Email md we neuer StNr</t>
  </si>
  <si>
    <t>Julian Fritz</t>
  </si>
  <si>
    <t>Termin MD hier wg Rechtsformberatung</t>
  </si>
  <si>
    <t xml:space="preserve">UST-Mitteilung 2022, </t>
  </si>
  <si>
    <t>GewstmeßB 2022+2024+GewVerlustB 12022 Pension, EStB 2022, Antwort an FA auf Anfrage im EStB, Brief MD</t>
  </si>
  <si>
    <t>Stephanie Ahting</t>
  </si>
  <si>
    <t>EStB 2018, Tel FA wg Rückfrage im Bescheid, Brief MD</t>
  </si>
  <si>
    <t>Stephie</t>
  </si>
  <si>
    <t>Est 2019</t>
  </si>
  <si>
    <t>Steffi</t>
  </si>
  <si>
    <t>Est 2019, tel mD, DVBX etc</t>
  </si>
  <si>
    <t>Elsterversand Est 2019</t>
  </si>
  <si>
    <t>P. Lotz</t>
  </si>
  <si>
    <t>geänderter Est-VorauszlgsB 2024 ff Aufhebung KiSt</t>
  </si>
  <si>
    <t>Patrick Lotz</t>
  </si>
  <si>
    <t>Elsterversand ESt 2021</t>
  </si>
  <si>
    <t>P.Lotz</t>
  </si>
  <si>
    <t>Tel MD wg Adressdaten</t>
  </si>
  <si>
    <t>Email Md wg Mahnung LST 12/2023, Aktenanlage verbessert</t>
  </si>
  <si>
    <t>Mutterschutzmeldung Fr Faust via SV-Meldeportal</t>
  </si>
  <si>
    <t>Übernahme Freigaber ins SV-Meldeportal</t>
  </si>
  <si>
    <t>PM wg Abrg 2022, Suche Digff</t>
  </si>
  <si>
    <t>Telversuch und Email an M sowieTEl MD wg Fragen zu Est 2022, Elsterversand EST+UST+EÜR 2022</t>
  </si>
  <si>
    <t>Fax FA wg DRV-Bescheinigung 2022</t>
  </si>
  <si>
    <t>Aufgheungsnatrag KiSt Vorauszlgna ab 2024 Fax FA</t>
  </si>
  <si>
    <t>Email Md wg Vollstreckungsankündigung UST+SZ 2022</t>
  </si>
  <si>
    <t>Fax FA Sepa-LEM, Scan etc</t>
  </si>
  <si>
    <t>Maciuca</t>
  </si>
  <si>
    <t>Änderungen in Esterkl 2020, Email MD</t>
  </si>
  <si>
    <t>GewStmeßB 2021, Brief MD</t>
  </si>
  <si>
    <t>EB-Werte Maschinenverkleih vorgetragen nach 2021), Tel MD wg fehlender Unterlagen</t>
  </si>
  <si>
    <t>Sophie GbR</t>
  </si>
  <si>
    <t>Bestellung Simba</t>
  </si>
  <si>
    <t>A. Löhl</t>
  </si>
  <si>
    <t>Elsterversand usT+GewSt u. Anl EÜR 2022</t>
  </si>
  <si>
    <t>Tel v MD wg RG, PM wg Ermahnung UST III/24 verspätet</t>
  </si>
  <si>
    <t>VZB UST III/2024, Brief MD</t>
  </si>
  <si>
    <t>Check Fibu 03+04/2024, Buchungsläufe auf Monate auftgetilt, Fibu-Ordner zt neu sortiert, Email BD wg Kasse 04/24</t>
  </si>
  <si>
    <t>Lotus Outreach</t>
  </si>
  <si>
    <t>Fibu 2017-2019 gebucht</t>
  </si>
  <si>
    <t>Fibu 2017-2019 gebucht, RL 2017-2019, RL-Emtwickllung, Ksterk, Anschr MD etc</t>
  </si>
  <si>
    <t>Lotus</t>
  </si>
  <si>
    <t>TerminM D hier wg KSt 2019</t>
  </si>
  <si>
    <t>Elsterversand KSt 2019</t>
  </si>
  <si>
    <t>Tel v FA wg weitere Unterklagen, Email FA wg Letters of Understanduing, Tel MD wg Erklärung Sachstand, frage nach neuer Satzung</t>
  </si>
  <si>
    <t>Anfrage des Fa zu KSt 20-22 bearbneitet, per Elster-Online</t>
  </si>
  <si>
    <t>Wagner</t>
  </si>
  <si>
    <t>EStB 2018. Litz, Einspruch, Brief MD</t>
  </si>
  <si>
    <t>Est 219, Telversuch MD</t>
  </si>
  <si>
    <t>Richard Wagner</t>
  </si>
  <si>
    <t>EST 2019, neue Belege zu Jkindergarten, Auslandseinkünften und Anl V erfasst, Tel md wg Dicff bei Auslandseinkünften zwische  LStAnmeldungebn und LSt-Bescheinigungen, Druck, Belegkopien etc</t>
  </si>
  <si>
    <t>Tel v MD wg Est 2019 und agB bzw. Mögl Stlöast zu senken, Wo kommt Nachzahlung her? Erläutert</t>
  </si>
  <si>
    <t>nachgereichte Unterl Verarbeitet (nur Ablage), Tel md wg keiner weiteren Änderng, Elsterversand, Rg</t>
  </si>
  <si>
    <t>geänd EStB 2018, Brief MD, Lit wg Ansetzbarkeit Vorsorgeaufwand, Tel MD, Einspruchsrücknahme</t>
  </si>
  <si>
    <t>Rückert/Wanderer</t>
  </si>
  <si>
    <t>Vollmacht, Email md. Stammdatzen erfasst</t>
  </si>
  <si>
    <t>Wanderer</t>
  </si>
  <si>
    <t>Email FA wg Vollmacht und Fristverl fg 2022</t>
  </si>
  <si>
    <t>Mahnung ESt IV/2023, Brief md</t>
  </si>
  <si>
    <t>Rücker/Wanderer</t>
  </si>
  <si>
    <t>Mahnung ESt I/2024, Brief MD</t>
  </si>
  <si>
    <t>Rücker</t>
  </si>
  <si>
    <t>MD er wg neuer St-NR EÜR Muiker</t>
  </si>
  <si>
    <t>Kerssenbrock</t>
  </si>
  <si>
    <t>Ersttermin wg Seuerhiterziehung und Abgabe ESTerkl ab 2006, Fragen zu 1% Regel et, Schädemn Kfz und WK (1 Std Termin + Recherche und Tel MD wg 300,- +400,- Unfall+Rep-Kosten berufl Kfz der EF</t>
  </si>
  <si>
    <t>Henkel</t>
  </si>
  <si>
    <t>Elsterversand EST 2019+2020+2021+2022+2023, Ablage Elsterauftrag</t>
  </si>
  <si>
    <t>EStBe 2021-2023, Brief MD</t>
  </si>
  <si>
    <t>Estbe er + sie 2020, brief md, mahnung an md</t>
  </si>
  <si>
    <t>Ratenstundungsantrag ESt 2019-2023</t>
  </si>
  <si>
    <t>Stdgsantrag geändert lt Tel mit FA (HrTrippp) vom Vortag)</t>
  </si>
  <si>
    <t>Brief MD wg SZ zur Ratenzlg</t>
  </si>
  <si>
    <t>Stundungsbescheide und ZinsBe zur Stundung, Brief MD</t>
  </si>
  <si>
    <t>geänderter EST-VorauszlgsB 2024 ff vom 04.10.2024, Brief MD</t>
  </si>
  <si>
    <t>Mahnung EST 2023 an MD</t>
  </si>
  <si>
    <t>Vollstreckungsankündigung EST 2023, Brief MD</t>
  </si>
  <si>
    <t>Mahnung Rate EST 2022 vom 03.12.24, Brief MD</t>
  </si>
  <si>
    <t>Zarzuela</t>
  </si>
  <si>
    <t>Termin MD hier w EST 2016-20200+Elster-Versand ESt 2016-2020</t>
  </si>
  <si>
    <t>Zarzuela Perez</t>
  </si>
  <si>
    <t>Elsterversand Est+´2022+2023</t>
  </si>
  <si>
    <t>Pollul</t>
  </si>
  <si>
    <t>Termin dort wg GrStB etc</t>
  </si>
  <si>
    <t>GrstmeßB 2022 f Zuwegungsgrundstück, Brief MD</t>
  </si>
  <si>
    <t>Tosatto</t>
  </si>
  <si>
    <t>Tel v MD wg Esterkl 20+21 und Frisdten etc</t>
  </si>
  <si>
    <t>Carvajal</t>
  </si>
  <si>
    <t>Tel v MD wg Esterkl 21+22 und Kosten etc</t>
  </si>
  <si>
    <t>Miletzki</t>
  </si>
  <si>
    <t>Termin MD er EZB sie poln Künstlerin, Restart Künstlertätigkeit in D nach PL</t>
  </si>
  <si>
    <t>Miletztki</t>
  </si>
  <si>
    <t>Termin MD hier wg Fragebogen steeliche Erfa</t>
  </si>
  <si>
    <t>Lastenouse</t>
  </si>
  <si>
    <t>Druck ETSerkl 2023 als pdf ( 2 x EST+ EGF)</t>
  </si>
  <si>
    <t>Lastebouse</t>
  </si>
  <si>
    <t>Korr Anlage zur Anlage V 2023 und Anl KAP Er, Email MD</t>
  </si>
  <si>
    <t>Senkovic</t>
  </si>
  <si>
    <t>Elsterversand EST 2023 (2 x)+EGF 2023</t>
  </si>
  <si>
    <t>Cavalcanti</t>
  </si>
  <si>
    <t>Est 2019 Daten erfasst</t>
  </si>
  <si>
    <t>Tel mit MD wg Angabe eSt 2019 (2016 ff), Vollmachrt gesendet</t>
  </si>
  <si>
    <t>Milewska</t>
  </si>
  <si>
    <t>ESt 2022 geändert, Rückfragen MD beantwortet, Email MD</t>
  </si>
  <si>
    <t>Elsterversand eSt+Ust+EÜR 2022</t>
  </si>
  <si>
    <t>Anna Milewska</t>
  </si>
  <si>
    <t>Backöfer erben</t>
  </si>
  <si>
    <t>GrStmeßB 2022 Whg 2+5+6, Brief MD</t>
  </si>
  <si>
    <t>Aktennotiz und Lit wg 5-telregel Abfindung 2022 638 TEUR; Tel EM wg weiterer Daten (durchschnittl. Jahresgehalt) und Ergebnis</t>
  </si>
  <si>
    <t>Umbuchungsantrag per Email an FA</t>
  </si>
  <si>
    <t>Idriss Nor</t>
  </si>
  <si>
    <t>Rentenanfrage der Muitter bearbeitet, Email an MD, Aktennotiz</t>
  </si>
  <si>
    <t>Inge Sattler</t>
  </si>
  <si>
    <t>EStB+VerlustB 2021, Brief MD</t>
  </si>
  <si>
    <t>Trifonopoulou</t>
  </si>
  <si>
    <t>Tel MD wg ESt 2021 und Veranlagungsdauer, Rentenhinzuverdiensdtgrenze</t>
  </si>
  <si>
    <t>ELSTERversand Est 2021, Daten zuvor geändert bzw Feghler geprüft und beseitigt</t>
  </si>
  <si>
    <t>EST 2022 FA-Beledaten abgerufen, uin eSt 1A erfasst, Est 1c-Formular vorbereitet idurch Simba-Mandantenanlage</t>
  </si>
  <si>
    <t>EStB 2021 geprüft, Email MD, Lit wg ESt ab 2022, EST f beschränkte St-Pflicht vorbereitet 2022, Datenabruf 2022,</t>
  </si>
  <si>
    <t>Kuric</t>
  </si>
  <si>
    <t>Elsterversand ESt 2021, Ablage</t>
  </si>
  <si>
    <t>Tel v MD wg Esterkl 2022+2023, kerine Pflichtveranlagung etc</t>
  </si>
  <si>
    <t>Gemeinder</t>
  </si>
  <si>
    <t>Elsterversand Est 2022+2023</t>
  </si>
  <si>
    <t>ESTB 2022+2023, Brief MD</t>
  </si>
  <si>
    <t>Hoffbuhr</t>
  </si>
  <si>
    <t xml:space="preserve">ESt 2022. </t>
  </si>
  <si>
    <t>Hajo</t>
  </si>
  <si>
    <t>ESTB 2022 er und Sie (nur Datenabruf)</t>
  </si>
  <si>
    <t>Edith</t>
  </si>
  <si>
    <t>EST 2020, Anl N er, Datenabruf eingespielt, Durchsuicht, Tel md wg weiterer Unterlagen, Tel Heizungsbau Behrens, 2 rtgen erhalten</t>
  </si>
  <si>
    <t>Edith Brunssen</t>
  </si>
  <si>
    <t xml:space="preserve">ESTB 2020, Tel md </t>
  </si>
  <si>
    <t>EST 2021 begonnen</t>
  </si>
  <si>
    <t>Datenimport Bankkonto sie und Helmut, zuvor Excel kontiert und formatiert, Schnittstelle erstellt, für VuVs</t>
  </si>
  <si>
    <t>ESt 2021, Email MD</t>
  </si>
  <si>
    <t>Tel v MD wg Mahnung EST 2022 591,-, Tel FA, RR MD</t>
  </si>
  <si>
    <t>2 x Tel Bodo, Tel FA, Tel Edith wg ESTB 2022 und Mahnung etc</t>
  </si>
  <si>
    <t>Est 2023, Bank verbucht, Belege mit Simba verknüpft, EsT erfasst, Anschr MD</t>
  </si>
  <si>
    <t>Termin PetMax wg Fibu 2021</t>
  </si>
  <si>
    <t>S. Duch</t>
  </si>
  <si>
    <t>GewstmeßB 2021+VerlustB 2021+GewSTmeßB 2024 FF , Brief MD</t>
  </si>
  <si>
    <t>Jentzsch</t>
  </si>
  <si>
    <t>ESt 2021</t>
  </si>
  <si>
    <t>EStB 2021, Email mD</t>
  </si>
  <si>
    <t>GrStmeßB 2022, Email mD</t>
  </si>
  <si>
    <t>ESt 2022, Whatsapp wg Fragen An MD</t>
  </si>
  <si>
    <t>Esterkl 2023, Bank gebucht, Esterkl erstellt, Druck</t>
  </si>
  <si>
    <t>Rathmann</t>
  </si>
  <si>
    <t>Durchsicht, Zustellung von pdf-Unterlagen f MD f EST/EÜR 2023</t>
  </si>
  <si>
    <t>Yaman</t>
  </si>
  <si>
    <t>EÜR 2023 Rest, Drck, Abnschr etc, Esterkl 2023, Tel Rada wg Schornsteinfegerrechnung und -zahlung</t>
  </si>
  <si>
    <t>Löhne, Fibu, Vorbereitung Abgang PM</t>
  </si>
  <si>
    <t>Spratley</t>
  </si>
  <si>
    <t>Est 2024 Rest wg HO-Tagen, Druck, Email Md</t>
  </si>
  <si>
    <t xml:space="preserve">MD hier wg Löhnen </t>
  </si>
  <si>
    <t>ZD wg EST 2023, Rg etc</t>
  </si>
  <si>
    <t>L&amp;S KG</t>
  </si>
  <si>
    <t>Gesamtcheck, so RSt, Darl GAN abgestimmt, Gesellscafterdarl verzinst 2071+2072, Fragenliste, Check, was bnich fehlt, Gewnnverteilungsrechnung vorbereitet, UST-VA-Abgl erneuerrt f JA 2023</t>
  </si>
  <si>
    <t>von Bönner</t>
  </si>
  <si>
    <t>USTB 12/2024 geprüft m dazu Datenaus Lexware abgerufen, Email Md auch wg UST VA-Abgabe ab 2025, Beratugshinweis dazu</t>
  </si>
  <si>
    <t>Fax MD wg Umbuchungsmitteilung</t>
  </si>
  <si>
    <t>Fax Fa wg Stellungnahme zu Zwangsgeld 2022</t>
  </si>
  <si>
    <t xml:space="preserve">Telversuch FA wg Rückfragen zu UST VA 10/2024, Tel Hr Pfeilsticker wg Korrekturen und geänderter UST-VA, </t>
  </si>
  <si>
    <t>JA 2023, Tel MD wg weiterer Unterlagen, UrölRSt+ÜberstundenRSt+ArchivRSt neu gerechnet. Gewinnverteilung geändert, Anhang vorbereitet mit Vblk-Spiegel, Bankenabgl etc</t>
  </si>
  <si>
    <t>Tel Fr Metternich wg Auszug VB zum Todestag, V-Aufstellug f AG Kö geäbndert, Email Fr Metternich</t>
  </si>
  <si>
    <t>Creditreformfragebogen restausgefüllt, tel Md wg Anfgaben, Email MD</t>
  </si>
  <si>
    <t>2 Mitarbeiter in Simba angelegt, 1 oin Liobu, SDAK SEPA-LEM</t>
  </si>
  <si>
    <t>LSt-Jahresmeldung 2024 (Nullmeldung) per ELSTER</t>
  </si>
  <si>
    <t>Tel Fr Becke wg LST-BP-Daten , Emailversand</t>
  </si>
  <si>
    <t>geänderter GewstmeßB 2023+EGFB 2023, Brief MD</t>
  </si>
  <si>
    <t>Kirchmair</t>
  </si>
  <si>
    <t>KStB+KSTVerlustB+GewSTmeßB+GewverlustB+KST-BMG-B 2023, Brief MD</t>
  </si>
  <si>
    <t>geänderter ESTB 2022, Brief MD, Tel Bema wg Mietvertrag</t>
  </si>
  <si>
    <t>60095 Fleischer geänderter EsTB 2023, Briedf mD</t>
  </si>
  <si>
    <t>L&amp;S GmbH &amp; Co</t>
  </si>
  <si>
    <t>Akte angelegt, nachgereicjhten Beleg zu Löhnen Wiesnaden in Gewst berücksichtigt</t>
  </si>
  <si>
    <t>DRV-Prüfung, Nachrechnung Erstattungsguthaben 11+12/24, Email AIK wg Erstattungsverfahren, Brief MD wg Nachzahklungen und BVBs</t>
  </si>
  <si>
    <t>GdpdU-Lohndaten erzeugt, CB+KL wg Fibu 2023, Tel DATEV wg Fehlermeldungen</t>
  </si>
  <si>
    <t>Durchsicht EST+EÜR 2023</t>
  </si>
  <si>
    <t>nicht abr.bar</t>
  </si>
  <si>
    <t>G. Habton</t>
  </si>
  <si>
    <t>Prüfung Fibu 11,2024, 2 Telefonate MD (fehlende Z-Bons), Prüfung Z-Bons, Versand UVA 11,2024</t>
  </si>
  <si>
    <t>Lohnabrechnungen Januar 2025 inkl. Prüfung Kontierungen f. Buchungsbeleg</t>
  </si>
  <si>
    <t>Einbuchen Fibu 12,2024-&gt; Zuordnung Kassenbons zu Bank/Kasse (Belegsortierung) Mail an MD wg. Bareinzahlung</t>
  </si>
  <si>
    <t>Telefonat MD wg. Bareinzahlung in 12,2024, Abruf UVA 12,2024+DFV 2025, Erstellung berichtigte UVAs 4 Monate</t>
  </si>
  <si>
    <t>Achim Andersch</t>
  </si>
  <si>
    <t>Mail an MD wg. Fehlender Angaben auf RV Befreiungsanträgen</t>
  </si>
  <si>
    <t>Descom GmbH</t>
  </si>
  <si>
    <t>Lohnabrechnungen Januar 2025</t>
  </si>
  <si>
    <t>Peter Kühn</t>
  </si>
  <si>
    <t>Franz Pfaff Gmbh</t>
  </si>
  <si>
    <t>Breu GmbH</t>
  </si>
  <si>
    <t>Prüfung Fibu+Verand UVA/ZM 01,2025</t>
  </si>
  <si>
    <t>Telefonat MD + Versand letzter Freistellungsbescheid wg- Liquidation</t>
  </si>
  <si>
    <t>Lohnabrechnungen Februar 2025 (Eingabe Stunden, Mail an MD  wg. Fehlender Angaben neue MA</t>
  </si>
  <si>
    <t>Michael Hoffmann</t>
  </si>
  <si>
    <t>Heiko Bolz</t>
  </si>
  <si>
    <t>Prüfung Fibu 01,2025, Versand BWA</t>
  </si>
  <si>
    <t>Thomas Hess</t>
  </si>
  <si>
    <t>Prüfung Fibu 01,2025</t>
  </si>
  <si>
    <t>Hess&amp;Reiter oHG</t>
  </si>
  <si>
    <t>Prüfung Fibu+Versand UVA 01,2025 inkl. Rücksprache MD+Abstimmung OPOS, Korrektur UVA 11+12,2024, DFV</t>
  </si>
  <si>
    <t>Schmidt Horses</t>
  </si>
  <si>
    <t>PM Fragebogen steuerliche Erfassung</t>
  </si>
  <si>
    <t>S. Dyusak</t>
  </si>
  <si>
    <t>ZD Besprechnung Fibu 01,2025</t>
  </si>
  <si>
    <t>Berechnung Nachzahlung Nettogehalt Hr. Lovric wg. Vergessener Provision, Mail an MD</t>
  </si>
  <si>
    <t>Umbau Büroraum</t>
  </si>
  <si>
    <t xml:space="preserve">HA Fragebogen steuerliche Erfassung, Vorbereitung Vollmacht, </t>
  </si>
  <si>
    <t>Pro Clienta Unfall- und Patientenhilfe GmbH, Telefonat Frank Höhny + Besprechnung HA wg. Mandatsübernahme</t>
  </si>
  <si>
    <t xml:space="preserve">Prüfung Fibu+Versand UVA 01,2025  </t>
  </si>
  <si>
    <t>Eufemio Cason</t>
  </si>
  <si>
    <t>UVA 01,2025</t>
  </si>
  <si>
    <t>PM Probeabrechnung für Frau Carter 02,2025 (Testmitarbeiter über Reitstall angelegt)</t>
  </si>
  <si>
    <t>S. Borkowski</t>
  </si>
  <si>
    <t>JA 2023</t>
  </si>
  <si>
    <t>Prüfung Fibu+Versand UVA 01,2025 inkl. Abstimmung Verb. Lohn</t>
  </si>
  <si>
    <t>Prüfung Fibu Januar 2025</t>
  </si>
  <si>
    <t xml:space="preserve">Lohnabrechnungen Februar 2025  </t>
  </si>
  <si>
    <t>Lohnabrechnungen Februar 2025 (Neueanlage 1 MA, Mail an MD wg. Fehlender Angaben</t>
  </si>
  <si>
    <t>JA+StE 2023</t>
  </si>
  <si>
    <t>JA 2024 (Übernahme EB Werte, Umbuchungen BDK Darlehen, Umbuchungen Ust-&gt;AbStimmung Kto. FA, Erfassen AV, Prüfung/Umbuchen Hinterziehungszinsen</t>
  </si>
  <si>
    <t>Prof. Fritz</t>
  </si>
  <si>
    <t>Prüfung Fibu+Versand UVA 01,2025</t>
  </si>
  <si>
    <t>Elisabeth Fritz</t>
  </si>
  <si>
    <t xml:space="preserve">Klaus Ahting </t>
  </si>
  <si>
    <t>Prüfung Fibu 01,2025, Abstimmung Kto. 3816, Aufstellung zu klärende Posten, Mail an MD</t>
  </si>
  <si>
    <t>Klaus Ahting Immoblien</t>
  </si>
  <si>
    <t>Prüfung Fibu 01,2025, Aufstellung zu klärende Posten</t>
  </si>
  <si>
    <t>UBX GmbH</t>
  </si>
  <si>
    <t>Telefonat MD, Mail an MD Aufstellungen Arbeitsstunden 2019 und 2024 (anhand VBG Meldungen)</t>
  </si>
  <si>
    <t>Arbeitsbescheinigung A. Cristea</t>
  </si>
  <si>
    <t>Darko Balen</t>
  </si>
  <si>
    <t>Telefonat FA wg. Lst-Dten EM</t>
  </si>
  <si>
    <t>Patrick Arkenbosch</t>
  </si>
  <si>
    <t>MD Gespräch Belege 2023/2024</t>
  </si>
  <si>
    <t>Günter Dölp</t>
  </si>
  <si>
    <t>ZD Besprechung agB 2023</t>
  </si>
  <si>
    <t>Bas9 GbR</t>
  </si>
  <si>
    <t>Prüfung Fibu 01,2025, Besprechung ZD wg. Kassenbuch</t>
  </si>
  <si>
    <t>IC Einweisung Fibu 01,2025</t>
  </si>
  <si>
    <t>Kornelia Rathmann</t>
  </si>
  <si>
    <t>Fibu 2023, EÜR+Aufgabebilanz 2023</t>
  </si>
  <si>
    <t>JA+StE 2023 (Scann Bankbelege, Korrektur Bilanz+Formular EÜR, Korrespondenz MD, Versand an MD)</t>
  </si>
  <si>
    <t xml:space="preserve">IC Fibu 01,2025, Besprechung Kreditorenbuchhaltung, Durchsicht Fibu </t>
  </si>
  <si>
    <t>Reitstall Kronberg</t>
  </si>
  <si>
    <t>IC Fibu IV/2024, Einweisung Mandat inkl. Dauerbuchungen, Liebhaberei, Ust-Pflicht, Aufteilung Wareneingänge, GruppenUV</t>
  </si>
  <si>
    <t>Florean Reiter</t>
  </si>
  <si>
    <t>Est Erklärung 2023, Erfassung Steuer-ID-Nummern Kinder, Korrektur EÜR Autorentätigkeit, Erfassung EaKap aus InStRL, Vorbereitung Versand</t>
  </si>
  <si>
    <t>MD Gespräch Lohnabrechnungen L. Güles, Aufstellung zu Lohnabrechnungen 09,2024-02,2025</t>
  </si>
  <si>
    <t>Fotostudion"das portrait"</t>
  </si>
  <si>
    <t>Neuanlage Fibu 01,2025, Telefonate+Mail MD wg. Verträgen (Miete, Leasing, Darlehen)</t>
  </si>
  <si>
    <t>Telefonat MD wg. Barzahlungen+Teile für Balkonkraftwerk</t>
  </si>
  <si>
    <t>Telefona DATEV wg. Auswertung UV in Excel</t>
  </si>
  <si>
    <t>Aufstellung fehlende Belege 01,2025, Telefonat FA wg unklarer Zahlung, Mail an MD</t>
  </si>
  <si>
    <t>Telefonat FA, Telefonat/elektornischer Antrag an DRV, Mail an MD wg. Anforderung Rentenvezugsmitteilung</t>
  </si>
  <si>
    <t>IC Besprechnung Fibu IV/24 (G+V etc)</t>
  </si>
  <si>
    <t>Est 2023, Prüfung Est, Erfassen LSt Bescheinigung EM, Korrekturen, Druck (erstellt IC)</t>
  </si>
  <si>
    <t>Fibu 11,2024</t>
  </si>
  <si>
    <t>S. Duysak</t>
  </si>
  <si>
    <t>10220/10221</t>
  </si>
  <si>
    <t xml:space="preserve">Katrin Hoffmann </t>
  </si>
  <si>
    <t>Fibu 10,2024</t>
  </si>
  <si>
    <t xml:space="preserve">Breu Deutschland </t>
  </si>
  <si>
    <t>Debitoren 12,2024</t>
  </si>
  <si>
    <t>Base9GbR</t>
  </si>
  <si>
    <t>OPOs</t>
  </si>
  <si>
    <t>Prof.Dr. Fritz</t>
  </si>
  <si>
    <t>Dr. Gabriele Reiss</t>
  </si>
  <si>
    <t>Nachb. Fibu 2023</t>
  </si>
  <si>
    <t>Günter u. Lieselotte Dölp</t>
  </si>
  <si>
    <t>aB 2023</t>
  </si>
  <si>
    <t>ESt 2023</t>
  </si>
  <si>
    <t>Fibu 12,2024</t>
  </si>
  <si>
    <t>Fibu IV/2024</t>
  </si>
  <si>
    <t>Breu Deutschland GmbH</t>
  </si>
  <si>
    <t xml:space="preserve">OPOS </t>
  </si>
  <si>
    <t>Hair &amp; Beauty</t>
  </si>
  <si>
    <t>Janine Bernstein</t>
  </si>
  <si>
    <t>Fibu 01,2025</t>
  </si>
  <si>
    <t>Fibu 01,2025+ neuer Ordner</t>
  </si>
  <si>
    <t>Fibu 01,2025 + neuer Ordner</t>
  </si>
  <si>
    <t>Kommentar</t>
  </si>
  <si>
    <t>Fakturierung über Simba/Excel, Consulting</t>
  </si>
  <si>
    <t>18:15-20:15</t>
  </si>
  <si>
    <t>Einarbeiten SIMBA Fakturierung</t>
  </si>
  <si>
    <t>19:00-19:45</t>
  </si>
  <si>
    <t>Tests OneDrive-Zugriff im Netzwerk, VPN, Beratung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</si>
</sst>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 #,##0.00\ [$€]_-;_-* \-??\ [$€]_-;_-@_-"/>
    <numFmt numFmtId="165" formatCode="#,##0.00&quot; €&quot;"/>
    <numFmt numFmtId="166" formatCode="#,##0.00\ _€"/>
  </numFmts>
  <fonts count="6">
    <font>
      <sz val="10"/>
      <name val="Arial"/>
      <family val="2"/>
    </font>
    <font>
      <b/>
      <sz val="11"/>
      <color indexed="8"/>
      <name val="Calibri"/>
      <family val="2"/>
    </font>
    <font>
      <b/>
      <sz val="18"/>
      <color indexed="56"/>
      <name val="Cambria"/>
      <family val="2"/>
    </font>
    <font>
      <b/>
      <sz val="10"/>
      <name val="Arial"/>
      <family val="2"/>
    </font>
    <font>
      <sz val="10"/>
      <name val="Arial"/>
      <family val="2"/>
    </font>
    <font>
      <sz val="10"/>
      <name val="Calibri"/>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indexed="62"/>
      </top>
      <bottom style="double">
        <color indexed="62"/>
      </bottom>
      <diagonal/>
    </border>
    <border>
      <left/>
      <right/>
      <top/>
      <bottom style="thin">
        <color indexed="8"/>
      </bottom>
      <diagonal/>
    </border>
    <border>
      <left/>
      <right/>
      <top/>
      <bottom style="thin">
        <color indexed="64"/>
      </bottom>
      <diagonal/>
    </border>
  </borders>
  <cellStyleXfs count="5">
    <xf numFmtId="0" fontId="0" fillId="0" borderId="0"/>
    <xf numFmtId="0" fontId="1" fillId="0" borderId="1" applyNumberFormat="0" applyFill="0" applyAlignment="0" applyProtection="0"/>
    <xf numFmtId="164" fontId="4" fillId="0" borderId="0" applyFill="0" applyBorder="0" applyAlignment="0" applyProtection="0"/>
    <xf numFmtId="0" fontId="4" fillId="0" borderId="0"/>
    <xf numFmtId="0" fontId="2" fillId="0" borderId="0" applyNumberFormat="0" applyFill="0" applyBorder="0" applyAlignment="0" applyProtection="0"/>
  </cellStyleXfs>
  <cellXfs count="48">
    <xf numFmtId="0" fontId="0" fillId="0" borderId="0" xfId="0"/>
    <xf numFmtId="0" fontId="0" fillId="0" borderId="0" xfId="0" applyAlignment="1">
      <alignment vertical="top"/>
    </xf>
    <xf numFmtId="0" fontId="0" fillId="0" borderId="0" xfId="0" applyAlignment="1">
      <alignment horizontal="center"/>
    </xf>
    <xf numFmtId="2" fontId="0" fillId="0" borderId="0" xfId="0" applyNumberFormat="1"/>
    <xf numFmtId="14" fontId="0" fillId="0" borderId="0" xfId="0" applyNumberFormat="1"/>
    <xf numFmtId="14" fontId="0" fillId="0" borderId="0" xfId="0" applyNumberFormat="1" applyAlignment="1">
      <alignment horizontal="left" vertical="center"/>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Alignment="1">
      <alignment vertical="center" wrapText="1"/>
    </xf>
    <xf numFmtId="165" fontId="0" fillId="0" borderId="0" xfId="0" applyNumberFormat="1" applyAlignment="1">
      <alignment vertical="center"/>
    </xf>
    <xf numFmtId="4" fontId="0" fillId="0" borderId="0" xfId="0" applyNumberFormat="1" applyAlignment="1">
      <alignment vertical="center"/>
    </xf>
    <xf numFmtId="0" fontId="0" fillId="0" borderId="0" xfId="0" applyAlignment="1">
      <alignment vertical="center"/>
    </xf>
    <xf numFmtId="14" fontId="3" fillId="0" borderId="2" xfId="0" applyNumberFormat="1" applyFont="1" applyBorder="1" applyAlignment="1">
      <alignment horizontal="left" vertical="center" wrapText="1"/>
    </xf>
    <xf numFmtId="0" fontId="3" fillId="0" borderId="2" xfId="0" applyFont="1" applyBorder="1" applyAlignment="1">
      <alignment horizontal="center" vertical="center" wrapText="1"/>
    </xf>
    <xf numFmtId="165" fontId="3" fillId="0" borderId="2" xfId="0" applyNumberFormat="1" applyFont="1" applyBorder="1" applyAlignment="1">
      <alignment horizontal="center" vertical="center" wrapText="1"/>
    </xf>
    <xf numFmtId="4" fontId="3" fillId="0" borderId="2" xfId="0" applyNumberFormat="1" applyFont="1" applyBorder="1" applyAlignment="1">
      <alignment vertical="center" wrapText="1"/>
    </xf>
    <xf numFmtId="0" fontId="3" fillId="0" borderId="2" xfId="0" applyFont="1" applyBorder="1" applyAlignment="1">
      <alignment vertical="center" wrapText="1"/>
    </xf>
    <xf numFmtId="0" fontId="3" fillId="0" borderId="0" xfId="0" applyFont="1" applyAlignment="1">
      <alignment vertical="center" wrapText="1"/>
    </xf>
    <xf numFmtId="14" fontId="0" fillId="0" borderId="0" xfId="0" applyNumberFormat="1" applyAlignment="1">
      <alignment vertical="center"/>
    </xf>
    <xf numFmtId="0" fontId="0" fillId="0" borderId="0" xfId="0" applyAlignment="1">
      <alignment horizontal="left" vertical="center"/>
    </xf>
    <xf numFmtId="4" fontId="0" fillId="0" borderId="0" xfId="0" applyNumberFormat="1" applyAlignment="1">
      <alignment horizontal="left" vertical="center"/>
    </xf>
    <xf numFmtId="4" fontId="0" fillId="0" borderId="3" xfId="0" applyNumberFormat="1" applyBorder="1" applyAlignment="1">
      <alignment vertical="center"/>
    </xf>
    <xf numFmtId="165" fontId="0" fillId="0" borderId="3" xfId="0" applyNumberFormat="1" applyBorder="1" applyAlignment="1">
      <alignment vertical="center"/>
    </xf>
    <xf numFmtId="4" fontId="0" fillId="2" borderId="0" xfId="0" applyNumberFormat="1" applyFill="1" applyAlignment="1">
      <alignment vertical="center"/>
    </xf>
    <xf numFmtId="0" fontId="0" fillId="2" borderId="0" xfId="0" applyFill="1" applyAlignment="1">
      <alignment vertical="center" wrapText="1"/>
    </xf>
    <xf numFmtId="14" fontId="0" fillId="2" borderId="0" xfId="0" applyNumberFormat="1" applyFill="1" applyAlignment="1">
      <alignment horizontal="left" vertical="center"/>
    </xf>
    <xf numFmtId="0" fontId="0" fillId="2" borderId="0" xfId="0" applyFill="1" applyAlignment="1">
      <alignment horizontal="center" vertical="center"/>
    </xf>
    <xf numFmtId="0" fontId="0" fillId="0" borderId="0" xfId="0" applyAlignment="1">
      <alignment wrapText="1"/>
    </xf>
    <xf numFmtId="165" fontId="0" fillId="2" borderId="0" xfId="0" applyNumberFormat="1" applyFill="1" applyAlignment="1">
      <alignment vertical="center"/>
    </xf>
    <xf numFmtId="165" fontId="0" fillId="2" borderId="0" xfId="0" applyNumberFormat="1" applyFill="1" applyAlignment="1">
      <alignment horizontal="center" vertical="center"/>
    </xf>
    <xf numFmtId="4" fontId="0" fillId="2" borderId="3" xfId="0" applyNumberFormat="1" applyFill="1" applyBorder="1" applyAlignment="1">
      <alignment vertical="center"/>
    </xf>
    <xf numFmtId="14" fontId="0" fillId="0" borderId="0" xfId="0" applyNumberFormat="1" applyAlignment="1">
      <alignment wrapText="1"/>
    </xf>
    <xf numFmtId="0" fontId="0" fillId="0" borderId="0" xfId="0" applyAlignment="1">
      <alignment horizontal="center" wrapText="1"/>
    </xf>
    <xf numFmtId="2" fontId="0" fillId="0" borderId="0" xfId="0" applyNumberFormat="1" applyAlignment="1">
      <alignment wrapText="1"/>
    </xf>
    <xf numFmtId="14" fontId="3" fillId="0" borderId="3" xfId="0" applyNumberFormat="1" applyFont="1" applyBorder="1" applyAlignment="1">
      <alignment horizontal="right" vertical="top" wrapText="1"/>
    </xf>
    <xf numFmtId="14" fontId="3" fillId="0" borderId="3" xfId="0" applyNumberFormat="1" applyFont="1" applyBorder="1" applyAlignment="1">
      <alignment horizontal="center" vertical="top" wrapText="1"/>
    </xf>
    <xf numFmtId="0" fontId="3" fillId="0" borderId="3" xfId="0" applyFont="1" applyBorder="1" applyAlignment="1">
      <alignment horizontal="center" vertical="top" wrapText="1"/>
    </xf>
    <xf numFmtId="0" fontId="3" fillId="0" borderId="3" xfId="0" applyFont="1" applyBorder="1" applyAlignment="1">
      <alignment horizontal="left" vertical="top" wrapText="1"/>
    </xf>
    <xf numFmtId="166" fontId="3" fillId="0" borderId="3" xfId="0" applyNumberFormat="1" applyFont="1" applyBorder="1" applyAlignment="1">
      <alignment horizontal="center" vertical="top" wrapText="1"/>
    </xf>
    <xf numFmtId="2" fontId="3" fillId="0" borderId="3" xfId="0" applyNumberFormat="1" applyFont="1" applyBorder="1" applyAlignment="1">
      <alignment horizontal="right" vertical="top" wrapText="1"/>
    </xf>
    <xf numFmtId="14" fontId="3" fillId="0" borderId="0" xfId="0" applyNumberFormat="1" applyFont="1" applyAlignment="1">
      <alignment horizontal="center" vertical="top" wrapText="1"/>
    </xf>
    <xf numFmtId="0" fontId="3" fillId="0" borderId="0" xfId="0" applyFont="1" applyAlignment="1">
      <alignment horizontal="center" vertical="top" wrapText="1"/>
    </xf>
    <xf numFmtId="4" fontId="3" fillId="0" borderId="3" xfId="0" applyNumberFormat="1" applyFont="1" applyBorder="1" applyAlignment="1">
      <alignment horizontal="right" vertical="top" wrapText="1"/>
    </xf>
    <xf numFmtId="0" fontId="3" fillId="0" borderId="0" xfId="0" applyFont="1" applyAlignment="1">
      <alignment horizontal="center" wrapText="1"/>
    </xf>
    <xf numFmtId="14" fontId="5" fillId="0" borderId="0" xfId="0" applyNumberFormat="1" applyFont="1"/>
    <xf numFmtId="0" fontId="5" fillId="0" borderId="0" xfId="0" applyFont="1" applyAlignment="1">
      <alignment horizontal="center"/>
    </xf>
    <xf numFmtId="0" fontId="5" fillId="0" borderId="0" xfId="0" applyFont="1"/>
    <xf numFmtId="4" fontId="3" fillId="0" borderId="3" xfId="0" applyNumberFormat="1" applyFont="1" applyBorder="1" applyAlignment="1">
      <alignment horizontal="left" vertical="top" wrapText="1"/>
    </xf>
  </cellXfs>
  <cellStyles count="5">
    <cellStyle name="Ergebnis 1" xfId="1" xr:uid="{169007C4-7436-4EB5-9583-724C779FE769}"/>
    <cellStyle name="Euro" xfId="2" xr:uid="{98EF3388-39FB-4C05-8CDE-0208B8C3A46B}"/>
    <cellStyle name="Standard" xfId="0" builtinId="0"/>
    <cellStyle name="Standard 2" xfId="3" xr:uid="{FE4D7D71-2DA6-4FD0-A882-5FE48E2572AA}"/>
    <cellStyle name="Überschrift 5" xfId="4" xr:uid="{3FF61259-93B7-47A4-BD28-910E8A2A4F6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19A39-F51E-4FA5-9848-F7F36A690ECC}">
  <dimension ref="A1"/>
  <sheetViews>
    <sheetView workbookViewId="0"/>
  </sheetViews>
  <sheetFormatPr defaultColWidth="11.42578125" defaultRowHeight="12.7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2FB08-7978-4BA3-B19E-1FE58BC068CF}">
  <sheetPr>
    <pageSetUpPr fitToPage="1"/>
  </sheetPr>
  <dimension ref="A1:M1568"/>
  <sheetViews>
    <sheetView topLeftCell="A884" zoomScale="115" zoomScaleNormal="115" workbookViewId="0">
      <selection activeCell="E889" sqref="E889"/>
    </sheetView>
  </sheetViews>
  <sheetFormatPr defaultColWidth="11.42578125" defaultRowHeight="12.75"/>
  <cols>
    <col min="1" max="1" width="10.5703125" style="5" bestFit="1" customWidth="1"/>
    <col min="2" max="2" width="10.7109375" style="6" bestFit="1" customWidth="1"/>
    <col min="3" max="3" width="10.7109375" style="6" customWidth="1"/>
    <col min="4" max="4" width="17.7109375" style="7" customWidth="1"/>
    <col min="5" max="5" width="84.140625" style="8" customWidth="1"/>
    <col min="6" max="6" width="11.7109375" style="9" bestFit="1" customWidth="1"/>
    <col min="7" max="7" width="9" style="10" customWidth="1"/>
    <col min="8" max="8" width="11.42578125" style="19" customWidth="1"/>
    <col min="9" max="9" width="4.28515625" style="11" customWidth="1"/>
    <col min="10" max="12" width="11.42578125" style="11" customWidth="1"/>
    <col min="13" max="13" width="11.28515625" style="11" bestFit="1" customWidth="1"/>
    <col min="14" max="16384" width="11.42578125" style="11"/>
  </cols>
  <sheetData>
    <row r="1" spans="1:8" s="17" customFormat="1" ht="25.5">
      <c r="A1" s="12" t="s">
        <v>0</v>
      </c>
      <c r="B1" s="13" t="s">
        <v>1</v>
      </c>
      <c r="C1" s="13" t="s">
        <v>2</v>
      </c>
      <c r="D1" s="14" t="s">
        <v>3</v>
      </c>
      <c r="E1" s="16" t="s">
        <v>4</v>
      </c>
      <c r="F1" s="22"/>
      <c r="G1" s="15" t="s">
        <v>5</v>
      </c>
      <c r="H1" s="12" t="s">
        <v>6</v>
      </c>
    </row>
    <row r="3" spans="1:8" ht="25.5">
      <c r="A3" s="25">
        <v>45301</v>
      </c>
      <c r="B3" s="26">
        <v>60412</v>
      </c>
      <c r="C3" s="26"/>
      <c r="D3" s="29" t="s">
        <v>7</v>
      </c>
      <c r="E3" s="24" t="s">
        <v>8</v>
      </c>
      <c r="F3" s="28"/>
      <c r="G3" s="23">
        <v>8</v>
      </c>
    </row>
    <row r="4" spans="1:8" ht="25.5">
      <c r="A4" s="25">
        <v>45470</v>
      </c>
      <c r="B4" s="26">
        <v>60412</v>
      </c>
      <c r="C4" s="26"/>
      <c r="D4" s="29" t="s">
        <v>7</v>
      </c>
      <c r="E4" s="24" t="s">
        <v>9</v>
      </c>
      <c r="F4" s="28"/>
      <c r="G4" s="23">
        <v>1.75</v>
      </c>
    </row>
    <row r="5" spans="1:8">
      <c r="A5" s="25">
        <v>45471</v>
      </c>
      <c r="B5" s="26">
        <v>60412</v>
      </c>
      <c r="C5" s="26"/>
      <c r="D5" s="29" t="s">
        <v>7</v>
      </c>
      <c r="E5" s="24" t="s">
        <v>10</v>
      </c>
      <c r="F5" s="28"/>
      <c r="G5" s="23">
        <v>0.25</v>
      </c>
    </row>
    <row r="6" spans="1:8">
      <c r="A6" s="25">
        <v>45482</v>
      </c>
      <c r="B6" s="26">
        <v>60412</v>
      </c>
      <c r="C6" s="26"/>
      <c r="D6" s="29" t="s">
        <v>7</v>
      </c>
      <c r="E6" s="24" t="s">
        <v>11</v>
      </c>
      <c r="F6" s="28"/>
      <c r="G6" s="23">
        <v>0.25</v>
      </c>
    </row>
    <row r="7" spans="1:8">
      <c r="A7" s="25">
        <v>45646</v>
      </c>
      <c r="B7" s="26">
        <v>60412</v>
      </c>
      <c r="C7" s="26"/>
      <c r="D7" s="29" t="s">
        <v>7</v>
      </c>
      <c r="E7" s="24" t="s">
        <v>12</v>
      </c>
      <c r="F7" s="28"/>
      <c r="G7" s="23">
        <v>0.25</v>
      </c>
    </row>
    <row r="8" spans="1:8" ht="25.5">
      <c r="A8" s="25">
        <v>45670</v>
      </c>
      <c r="B8" s="26">
        <v>60412</v>
      </c>
      <c r="C8" s="26"/>
      <c r="D8" s="29" t="s">
        <v>7</v>
      </c>
      <c r="E8" s="24" t="s">
        <v>13</v>
      </c>
      <c r="F8" s="28"/>
      <c r="G8" s="23">
        <v>8</v>
      </c>
    </row>
    <row r="9" spans="1:8" ht="25.5">
      <c r="A9" s="25">
        <v>45693</v>
      </c>
      <c r="B9" s="26">
        <v>60412</v>
      </c>
      <c r="C9" s="26"/>
      <c r="D9" s="29" t="s">
        <v>7</v>
      </c>
      <c r="E9" s="24" t="s">
        <v>14</v>
      </c>
      <c r="F9" s="28"/>
      <c r="G9" s="30">
        <f>11.5-9</f>
        <v>2.5</v>
      </c>
      <c r="H9" s="19" t="s">
        <v>15</v>
      </c>
    </row>
    <row r="10" spans="1:8">
      <c r="A10" s="25"/>
      <c r="B10" s="26"/>
      <c r="C10" s="26"/>
      <c r="D10" s="29"/>
      <c r="E10" s="24"/>
      <c r="F10" s="28">
        <f>+G10*120</f>
        <v>2520</v>
      </c>
      <c r="G10" s="23">
        <f>SUM(G3:G9)</f>
        <v>21</v>
      </c>
    </row>
    <row r="33" spans="1:7" s="19" customFormat="1">
      <c r="A33" s="5">
        <v>44384</v>
      </c>
      <c r="B33" s="6">
        <v>60263</v>
      </c>
      <c r="C33" s="6"/>
      <c r="D33" s="7" t="s">
        <v>16</v>
      </c>
      <c r="E33" s="8" t="s">
        <v>17</v>
      </c>
      <c r="F33" s="9"/>
      <c r="G33" s="10">
        <v>1.5</v>
      </c>
    </row>
    <row r="34" spans="1:7" s="19" customFormat="1">
      <c r="A34" s="5">
        <v>44708</v>
      </c>
      <c r="B34" s="6">
        <v>60263</v>
      </c>
      <c r="C34" s="6"/>
      <c r="D34" s="7" t="s">
        <v>16</v>
      </c>
      <c r="E34" s="8" t="s">
        <v>18</v>
      </c>
      <c r="F34" s="9"/>
      <c r="G34" s="10">
        <v>2</v>
      </c>
    </row>
    <row r="35" spans="1:7" s="19" customFormat="1">
      <c r="A35" s="5">
        <v>44776</v>
      </c>
      <c r="B35" s="6">
        <v>60263</v>
      </c>
      <c r="C35" s="6"/>
      <c r="D35" s="7" t="s">
        <v>16</v>
      </c>
      <c r="E35" s="8" t="s">
        <v>19</v>
      </c>
      <c r="F35" s="9"/>
      <c r="G35" s="10">
        <v>7</v>
      </c>
    </row>
    <row r="36" spans="1:7" s="19" customFormat="1" ht="25.5">
      <c r="A36" s="5">
        <v>45007</v>
      </c>
      <c r="B36" s="6">
        <v>60263</v>
      </c>
      <c r="C36" s="6"/>
      <c r="D36" s="7" t="s">
        <v>16</v>
      </c>
      <c r="E36" s="8" t="s">
        <v>20</v>
      </c>
      <c r="F36" s="9"/>
      <c r="G36" s="10">
        <v>0.75</v>
      </c>
    </row>
    <row r="37" spans="1:7" s="19" customFormat="1">
      <c r="A37" s="5">
        <v>45013</v>
      </c>
      <c r="B37" s="6">
        <v>60263</v>
      </c>
      <c r="C37" s="6"/>
      <c r="D37" s="7" t="s">
        <v>16</v>
      </c>
      <c r="E37" s="8" t="s">
        <v>21</v>
      </c>
      <c r="F37" s="9"/>
      <c r="G37" s="10">
        <v>0.75</v>
      </c>
    </row>
    <row r="38" spans="1:7" s="19" customFormat="1">
      <c r="A38" s="5">
        <v>45194</v>
      </c>
      <c r="B38" s="6">
        <v>60263</v>
      </c>
      <c r="C38" s="6"/>
      <c r="D38" s="7" t="s">
        <v>16</v>
      </c>
      <c r="E38" s="8" t="s">
        <v>22</v>
      </c>
      <c r="F38" s="9"/>
      <c r="G38" s="10">
        <v>2.25</v>
      </c>
    </row>
    <row r="39" spans="1:7" s="19" customFormat="1" ht="25.5">
      <c r="A39" s="5">
        <v>45197</v>
      </c>
      <c r="B39" s="6">
        <v>60263</v>
      </c>
      <c r="C39" s="6"/>
      <c r="D39" s="7" t="s">
        <v>16</v>
      </c>
      <c r="E39" s="8" t="s">
        <v>23</v>
      </c>
      <c r="F39" s="9"/>
      <c r="G39" s="10">
        <v>1</v>
      </c>
    </row>
    <row r="40" spans="1:7" s="19" customFormat="1">
      <c r="A40" s="5">
        <v>45226</v>
      </c>
      <c r="B40" s="6">
        <v>60263</v>
      </c>
      <c r="C40" s="6"/>
      <c r="D40" s="7" t="s">
        <v>16</v>
      </c>
      <c r="E40" s="8" t="s">
        <v>24</v>
      </c>
      <c r="F40" s="9"/>
      <c r="G40" s="10">
        <v>0.5</v>
      </c>
    </row>
    <row r="41" spans="1:7" s="19" customFormat="1" ht="25.5">
      <c r="A41" s="5">
        <v>45229</v>
      </c>
      <c r="B41" s="6">
        <v>60263</v>
      </c>
      <c r="C41" s="6"/>
      <c r="D41" s="7" t="s">
        <v>16</v>
      </c>
      <c r="E41" s="8" t="s">
        <v>25</v>
      </c>
      <c r="F41" s="9"/>
      <c r="G41" s="10">
        <v>2.5</v>
      </c>
    </row>
    <row r="42" spans="1:7" s="19" customFormat="1" ht="25.5">
      <c r="A42" s="5">
        <v>45230</v>
      </c>
      <c r="B42" s="6">
        <v>60263</v>
      </c>
      <c r="C42" s="6"/>
      <c r="D42" s="7" t="s">
        <v>16</v>
      </c>
      <c r="E42" s="8" t="s">
        <v>26</v>
      </c>
      <c r="F42" s="9"/>
      <c r="G42" s="10">
        <v>3</v>
      </c>
    </row>
    <row r="43" spans="1:7" s="19" customFormat="1">
      <c r="A43" s="5">
        <v>45250</v>
      </c>
      <c r="B43" s="6">
        <v>60263</v>
      </c>
      <c r="C43" s="6"/>
      <c r="D43" s="7" t="s">
        <v>16</v>
      </c>
      <c r="E43" s="8" t="s">
        <v>27</v>
      </c>
      <c r="F43" s="9"/>
      <c r="G43" s="10">
        <v>1.5</v>
      </c>
    </row>
    <row r="44" spans="1:7" s="19" customFormat="1">
      <c r="A44" s="5">
        <v>45280</v>
      </c>
      <c r="B44" s="6">
        <v>60263</v>
      </c>
      <c r="C44" s="6"/>
      <c r="D44" s="7" t="s">
        <v>16</v>
      </c>
      <c r="E44" s="8" t="s">
        <v>28</v>
      </c>
      <c r="F44" s="9"/>
      <c r="G44" s="10">
        <v>0.25</v>
      </c>
    </row>
    <row r="45" spans="1:7" s="19" customFormat="1">
      <c r="A45" s="5">
        <v>45422</v>
      </c>
      <c r="B45" s="6">
        <v>60263</v>
      </c>
      <c r="C45" s="6"/>
      <c r="D45" s="7" t="s">
        <v>16</v>
      </c>
      <c r="E45" s="8" t="s">
        <v>29</v>
      </c>
      <c r="F45" s="9"/>
      <c r="G45" s="10">
        <v>0.25</v>
      </c>
    </row>
    <row r="46" spans="1:7" s="19" customFormat="1">
      <c r="A46" s="5">
        <v>45474</v>
      </c>
      <c r="B46" s="6">
        <v>60263</v>
      </c>
      <c r="C46" s="6"/>
      <c r="D46" s="7" t="s">
        <v>16</v>
      </c>
      <c r="E46" s="8" t="s">
        <v>30</v>
      </c>
      <c r="F46" s="9"/>
      <c r="G46" s="10">
        <v>0.25</v>
      </c>
    </row>
    <row r="47" spans="1:7" s="19" customFormat="1">
      <c r="A47" s="5">
        <v>45476</v>
      </c>
      <c r="B47" s="6">
        <v>60263</v>
      </c>
      <c r="C47" s="6"/>
      <c r="D47" s="7" t="s">
        <v>16</v>
      </c>
      <c r="E47" s="8" t="s">
        <v>31</v>
      </c>
      <c r="F47" s="9"/>
      <c r="G47" s="10">
        <v>0.5</v>
      </c>
    </row>
    <row r="48" spans="1:7" s="19" customFormat="1">
      <c r="A48" s="5">
        <v>45534</v>
      </c>
      <c r="B48" s="6">
        <v>60263</v>
      </c>
      <c r="C48" s="6"/>
      <c r="D48" s="7" t="s">
        <v>16</v>
      </c>
      <c r="E48" s="8" t="s">
        <v>32</v>
      </c>
      <c r="F48" s="9"/>
      <c r="G48" s="10">
        <v>1.75</v>
      </c>
    </row>
    <row r="49" spans="1:10" s="19" customFormat="1">
      <c r="A49" s="5">
        <v>45539</v>
      </c>
      <c r="B49" s="6">
        <v>60263</v>
      </c>
      <c r="C49" s="6"/>
      <c r="D49" s="7" t="s">
        <v>16</v>
      </c>
      <c r="E49" s="8" t="s">
        <v>33</v>
      </c>
      <c r="F49" s="9"/>
      <c r="G49" s="10">
        <v>0.25</v>
      </c>
    </row>
    <row r="50" spans="1:10" s="19" customFormat="1">
      <c r="A50" s="5">
        <v>45545</v>
      </c>
      <c r="B50" s="6">
        <v>60263</v>
      </c>
      <c r="C50" s="6"/>
      <c r="D50" s="7" t="s">
        <v>16</v>
      </c>
      <c r="E50" s="8" t="s">
        <v>34</v>
      </c>
      <c r="F50" s="9"/>
      <c r="G50" s="10">
        <v>0.5</v>
      </c>
    </row>
    <row r="51" spans="1:10" s="19" customFormat="1">
      <c r="A51" s="5">
        <v>45545</v>
      </c>
      <c r="B51" s="6">
        <v>60263</v>
      </c>
      <c r="C51" s="6"/>
      <c r="D51" s="7" t="s">
        <v>16</v>
      </c>
      <c r="E51" s="8" t="s">
        <v>35</v>
      </c>
      <c r="F51" s="9"/>
      <c r="G51" s="10">
        <v>0.75</v>
      </c>
    </row>
    <row r="52" spans="1:10" s="19" customFormat="1">
      <c r="A52" s="5">
        <v>45548</v>
      </c>
      <c r="B52" s="6">
        <v>60263</v>
      </c>
      <c r="C52" s="6"/>
      <c r="D52" s="7" t="s">
        <v>16</v>
      </c>
      <c r="E52" s="8" t="s">
        <v>36</v>
      </c>
      <c r="F52" s="9"/>
      <c r="G52" s="10">
        <v>1</v>
      </c>
    </row>
    <row r="53" spans="1:10" s="19" customFormat="1">
      <c r="A53" s="5">
        <v>45595</v>
      </c>
      <c r="B53" s="6">
        <v>60263</v>
      </c>
      <c r="C53" s="6"/>
      <c r="D53" s="7" t="s">
        <v>16</v>
      </c>
      <c r="E53" s="8" t="s">
        <v>37</v>
      </c>
      <c r="F53" s="9"/>
      <c r="G53" s="21">
        <v>1.25</v>
      </c>
    </row>
    <row r="54" spans="1:10" s="19" customFormat="1">
      <c r="A54" s="5"/>
      <c r="B54" s="6"/>
      <c r="C54" s="6"/>
      <c r="D54" s="7"/>
      <c r="E54" s="8"/>
      <c r="F54" s="9">
        <f>+G54*120</f>
        <v>3540</v>
      </c>
      <c r="G54" s="10">
        <f>SUM(G33:G53)</f>
        <v>29.5</v>
      </c>
    </row>
    <row r="61" spans="1:10" s="19" customFormat="1">
      <c r="A61" s="5">
        <v>45482</v>
      </c>
      <c r="B61" s="6">
        <v>10097</v>
      </c>
      <c r="C61" s="6"/>
      <c r="D61" s="7" t="s">
        <v>38</v>
      </c>
      <c r="E61" s="8" t="s">
        <v>39</v>
      </c>
      <c r="F61" s="9"/>
      <c r="G61" s="10">
        <v>0.25</v>
      </c>
    </row>
    <row r="62" spans="1:10" ht="25.5">
      <c r="A62" s="5">
        <v>45553</v>
      </c>
      <c r="B62" s="6">
        <v>10097</v>
      </c>
      <c r="D62" s="7" t="s">
        <v>38</v>
      </c>
      <c r="E62" s="8" t="s">
        <v>40</v>
      </c>
      <c r="G62" s="10">
        <v>0.75</v>
      </c>
      <c r="I62" s="19"/>
      <c r="J62" s="19"/>
    </row>
    <row r="63" spans="1:10">
      <c r="A63" s="5">
        <v>45570</v>
      </c>
      <c r="B63" s="6">
        <v>10097</v>
      </c>
      <c r="D63" s="7" t="s">
        <v>38</v>
      </c>
      <c r="E63" s="8" t="s">
        <v>41</v>
      </c>
      <c r="G63" s="10">
        <v>0.25</v>
      </c>
      <c r="I63" s="19"/>
      <c r="J63" s="19"/>
    </row>
    <row r="64" spans="1:10">
      <c r="A64" s="5">
        <v>45596</v>
      </c>
      <c r="B64" s="6">
        <v>10097</v>
      </c>
      <c r="D64" s="7" t="s">
        <v>42</v>
      </c>
      <c r="E64" s="8" t="s">
        <v>43</v>
      </c>
      <c r="G64" s="10">
        <v>1.5</v>
      </c>
      <c r="I64" s="19"/>
      <c r="J64" s="19"/>
    </row>
    <row r="65" spans="1:10">
      <c r="A65" s="5">
        <v>45597</v>
      </c>
      <c r="B65" s="6">
        <v>10097</v>
      </c>
      <c r="D65" s="7" t="s">
        <v>42</v>
      </c>
      <c r="E65" s="8" t="s">
        <v>44</v>
      </c>
      <c r="G65" s="10">
        <f>12-9</f>
        <v>3</v>
      </c>
      <c r="I65" s="19"/>
      <c r="J65" s="19"/>
    </row>
    <row r="66" spans="1:10">
      <c r="A66" s="5">
        <v>45315</v>
      </c>
      <c r="B66" s="6">
        <v>10098</v>
      </c>
      <c r="D66" s="7" t="s">
        <v>42</v>
      </c>
      <c r="E66" s="8" t="s">
        <v>45</v>
      </c>
      <c r="G66" s="10">
        <v>5.5</v>
      </c>
      <c r="I66" s="19"/>
      <c r="J66" s="19"/>
    </row>
    <row r="67" spans="1:10">
      <c r="A67" s="5">
        <v>45693</v>
      </c>
      <c r="B67" s="6">
        <v>10099</v>
      </c>
      <c r="D67" s="7" t="s">
        <v>46</v>
      </c>
      <c r="E67" s="8" t="s">
        <v>47</v>
      </c>
      <c r="G67" s="10">
        <v>0.5</v>
      </c>
      <c r="H67" s="19" t="s">
        <v>15</v>
      </c>
    </row>
    <row r="68" spans="1:10">
      <c r="A68" s="5">
        <v>45484</v>
      </c>
      <c r="B68" s="6">
        <v>10100</v>
      </c>
      <c r="D68" s="7" t="s">
        <v>48</v>
      </c>
      <c r="E68" s="8" t="s">
        <v>49</v>
      </c>
      <c r="G68" s="10">
        <v>0.25</v>
      </c>
      <c r="I68" s="19"/>
      <c r="J68" s="19"/>
    </row>
    <row r="69" spans="1:10">
      <c r="A69" s="5">
        <v>45484</v>
      </c>
      <c r="B69" s="6">
        <v>10100</v>
      </c>
      <c r="D69" s="7" t="s">
        <v>48</v>
      </c>
      <c r="E69" s="8" t="s">
        <v>50</v>
      </c>
      <c r="G69" s="10">
        <v>0.25</v>
      </c>
      <c r="I69" s="19"/>
      <c r="J69" s="19"/>
    </row>
    <row r="70" spans="1:10">
      <c r="A70" s="5">
        <v>45551</v>
      </c>
      <c r="B70" s="6">
        <v>10100</v>
      </c>
      <c r="D70" s="7" t="s">
        <v>48</v>
      </c>
      <c r="E70" s="8" t="s">
        <v>51</v>
      </c>
      <c r="G70" s="10">
        <v>1.5</v>
      </c>
      <c r="I70" s="19"/>
      <c r="J70" s="19"/>
    </row>
    <row r="71" spans="1:10">
      <c r="A71" s="5">
        <v>45611</v>
      </c>
      <c r="B71" s="6">
        <v>10100</v>
      </c>
      <c r="D71" s="7" t="s">
        <v>48</v>
      </c>
      <c r="E71" s="8" t="s">
        <v>52</v>
      </c>
      <c r="G71" s="10">
        <v>0.5</v>
      </c>
    </row>
    <row r="72" spans="1:10">
      <c r="A72" s="5">
        <v>45589</v>
      </c>
      <c r="B72" s="6">
        <v>10107</v>
      </c>
      <c r="D72" s="7" t="s">
        <v>53</v>
      </c>
      <c r="E72" s="8" t="s">
        <v>54</v>
      </c>
      <c r="G72" s="10">
        <v>0.25</v>
      </c>
    </row>
    <row r="73" spans="1:10">
      <c r="A73" s="5">
        <v>45427</v>
      </c>
      <c r="B73" s="6">
        <v>10109</v>
      </c>
      <c r="D73" s="7" t="s">
        <v>55</v>
      </c>
      <c r="E73" s="8" t="s">
        <v>56</v>
      </c>
      <c r="G73" s="10">
        <v>0.5</v>
      </c>
    </row>
    <row r="74" spans="1:10">
      <c r="A74" s="5">
        <v>45484</v>
      </c>
      <c r="B74" s="6">
        <v>10109</v>
      </c>
      <c r="D74" s="7" t="s">
        <v>57</v>
      </c>
      <c r="E74" s="8" t="s">
        <v>58</v>
      </c>
      <c r="G74" s="10">
        <v>0.25</v>
      </c>
    </row>
    <row r="75" spans="1:10">
      <c r="A75" s="5">
        <v>45484</v>
      </c>
      <c r="B75" s="6">
        <v>10109</v>
      </c>
      <c r="D75" s="7" t="s">
        <v>57</v>
      </c>
      <c r="E75" s="8" t="s">
        <v>59</v>
      </c>
      <c r="G75" s="10">
        <v>0.25</v>
      </c>
    </row>
    <row r="76" spans="1:10">
      <c r="A76" s="5">
        <v>45579</v>
      </c>
      <c r="B76" s="6">
        <v>10109</v>
      </c>
      <c r="D76" s="7" t="s">
        <v>57</v>
      </c>
      <c r="E76" s="8" t="s">
        <v>60</v>
      </c>
      <c r="G76" s="10">
        <v>0.5</v>
      </c>
    </row>
    <row r="77" spans="1:10">
      <c r="A77" s="5">
        <v>45649</v>
      </c>
      <c r="B77" s="6">
        <v>10113</v>
      </c>
      <c r="D77" s="7" t="s">
        <v>61</v>
      </c>
      <c r="E77" s="8" t="s">
        <v>62</v>
      </c>
      <c r="G77" s="10">
        <v>0.5</v>
      </c>
    </row>
    <row r="78" spans="1:10">
      <c r="A78" s="5">
        <v>45649</v>
      </c>
      <c r="B78" s="6">
        <v>10113</v>
      </c>
      <c r="D78" s="7" t="s">
        <v>61</v>
      </c>
      <c r="E78" s="8" t="s">
        <v>63</v>
      </c>
      <c r="G78" s="10">
        <v>0.5</v>
      </c>
    </row>
    <row r="79" spans="1:10">
      <c r="A79" s="5">
        <v>45673</v>
      </c>
      <c r="B79" s="6">
        <v>10113</v>
      </c>
      <c r="D79" s="7" t="s">
        <v>61</v>
      </c>
      <c r="E79" s="8" t="s">
        <v>64</v>
      </c>
      <c r="G79" s="10">
        <v>0.75</v>
      </c>
    </row>
    <row r="80" spans="1:10">
      <c r="A80" s="5">
        <v>45686</v>
      </c>
      <c r="B80" s="6">
        <v>10113</v>
      </c>
      <c r="D80" s="7" t="s">
        <v>61</v>
      </c>
      <c r="E80" s="8" t="s">
        <v>65</v>
      </c>
      <c r="G80" s="10">
        <v>0.25</v>
      </c>
    </row>
    <row r="81" spans="1:8">
      <c r="A81" s="5">
        <v>45686</v>
      </c>
      <c r="B81" s="6">
        <v>10113</v>
      </c>
      <c r="D81" s="7" t="s">
        <v>61</v>
      </c>
      <c r="E81" s="8" t="s">
        <v>66</v>
      </c>
      <c r="G81" s="10">
        <v>1</v>
      </c>
    </row>
    <row r="82" spans="1:8">
      <c r="A82" s="5">
        <v>45695</v>
      </c>
      <c r="B82" s="6">
        <v>10113</v>
      </c>
      <c r="D82" s="7" t="s">
        <v>61</v>
      </c>
      <c r="E82" s="8" t="s">
        <v>67</v>
      </c>
      <c r="G82" s="10">
        <v>0.25</v>
      </c>
    </row>
    <row r="83" spans="1:8">
      <c r="A83" s="5">
        <v>45700</v>
      </c>
      <c r="B83" s="6">
        <v>10113</v>
      </c>
      <c r="D83" s="7" t="s">
        <v>61</v>
      </c>
      <c r="E83" s="8" t="s">
        <v>68</v>
      </c>
      <c r="G83" s="10">
        <v>0.5</v>
      </c>
    </row>
    <row r="84" spans="1:8">
      <c r="A84" s="5">
        <v>45701</v>
      </c>
      <c r="B84" s="6">
        <v>10113</v>
      </c>
      <c r="D84" s="7" t="s">
        <v>61</v>
      </c>
      <c r="E84" s="8" t="s">
        <v>69</v>
      </c>
      <c r="G84" s="10">
        <v>0.25</v>
      </c>
    </row>
    <row r="85" spans="1:8">
      <c r="A85" s="5">
        <v>45706</v>
      </c>
      <c r="B85" s="6">
        <v>10113</v>
      </c>
      <c r="D85" s="7" t="s">
        <v>61</v>
      </c>
      <c r="E85" s="8" t="s">
        <v>70</v>
      </c>
      <c r="G85" s="10">
        <v>1.5</v>
      </c>
    </row>
    <row r="86" spans="1:8">
      <c r="A86" s="5">
        <v>45470</v>
      </c>
      <c r="B86" s="6">
        <v>10117</v>
      </c>
      <c r="D86" s="7" t="s">
        <v>71</v>
      </c>
      <c r="E86" s="8" t="s">
        <v>72</v>
      </c>
      <c r="G86" s="10">
        <v>0.5</v>
      </c>
    </row>
    <row r="87" spans="1:8" ht="25.5">
      <c r="A87" s="5">
        <v>45471</v>
      </c>
      <c r="B87" s="6">
        <v>10117</v>
      </c>
      <c r="D87" s="7" t="s">
        <v>71</v>
      </c>
      <c r="E87" s="8" t="s">
        <v>73</v>
      </c>
      <c r="F87" s="9">
        <f>4371.07-2592.05</f>
        <v>1779.0199999999995</v>
      </c>
    </row>
    <row r="88" spans="1:8">
      <c r="A88" s="5">
        <v>45489</v>
      </c>
      <c r="B88" s="6">
        <v>10117</v>
      </c>
      <c r="D88" s="7" t="s">
        <v>71</v>
      </c>
      <c r="E88" s="8" t="s">
        <v>74</v>
      </c>
      <c r="G88" s="10">
        <v>0.25</v>
      </c>
    </row>
    <row r="89" spans="1:8">
      <c r="A89" s="5">
        <v>45540</v>
      </c>
      <c r="B89" s="6">
        <v>10117</v>
      </c>
      <c r="D89" s="7" t="s">
        <v>71</v>
      </c>
      <c r="E89" s="8" t="s">
        <v>75</v>
      </c>
      <c r="F89" s="9">
        <f>585-288.2</f>
        <v>296.8</v>
      </c>
      <c r="G89" s="10">
        <f>+F89/120</f>
        <v>2.4733333333333336</v>
      </c>
      <c r="H89" s="5"/>
    </row>
    <row r="90" spans="1:8">
      <c r="A90" s="5">
        <v>45579</v>
      </c>
      <c r="B90" s="6">
        <v>10117</v>
      </c>
      <c r="D90" s="7" t="s">
        <v>71</v>
      </c>
      <c r="E90" s="8" t="s">
        <v>76</v>
      </c>
      <c r="G90" s="10">
        <v>0.75</v>
      </c>
    </row>
    <row r="91" spans="1:8">
      <c r="A91" s="5">
        <v>45614</v>
      </c>
      <c r="B91" s="6">
        <v>10117</v>
      </c>
      <c r="D91" s="7" t="s">
        <v>71</v>
      </c>
      <c r="E91" s="8" t="s">
        <v>77</v>
      </c>
      <c r="G91" s="10">
        <v>0.25</v>
      </c>
    </row>
    <row r="92" spans="1:8">
      <c r="A92" s="5">
        <v>45614</v>
      </c>
      <c r="B92" s="6">
        <v>10117</v>
      </c>
      <c r="D92" s="7" t="s">
        <v>71</v>
      </c>
      <c r="E92" s="8" t="s">
        <v>78</v>
      </c>
      <c r="G92" s="10">
        <v>1</v>
      </c>
    </row>
    <row r="93" spans="1:8">
      <c r="A93" s="5">
        <v>45642</v>
      </c>
      <c r="B93" s="6">
        <v>10117</v>
      </c>
      <c r="D93" s="7" t="s">
        <v>79</v>
      </c>
      <c r="E93" s="8" t="s">
        <v>80</v>
      </c>
      <c r="G93" s="10">
        <v>1</v>
      </c>
    </row>
    <row r="94" spans="1:8">
      <c r="A94" s="5">
        <v>45645</v>
      </c>
      <c r="B94" s="6">
        <v>10117</v>
      </c>
      <c r="D94" s="7" t="s">
        <v>71</v>
      </c>
      <c r="E94" s="8" t="s">
        <v>81</v>
      </c>
      <c r="G94" s="10">
        <v>0.5</v>
      </c>
    </row>
    <row r="95" spans="1:8">
      <c r="A95" s="5">
        <v>45664</v>
      </c>
      <c r="B95" s="6">
        <v>10117</v>
      </c>
      <c r="D95" s="7" t="s">
        <v>82</v>
      </c>
      <c r="E95" s="8" t="s">
        <v>83</v>
      </c>
      <c r="G95" s="10">
        <v>0.5</v>
      </c>
    </row>
    <row r="96" spans="1:8" ht="25.5">
      <c r="A96" s="5">
        <v>45665</v>
      </c>
      <c r="B96" s="6">
        <v>10117</v>
      </c>
      <c r="D96" s="7" t="s">
        <v>71</v>
      </c>
      <c r="E96" s="8" t="s">
        <v>84</v>
      </c>
      <c r="G96" s="10">
        <v>0.75</v>
      </c>
    </row>
    <row r="97" spans="1:13">
      <c r="A97" s="5">
        <v>45643</v>
      </c>
      <c r="B97" s="6">
        <v>10120</v>
      </c>
      <c r="D97" s="7" t="s">
        <v>85</v>
      </c>
      <c r="E97" s="8" t="s">
        <v>86</v>
      </c>
      <c r="G97" s="10">
        <v>0.5</v>
      </c>
    </row>
    <row r="98" spans="1:13">
      <c r="A98" s="5">
        <v>45643</v>
      </c>
      <c r="B98" s="6">
        <v>10120</v>
      </c>
      <c r="D98" s="7" t="s">
        <v>85</v>
      </c>
      <c r="E98" s="8" t="s">
        <v>54</v>
      </c>
      <c r="G98" s="10">
        <v>0.5</v>
      </c>
    </row>
    <row r="99" spans="1:13">
      <c r="A99" s="5">
        <v>45673</v>
      </c>
      <c r="B99" s="6">
        <v>10120</v>
      </c>
      <c r="D99" s="2" t="s">
        <v>87</v>
      </c>
      <c r="E99" s="8" t="s">
        <v>88</v>
      </c>
      <c r="G99" s="10">
        <v>0.25</v>
      </c>
    </row>
    <row r="100" spans="1:13" ht="25.5">
      <c r="A100" s="5">
        <v>45680</v>
      </c>
      <c r="B100" s="6">
        <v>10120</v>
      </c>
      <c r="D100" s="7" t="s">
        <v>85</v>
      </c>
      <c r="E100" s="8" t="s">
        <v>89</v>
      </c>
      <c r="G100" s="10">
        <v>1.25</v>
      </c>
    </row>
    <row r="101" spans="1:13">
      <c r="A101" s="5">
        <v>45691</v>
      </c>
      <c r="B101" s="6">
        <v>10120</v>
      </c>
      <c r="D101" s="7" t="s">
        <v>85</v>
      </c>
      <c r="E101" s="8" t="s">
        <v>90</v>
      </c>
      <c r="G101" s="10">
        <v>0.25</v>
      </c>
    </row>
    <row r="102" spans="1:13">
      <c r="A102" s="5">
        <v>45707</v>
      </c>
      <c r="B102" s="6">
        <v>10000</v>
      </c>
      <c r="D102" s="7" t="s">
        <v>91</v>
      </c>
      <c r="E102" s="8" t="s">
        <v>92</v>
      </c>
      <c r="G102" s="10">
        <v>1</v>
      </c>
    </row>
    <row r="103" spans="1:13">
      <c r="A103" s="5">
        <v>45714</v>
      </c>
      <c r="B103" s="6">
        <v>10000</v>
      </c>
      <c r="D103" s="7" t="s">
        <v>91</v>
      </c>
      <c r="E103" s="8" t="s">
        <v>93</v>
      </c>
      <c r="G103" s="10">
        <v>0.5</v>
      </c>
    </row>
    <row r="104" spans="1:13">
      <c r="A104" s="5">
        <v>45714</v>
      </c>
      <c r="B104" s="6">
        <v>10090</v>
      </c>
      <c r="D104" s="7" t="s">
        <v>94</v>
      </c>
      <c r="E104" s="8" t="s">
        <v>95</v>
      </c>
      <c r="G104" s="10">
        <v>0.5</v>
      </c>
    </row>
    <row r="105" spans="1:13">
      <c r="A105" s="5">
        <v>45680</v>
      </c>
      <c r="B105" s="6">
        <v>10099</v>
      </c>
      <c r="D105" s="7" t="s">
        <v>46</v>
      </c>
      <c r="E105" s="8" t="s">
        <v>96</v>
      </c>
      <c r="G105" s="10">
        <v>4.5</v>
      </c>
    </row>
    <row r="106" spans="1:13" ht="11.25" customHeight="1">
      <c r="A106" s="5">
        <v>45707</v>
      </c>
      <c r="B106" s="6">
        <v>10113</v>
      </c>
      <c r="D106" s="7" t="s">
        <v>61</v>
      </c>
      <c r="E106" s="8" t="s">
        <v>97</v>
      </c>
      <c r="G106" s="10">
        <v>4.25</v>
      </c>
    </row>
    <row r="107" spans="1:13" ht="11.25" customHeight="1">
      <c r="A107" s="5">
        <v>45586</v>
      </c>
      <c r="B107" s="6">
        <v>10125</v>
      </c>
      <c r="D107" s="7" t="s">
        <v>98</v>
      </c>
      <c r="E107" s="8" t="s">
        <v>99</v>
      </c>
      <c r="G107" s="10">
        <v>0.25</v>
      </c>
    </row>
    <row r="108" spans="1:13" ht="11.25" customHeight="1">
      <c r="A108" s="5">
        <v>45611</v>
      </c>
      <c r="B108" s="6">
        <v>10125</v>
      </c>
      <c r="D108" s="7" t="s">
        <v>100</v>
      </c>
      <c r="E108" s="8" t="s">
        <v>101</v>
      </c>
      <c r="G108" s="10">
        <v>0.5</v>
      </c>
    </row>
    <row r="109" spans="1:13" ht="11.25" customHeight="1">
      <c r="A109" s="5">
        <v>45706</v>
      </c>
      <c r="B109" s="6">
        <v>10132</v>
      </c>
      <c r="D109" s="7" t="s">
        <v>102</v>
      </c>
      <c r="E109" s="8" t="s">
        <v>103</v>
      </c>
      <c r="G109" s="10">
        <v>0.5</v>
      </c>
      <c r="H109" s="19" t="s">
        <v>15</v>
      </c>
    </row>
    <row r="110" spans="1:13">
      <c r="A110" s="5">
        <v>45706</v>
      </c>
      <c r="B110" s="6">
        <v>10132</v>
      </c>
      <c r="D110" s="7" t="s">
        <v>102</v>
      </c>
      <c r="E110" s="8" t="s">
        <v>104</v>
      </c>
      <c r="G110" s="10">
        <v>0.5</v>
      </c>
      <c r="H110" s="19" t="s">
        <v>15</v>
      </c>
    </row>
    <row r="111" spans="1:13" s="19" customFormat="1">
      <c r="A111" s="5">
        <v>45706</v>
      </c>
      <c r="B111" s="6">
        <v>10132</v>
      </c>
      <c r="C111" s="6"/>
      <c r="D111" s="7" t="s">
        <v>102</v>
      </c>
      <c r="E111" s="8" t="s">
        <v>105</v>
      </c>
      <c r="F111" s="9"/>
      <c r="G111" s="10">
        <v>0.25</v>
      </c>
      <c r="H111" s="5"/>
      <c r="I111" s="11"/>
      <c r="J111" s="11"/>
      <c r="K111" s="11"/>
      <c r="L111" s="11"/>
      <c r="M111" s="11"/>
    </row>
    <row r="112" spans="1:13">
      <c r="A112" s="5">
        <v>45709</v>
      </c>
      <c r="B112" s="6">
        <v>10132</v>
      </c>
      <c r="D112" s="7" t="s">
        <v>102</v>
      </c>
      <c r="E112" s="8" t="s">
        <v>106</v>
      </c>
      <c r="G112" s="10">
        <v>4.75</v>
      </c>
    </row>
    <row r="113" spans="1:13">
      <c r="A113" s="5">
        <v>45505</v>
      </c>
      <c r="B113" s="6">
        <v>10134</v>
      </c>
      <c r="D113" s="7" t="s">
        <v>107</v>
      </c>
      <c r="E113" s="8" t="s">
        <v>108</v>
      </c>
      <c r="G113" s="10">
        <v>0.5</v>
      </c>
    </row>
    <row r="114" spans="1:13">
      <c r="A114" s="5">
        <v>45534</v>
      </c>
      <c r="B114" s="6">
        <v>10134</v>
      </c>
      <c r="D114" s="7" t="s">
        <v>107</v>
      </c>
      <c r="E114" s="8" t="s">
        <v>109</v>
      </c>
      <c r="G114" s="10">
        <v>0.25</v>
      </c>
    </row>
    <row r="115" spans="1:13">
      <c r="A115" s="5">
        <v>45566</v>
      </c>
      <c r="B115" s="6">
        <v>10134</v>
      </c>
      <c r="D115" s="7" t="s">
        <v>107</v>
      </c>
      <c r="E115" s="8" t="s">
        <v>110</v>
      </c>
      <c r="G115" s="10">
        <v>0.5</v>
      </c>
    </row>
    <row r="116" spans="1:13" ht="11.25" customHeight="1">
      <c r="A116" s="5">
        <v>45617</v>
      </c>
      <c r="B116" s="6">
        <v>10134</v>
      </c>
      <c r="D116" s="7" t="s">
        <v>107</v>
      </c>
      <c r="E116" s="8" t="s">
        <v>111</v>
      </c>
      <c r="G116" s="10">
        <v>0.25</v>
      </c>
    </row>
    <row r="117" spans="1:13" ht="11.25" customHeight="1">
      <c r="A117" s="5">
        <v>45618</v>
      </c>
      <c r="B117" s="6">
        <v>10134</v>
      </c>
      <c r="D117" s="7" t="s">
        <v>107</v>
      </c>
      <c r="E117" s="8" t="s">
        <v>112</v>
      </c>
      <c r="G117" s="10">
        <v>0.5</v>
      </c>
      <c r="K117" s="19"/>
      <c r="L117" s="19"/>
      <c r="M117" s="19"/>
    </row>
    <row r="118" spans="1:13" ht="11.25" customHeight="1">
      <c r="A118" s="5">
        <v>44134</v>
      </c>
      <c r="B118" s="6">
        <v>10137</v>
      </c>
      <c r="D118" s="7" t="s">
        <v>113</v>
      </c>
      <c r="E118" s="8" t="s">
        <v>114</v>
      </c>
      <c r="G118" s="10">
        <v>2</v>
      </c>
    </row>
    <row r="119" spans="1:13">
      <c r="A119" s="5">
        <v>44137</v>
      </c>
      <c r="B119" s="6">
        <v>10137</v>
      </c>
      <c r="D119" s="7" t="s">
        <v>115</v>
      </c>
      <c r="E119" s="8" t="s">
        <v>116</v>
      </c>
      <c r="G119" s="10">
        <v>1</v>
      </c>
    </row>
    <row r="120" spans="1:13">
      <c r="A120" s="5">
        <v>45566</v>
      </c>
      <c r="B120" s="6">
        <v>10138</v>
      </c>
      <c r="D120" s="7" t="s">
        <v>117</v>
      </c>
      <c r="E120" s="8" t="s">
        <v>118</v>
      </c>
      <c r="G120" s="10">
        <v>0.25</v>
      </c>
    </row>
    <row r="121" spans="1:13" ht="38.25">
      <c r="A121" s="5">
        <v>45581</v>
      </c>
      <c r="B121" s="6">
        <v>10138</v>
      </c>
      <c r="D121" s="7" t="s">
        <v>117</v>
      </c>
      <c r="E121" s="8" t="s">
        <v>119</v>
      </c>
      <c r="G121" s="10">
        <v>1.5</v>
      </c>
    </row>
    <row r="122" spans="1:13">
      <c r="A122" s="5">
        <v>45587</v>
      </c>
      <c r="B122" s="6">
        <v>10138</v>
      </c>
      <c r="D122" s="7" t="s">
        <v>117</v>
      </c>
      <c r="E122" s="8" t="s">
        <v>120</v>
      </c>
      <c r="G122" s="10">
        <v>0.5</v>
      </c>
    </row>
    <row r="123" spans="1:13">
      <c r="A123" s="5">
        <v>45642</v>
      </c>
      <c r="B123" s="6">
        <v>10138</v>
      </c>
      <c r="D123" s="7" t="s">
        <v>121</v>
      </c>
      <c r="E123" s="8" t="s">
        <v>122</v>
      </c>
      <c r="G123" s="10">
        <v>0.5</v>
      </c>
    </row>
    <row r="124" spans="1:13" s="19" customFormat="1" ht="12" customHeight="1">
      <c r="A124" s="5">
        <v>45688</v>
      </c>
      <c r="B124" s="6">
        <v>10138</v>
      </c>
      <c r="C124" s="6"/>
      <c r="D124" s="7" t="s">
        <v>117</v>
      </c>
      <c r="E124" s="8" t="s">
        <v>123</v>
      </c>
      <c r="F124" s="9"/>
      <c r="G124" s="10">
        <v>0.25</v>
      </c>
      <c r="I124" s="11"/>
      <c r="J124" s="11"/>
      <c r="K124" s="11"/>
      <c r="L124" s="11"/>
      <c r="M124" s="11"/>
    </row>
    <row r="125" spans="1:13">
      <c r="A125" s="5">
        <v>44916</v>
      </c>
      <c r="B125" s="6">
        <v>10142</v>
      </c>
      <c r="D125" s="7" t="s">
        <v>124</v>
      </c>
      <c r="E125" s="8" t="s">
        <v>125</v>
      </c>
      <c r="F125" s="9">
        <f>2222.94-1880.5</f>
        <v>342.44000000000005</v>
      </c>
      <c r="G125" s="10">
        <f>+F125/120</f>
        <v>2.8536666666666672</v>
      </c>
    </row>
    <row r="126" spans="1:13">
      <c r="A126" s="5">
        <v>45610</v>
      </c>
      <c r="B126" s="6">
        <v>10142</v>
      </c>
      <c r="D126" s="7" t="s">
        <v>126</v>
      </c>
      <c r="E126" s="8" t="s">
        <v>127</v>
      </c>
      <c r="F126" s="9">
        <f>2740-1999.95</f>
        <v>740.05</v>
      </c>
      <c r="G126" s="10">
        <f>+F126/120</f>
        <v>6.1670833333333333</v>
      </c>
    </row>
    <row r="127" spans="1:13">
      <c r="A127" s="5">
        <v>45618</v>
      </c>
      <c r="B127" s="6">
        <v>10142</v>
      </c>
      <c r="D127" s="7" t="s">
        <v>124</v>
      </c>
      <c r="E127" s="8" t="s">
        <v>128</v>
      </c>
      <c r="G127" s="10">
        <v>0.25</v>
      </c>
    </row>
    <row r="128" spans="1:13" s="19" customFormat="1">
      <c r="A128" s="5">
        <v>45628</v>
      </c>
      <c r="B128" s="6">
        <v>10142</v>
      </c>
      <c r="C128" s="6"/>
      <c r="D128" s="7" t="s">
        <v>124</v>
      </c>
      <c r="E128" s="8" t="s">
        <v>129</v>
      </c>
      <c r="F128" s="9"/>
      <c r="G128" s="10">
        <v>0.5</v>
      </c>
      <c r="I128" s="11"/>
      <c r="J128" s="11"/>
      <c r="K128" s="11"/>
      <c r="L128" s="11"/>
      <c r="M128" s="11"/>
    </row>
    <row r="129" spans="1:13" s="19" customFormat="1">
      <c r="A129" s="5">
        <v>45629</v>
      </c>
      <c r="B129" s="6">
        <v>10142</v>
      </c>
      <c r="C129" s="6"/>
      <c r="D129" s="7" t="s">
        <v>124</v>
      </c>
      <c r="E129" s="8" t="s">
        <v>130</v>
      </c>
      <c r="F129" s="9"/>
      <c r="G129" s="10">
        <v>0.5</v>
      </c>
      <c r="I129" s="11"/>
      <c r="J129" s="11"/>
      <c r="K129" s="11"/>
      <c r="L129" s="11"/>
      <c r="M129" s="11"/>
    </row>
    <row r="130" spans="1:13" s="19" customFormat="1" ht="25.5">
      <c r="A130" s="5">
        <v>45631</v>
      </c>
      <c r="B130" s="6">
        <v>10142</v>
      </c>
      <c r="C130" s="6"/>
      <c r="D130" s="7" t="s">
        <v>124</v>
      </c>
      <c r="E130" s="8" t="s">
        <v>131</v>
      </c>
      <c r="F130" s="9"/>
      <c r="G130" s="10">
        <v>1.25</v>
      </c>
      <c r="I130" s="11"/>
      <c r="J130" s="11"/>
    </row>
    <row r="131" spans="1:13" s="19" customFormat="1">
      <c r="A131" s="5">
        <v>45632</v>
      </c>
      <c r="B131" s="6">
        <v>10142</v>
      </c>
      <c r="C131" s="6"/>
      <c r="D131" s="7" t="s">
        <v>124</v>
      </c>
      <c r="E131" s="8" t="s">
        <v>132</v>
      </c>
      <c r="F131" s="9"/>
      <c r="G131" s="10">
        <v>0.5</v>
      </c>
      <c r="I131" s="11"/>
      <c r="J131" s="11"/>
      <c r="K131" s="11"/>
      <c r="L131" s="11"/>
      <c r="M131" s="11"/>
    </row>
    <row r="132" spans="1:13">
      <c r="A132" s="5">
        <v>45638</v>
      </c>
      <c r="B132" s="6">
        <v>10142</v>
      </c>
      <c r="D132" s="7" t="s">
        <v>126</v>
      </c>
      <c r="E132" s="8" t="s">
        <v>133</v>
      </c>
      <c r="G132" s="10">
        <v>0.25</v>
      </c>
    </row>
    <row r="133" spans="1:13">
      <c r="A133" s="5">
        <v>45642</v>
      </c>
      <c r="B133" s="6">
        <v>10142</v>
      </c>
      <c r="D133" s="7" t="s">
        <v>126</v>
      </c>
      <c r="E133" s="8" t="s">
        <v>134</v>
      </c>
      <c r="G133" s="10">
        <v>0.5</v>
      </c>
      <c r="I133" s="19"/>
      <c r="J133" s="19"/>
    </row>
    <row r="134" spans="1:13">
      <c r="A134" s="5">
        <v>45645</v>
      </c>
      <c r="B134" s="6">
        <v>10142</v>
      </c>
      <c r="D134" s="7" t="s">
        <v>126</v>
      </c>
      <c r="E134" s="8" t="s">
        <v>135</v>
      </c>
      <c r="G134" s="10">
        <v>1</v>
      </c>
      <c r="K134" s="19"/>
      <c r="L134" s="19"/>
      <c r="M134" s="19"/>
    </row>
    <row r="135" spans="1:13">
      <c r="A135" s="5">
        <v>45666</v>
      </c>
      <c r="B135" s="6">
        <v>10142</v>
      </c>
      <c r="D135" s="7" t="s">
        <v>126</v>
      </c>
      <c r="E135" s="8" t="s">
        <v>136</v>
      </c>
      <c r="G135" s="10">
        <v>0.5</v>
      </c>
      <c r="K135" s="19"/>
      <c r="L135" s="19"/>
      <c r="M135" s="19"/>
    </row>
    <row r="136" spans="1:13">
      <c r="A136" s="5">
        <v>45330</v>
      </c>
      <c r="B136" s="6">
        <v>10150</v>
      </c>
      <c r="D136" s="7" t="s">
        <v>137</v>
      </c>
      <c r="E136" s="8" t="s">
        <v>138</v>
      </c>
      <c r="G136" s="10">
        <v>3.75</v>
      </c>
      <c r="K136" s="19"/>
      <c r="L136" s="19"/>
      <c r="M136" s="19"/>
    </row>
    <row r="137" spans="1:13">
      <c r="A137" s="5">
        <v>45475</v>
      </c>
      <c r="B137" s="6">
        <v>10150</v>
      </c>
      <c r="D137" s="7" t="s">
        <v>137</v>
      </c>
      <c r="E137" s="8" t="s">
        <v>139</v>
      </c>
      <c r="G137" s="10">
        <v>2.75</v>
      </c>
      <c r="K137" s="19"/>
      <c r="L137" s="19"/>
      <c r="M137" s="19"/>
    </row>
    <row r="138" spans="1:13">
      <c r="A138" s="5">
        <v>45498</v>
      </c>
      <c r="B138" s="6">
        <v>10150</v>
      </c>
      <c r="D138" s="7" t="s">
        <v>137</v>
      </c>
      <c r="E138" s="8" t="s">
        <v>140</v>
      </c>
      <c r="G138" s="10">
        <v>0.25</v>
      </c>
    </row>
    <row r="139" spans="1:13">
      <c r="A139" s="5">
        <v>45517</v>
      </c>
      <c r="B139" s="6">
        <v>10150</v>
      </c>
      <c r="D139" s="7" t="s">
        <v>137</v>
      </c>
      <c r="E139" s="8" t="s">
        <v>141</v>
      </c>
      <c r="G139" s="10">
        <v>0.5</v>
      </c>
    </row>
    <row r="140" spans="1:13" s="19" customFormat="1">
      <c r="A140" s="5">
        <v>45685</v>
      </c>
      <c r="B140" s="6">
        <v>10150</v>
      </c>
      <c r="C140" s="6"/>
      <c r="D140" s="7" t="s">
        <v>137</v>
      </c>
      <c r="E140" s="8" t="s">
        <v>142</v>
      </c>
      <c r="F140" s="9"/>
      <c r="G140" s="10">
        <v>0.25</v>
      </c>
      <c r="I140" s="11"/>
      <c r="J140" s="11"/>
      <c r="K140" s="11"/>
      <c r="L140" s="11"/>
      <c r="M140" s="11"/>
    </row>
    <row r="141" spans="1:13" s="19" customFormat="1">
      <c r="A141" s="5">
        <v>45455</v>
      </c>
      <c r="B141" s="6">
        <v>10157</v>
      </c>
      <c r="C141" s="6"/>
      <c r="D141" s="7" t="s">
        <v>143</v>
      </c>
      <c r="E141" s="8" t="s">
        <v>101</v>
      </c>
      <c r="F141" s="9"/>
      <c r="G141" s="10">
        <v>0.25</v>
      </c>
      <c r="I141" s="11"/>
      <c r="J141" s="11"/>
      <c r="K141" s="11"/>
      <c r="L141" s="11"/>
      <c r="M141" s="11"/>
    </row>
    <row r="142" spans="1:13">
      <c r="A142" s="5">
        <v>45321</v>
      </c>
      <c r="B142" s="6">
        <v>10164</v>
      </c>
      <c r="D142" s="7" t="s">
        <v>144</v>
      </c>
      <c r="E142" s="8" t="s">
        <v>145</v>
      </c>
      <c r="G142" s="10">
        <v>0.75</v>
      </c>
    </row>
    <row r="143" spans="1:13">
      <c r="A143" s="5">
        <v>45314</v>
      </c>
      <c r="B143" s="6">
        <v>10167</v>
      </c>
      <c r="D143" s="7" t="s">
        <v>146</v>
      </c>
      <c r="E143" s="8" t="s">
        <v>147</v>
      </c>
      <c r="G143" s="10">
        <v>0.5</v>
      </c>
    </row>
    <row r="144" spans="1:13">
      <c r="A144" s="5">
        <v>45419</v>
      </c>
      <c r="B144" s="6">
        <v>10167</v>
      </c>
      <c r="D144" s="7" t="s">
        <v>146</v>
      </c>
      <c r="E144" s="8" t="s">
        <v>148</v>
      </c>
      <c r="G144" s="10">
        <v>0.5</v>
      </c>
    </row>
    <row r="145" spans="1:13">
      <c r="A145" s="5">
        <v>45422</v>
      </c>
      <c r="B145" s="6">
        <v>10167</v>
      </c>
      <c r="D145" s="7" t="s">
        <v>146</v>
      </c>
      <c r="E145" s="8" t="s">
        <v>149</v>
      </c>
      <c r="G145" s="10">
        <v>0.5</v>
      </c>
    </row>
    <row r="146" spans="1:13">
      <c r="A146" s="5">
        <v>45601</v>
      </c>
      <c r="B146" s="6">
        <v>10167</v>
      </c>
      <c r="D146" s="7" t="s">
        <v>146</v>
      </c>
      <c r="E146" s="8" t="s">
        <v>150</v>
      </c>
      <c r="G146" s="10">
        <v>0.25</v>
      </c>
      <c r="I146" s="19"/>
      <c r="J146" s="19"/>
      <c r="K146" s="19"/>
      <c r="L146" s="19"/>
      <c r="M146" s="19"/>
    </row>
    <row r="147" spans="1:13">
      <c r="A147" s="5">
        <v>45642</v>
      </c>
      <c r="B147" s="6">
        <v>10170</v>
      </c>
      <c r="D147" s="7" t="s">
        <v>151</v>
      </c>
      <c r="E147" s="8" t="s">
        <v>54</v>
      </c>
      <c r="G147" s="10">
        <v>0.5</v>
      </c>
      <c r="K147" s="19"/>
      <c r="L147" s="19"/>
      <c r="M147" s="19"/>
    </row>
    <row r="148" spans="1:13">
      <c r="A148" s="5">
        <v>45145</v>
      </c>
      <c r="B148" s="6">
        <v>60230</v>
      </c>
      <c r="D148" s="7" t="s">
        <v>152</v>
      </c>
      <c r="E148" s="8" t="s">
        <v>153</v>
      </c>
      <c r="F148" s="9">
        <f>710-497.75</f>
        <v>212.25</v>
      </c>
      <c r="G148" s="10">
        <f>+F148/120</f>
        <v>1.76875</v>
      </c>
    </row>
    <row r="149" spans="1:13" ht="25.5">
      <c r="A149" s="5">
        <v>45645</v>
      </c>
      <c r="B149" s="6">
        <v>10170</v>
      </c>
      <c r="D149" s="7" t="s">
        <v>151</v>
      </c>
      <c r="E149" s="8" t="s">
        <v>154</v>
      </c>
      <c r="G149" s="10">
        <v>0.5</v>
      </c>
    </row>
    <row r="150" spans="1:13">
      <c r="A150" s="5">
        <v>45686</v>
      </c>
      <c r="B150" s="6">
        <v>10170</v>
      </c>
      <c r="D150" s="7" t="s">
        <v>151</v>
      </c>
      <c r="E150" s="8" t="s">
        <v>155</v>
      </c>
      <c r="G150" s="10">
        <v>0.25</v>
      </c>
    </row>
    <row r="151" spans="1:13">
      <c r="A151" s="5">
        <v>45708</v>
      </c>
      <c r="B151" s="6">
        <v>10170</v>
      </c>
      <c r="D151" s="7" t="s">
        <v>151</v>
      </c>
      <c r="E151" s="8" t="s">
        <v>156</v>
      </c>
      <c r="G151" s="10">
        <v>0.5</v>
      </c>
    </row>
    <row r="152" spans="1:13">
      <c r="A152" s="5">
        <v>45357</v>
      </c>
      <c r="B152" s="6">
        <v>10178</v>
      </c>
      <c r="D152" s="7" t="s">
        <v>157</v>
      </c>
      <c r="E152" s="8" t="s">
        <v>158</v>
      </c>
      <c r="G152" s="10">
        <v>0.5</v>
      </c>
      <c r="I152" s="19"/>
      <c r="J152" s="19"/>
    </row>
    <row r="153" spans="1:13">
      <c r="A153" s="5">
        <v>45378</v>
      </c>
      <c r="B153" s="6">
        <v>10178</v>
      </c>
      <c r="D153" s="7" t="s">
        <v>157</v>
      </c>
      <c r="E153" s="8" t="s">
        <v>101</v>
      </c>
      <c r="G153" s="10">
        <v>0.5</v>
      </c>
      <c r="I153" s="19"/>
      <c r="J153" s="19"/>
    </row>
    <row r="154" spans="1:13" ht="25.5">
      <c r="A154" s="5">
        <v>45397</v>
      </c>
      <c r="B154" s="6">
        <v>10178</v>
      </c>
      <c r="D154" s="7" t="s">
        <v>157</v>
      </c>
      <c r="E154" s="8" t="s">
        <v>159</v>
      </c>
      <c r="G154" s="10">
        <v>0.5</v>
      </c>
      <c r="I154" s="19"/>
      <c r="J154" s="19"/>
    </row>
    <row r="155" spans="1:13" ht="25.5">
      <c r="A155" s="5">
        <v>45455</v>
      </c>
      <c r="B155" s="6">
        <v>10178</v>
      </c>
      <c r="D155" s="7" t="s">
        <v>157</v>
      </c>
      <c r="E155" s="8" t="s">
        <v>160</v>
      </c>
      <c r="G155" s="10">
        <v>0.25</v>
      </c>
      <c r="I155" s="19"/>
      <c r="J155" s="19"/>
    </row>
    <row r="156" spans="1:13" s="19" customFormat="1">
      <c r="A156" s="5">
        <v>45694</v>
      </c>
      <c r="B156" s="6">
        <v>10180</v>
      </c>
      <c r="C156" s="6"/>
      <c r="D156" s="7" t="s">
        <v>161</v>
      </c>
      <c r="E156" s="8" t="s">
        <v>162</v>
      </c>
      <c r="F156" s="9"/>
      <c r="G156" s="10">
        <v>1.25</v>
      </c>
      <c r="I156" s="11"/>
      <c r="J156" s="11"/>
      <c r="K156" s="11"/>
      <c r="L156" s="11"/>
      <c r="M156" s="11"/>
    </row>
    <row r="157" spans="1:13" s="19" customFormat="1">
      <c r="A157" s="5">
        <v>45698</v>
      </c>
      <c r="B157" s="6">
        <v>10180</v>
      </c>
      <c r="C157" s="6"/>
      <c r="D157" s="7" t="s">
        <v>161</v>
      </c>
      <c r="E157" s="8" t="s">
        <v>163</v>
      </c>
      <c r="F157" s="9"/>
      <c r="G157" s="10">
        <v>0.75</v>
      </c>
      <c r="H157" s="19" t="s">
        <v>15</v>
      </c>
      <c r="I157" s="11"/>
      <c r="J157" s="11"/>
      <c r="K157" s="11"/>
      <c r="L157" s="11"/>
      <c r="M157" s="11"/>
    </row>
    <row r="158" spans="1:13" s="19" customFormat="1">
      <c r="A158" s="5">
        <v>45700</v>
      </c>
      <c r="B158" s="6">
        <v>10180</v>
      </c>
      <c r="C158" s="6"/>
      <c r="D158" s="7" t="s">
        <v>161</v>
      </c>
      <c r="E158" s="8" t="s">
        <v>164</v>
      </c>
      <c r="F158" s="9"/>
      <c r="G158" s="10">
        <v>0.5</v>
      </c>
      <c r="I158" s="11"/>
      <c r="J158" s="11"/>
      <c r="K158" s="11"/>
      <c r="L158" s="11"/>
      <c r="M158" s="11"/>
    </row>
    <row r="159" spans="1:13">
      <c r="A159" s="5">
        <v>45700</v>
      </c>
      <c r="B159" s="6">
        <v>10180</v>
      </c>
      <c r="D159" s="7" t="s">
        <v>161</v>
      </c>
      <c r="E159" s="8" t="s">
        <v>165</v>
      </c>
      <c r="G159" s="10">
        <v>0.25</v>
      </c>
    </row>
    <row r="160" spans="1:13">
      <c r="A160" s="5">
        <v>45716</v>
      </c>
      <c r="B160" s="6">
        <v>10424</v>
      </c>
      <c r="D160" s="7" t="s">
        <v>166</v>
      </c>
      <c r="E160" s="11" t="s">
        <v>167</v>
      </c>
      <c r="F160" s="9">
        <f>2040.9-1984.8</f>
        <v>56.100000000000136</v>
      </c>
      <c r="H160" s="5"/>
    </row>
    <row r="161" spans="1:13" ht="25.5">
      <c r="A161" s="5">
        <v>45707</v>
      </c>
      <c r="B161" s="6">
        <v>10180</v>
      </c>
      <c r="D161" s="7" t="s">
        <v>161</v>
      </c>
      <c r="E161" s="8" t="s">
        <v>168</v>
      </c>
      <c r="G161" s="10">
        <v>0.5</v>
      </c>
    </row>
    <row r="162" spans="1:13">
      <c r="A162" s="5">
        <v>45694</v>
      </c>
      <c r="B162" s="6">
        <v>10181</v>
      </c>
      <c r="D162" s="7" t="s">
        <v>169</v>
      </c>
      <c r="E162" s="8" t="s">
        <v>170</v>
      </c>
      <c r="G162" s="10">
        <v>0.5</v>
      </c>
    </row>
    <row r="163" spans="1:13" s="19" customFormat="1">
      <c r="A163" s="5">
        <v>45698</v>
      </c>
      <c r="B163" s="6">
        <v>10181</v>
      </c>
      <c r="C163" s="6"/>
      <c r="D163" s="7" t="s">
        <v>171</v>
      </c>
      <c r="E163" s="8" t="s">
        <v>172</v>
      </c>
      <c r="F163" s="9"/>
      <c r="G163" s="10">
        <v>0.75</v>
      </c>
      <c r="H163" s="19" t="s">
        <v>15</v>
      </c>
      <c r="I163" s="11"/>
      <c r="J163" s="11"/>
      <c r="K163" s="11"/>
      <c r="L163" s="11"/>
      <c r="M163" s="11"/>
    </row>
    <row r="164" spans="1:13" s="19" customFormat="1" ht="25.5">
      <c r="A164" s="5">
        <v>45707</v>
      </c>
      <c r="B164" s="6">
        <v>10181</v>
      </c>
      <c r="C164" s="6"/>
      <c r="D164" s="7" t="s">
        <v>169</v>
      </c>
      <c r="E164" s="8" t="s">
        <v>168</v>
      </c>
      <c r="F164" s="9"/>
      <c r="G164" s="10">
        <v>0.5</v>
      </c>
      <c r="I164" s="11"/>
      <c r="J164" s="11"/>
      <c r="K164" s="11"/>
      <c r="L164" s="11"/>
      <c r="M164" s="11"/>
    </row>
    <row r="165" spans="1:13" s="19" customFormat="1">
      <c r="A165" s="5">
        <v>45714</v>
      </c>
      <c r="B165" s="6">
        <v>10181</v>
      </c>
      <c r="C165" s="6"/>
      <c r="D165" s="7" t="s">
        <v>171</v>
      </c>
      <c r="E165" s="8" t="s">
        <v>173</v>
      </c>
      <c r="F165" s="9"/>
      <c r="G165" s="10">
        <v>0.75</v>
      </c>
      <c r="I165" s="11"/>
      <c r="J165" s="11"/>
      <c r="K165" s="11"/>
      <c r="L165" s="11"/>
      <c r="M165" s="11"/>
    </row>
    <row r="166" spans="1:13" s="19" customFormat="1">
      <c r="A166" s="5">
        <v>45694</v>
      </c>
      <c r="B166" s="6">
        <v>10182</v>
      </c>
      <c r="C166" s="6"/>
      <c r="D166" s="7" t="s">
        <v>174</v>
      </c>
      <c r="E166" s="8" t="s">
        <v>175</v>
      </c>
      <c r="F166" s="9"/>
      <c r="G166" s="10">
        <v>0.5</v>
      </c>
      <c r="I166" s="11"/>
      <c r="J166" s="11"/>
      <c r="K166" s="11"/>
      <c r="L166" s="11"/>
      <c r="M166" s="11"/>
    </row>
    <row r="167" spans="1:13">
      <c r="A167" s="5">
        <v>45378</v>
      </c>
      <c r="B167" s="6">
        <v>10183</v>
      </c>
      <c r="D167" s="7" t="s">
        <v>176</v>
      </c>
      <c r="E167" s="8" t="s">
        <v>177</v>
      </c>
      <c r="G167" s="10">
        <v>0.5</v>
      </c>
      <c r="K167" s="19"/>
      <c r="L167" s="19"/>
      <c r="M167" s="19"/>
    </row>
    <row r="168" spans="1:13">
      <c r="A168" s="5">
        <v>45387</v>
      </c>
      <c r="B168" s="6">
        <v>10183</v>
      </c>
      <c r="D168" s="7" t="s">
        <v>176</v>
      </c>
      <c r="E168" s="8" t="s">
        <v>178</v>
      </c>
      <c r="G168" s="10">
        <v>0.25</v>
      </c>
      <c r="K168" s="19"/>
      <c r="L168" s="19"/>
      <c r="M168" s="19"/>
    </row>
    <row r="169" spans="1:13" ht="25.5">
      <c r="A169" s="5">
        <v>45545</v>
      </c>
      <c r="B169" s="6">
        <v>10183</v>
      </c>
      <c r="D169" s="7" t="s">
        <v>176</v>
      </c>
      <c r="E169" s="8" t="s">
        <v>179</v>
      </c>
      <c r="G169" s="10">
        <f>17-13.5-1</f>
        <v>2.5</v>
      </c>
      <c r="K169" s="19"/>
      <c r="L169" s="19"/>
      <c r="M169" s="19"/>
    </row>
    <row r="170" spans="1:13" ht="25.5">
      <c r="A170" s="5">
        <v>45546</v>
      </c>
      <c r="B170" s="6">
        <v>10183</v>
      </c>
      <c r="D170" s="7" t="s">
        <v>176</v>
      </c>
      <c r="E170" s="8" t="s">
        <v>180</v>
      </c>
      <c r="G170" s="10">
        <v>7.25</v>
      </c>
      <c r="K170" s="19"/>
      <c r="L170" s="19"/>
      <c r="M170" s="19"/>
    </row>
    <row r="171" spans="1:13" ht="25.5">
      <c r="A171" s="5">
        <v>45547</v>
      </c>
      <c r="B171" s="6">
        <v>10183</v>
      </c>
      <c r="D171" s="7" t="s">
        <v>176</v>
      </c>
      <c r="E171" s="8" t="s">
        <v>181</v>
      </c>
      <c r="G171" s="10">
        <v>9.25</v>
      </c>
      <c r="K171" s="19"/>
      <c r="L171" s="19"/>
      <c r="M171" s="19"/>
    </row>
    <row r="172" spans="1:13">
      <c r="A172" s="5">
        <v>45548</v>
      </c>
      <c r="B172" s="6">
        <v>10183</v>
      </c>
      <c r="D172" s="7" t="s">
        <v>176</v>
      </c>
      <c r="E172" s="8" t="s">
        <v>182</v>
      </c>
      <c r="G172" s="10">
        <v>3.5</v>
      </c>
      <c r="K172" s="19"/>
      <c r="L172" s="19"/>
      <c r="M172" s="19"/>
    </row>
    <row r="173" spans="1:13">
      <c r="A173" s="5">
        <v>45558</v>
      </c>
      <c r="B173" s="6">
        <v>10183</v>
      </c>
      <c r="D173" s="7" t="s">
        <v>176</v>
      </c>
      <c r="E173" s="8" t="s">
        <v>183</v>
      </c>
      <c r="G173" s="10">
        <v>0.5</v>
      </c>
      <c r="K173" s="19"/>
      <c r="L173" s="19"/>
      <c r="M173" s="19"/>
    </row>
    <row r="174" spans="1:13" ht="25.5">
      <c r="A174" s="5">
        <v>45596</v>
      </c>
      <c r="B174" s="6">
        <v>10183</v>
      </c>
      <c r="D174" s="7" t="s">
        <v>176</v>
      </c>
      <c r="E174" s="8" t="s">
        <v>184</v>
      </c>
      <c r="G174" s="10">
        <v>1</v>
      </c>
    </row>
    <row r="175" spans="1:13">
      <c r="A175" s="5">
        <v>45604</v>
      </c>
      <c r="B175" s="6">
        <v>10183</v>
      </c>
      <c r="D175" s="7" t="s">
        <v>176</v>
      </c>
      <c r="E175" s="8" t="s">
        <v>185</v>
      </c>
      <c r="G175" s="10">
        <v>6</v>
      </c>
      <c r="I175" s="19"/>
      <c r="J175" s="19"/>
    </row>
    <row r="176" spans="1:13">
      <c r="A176" s="5">
        <v>45607</v>
      </c>
      <c r="B176" s="6">
        <v>10183</v>
      </c>
      <c r="D176" s="7" t="s">
        <v>176</v>
      </c>
      <c r="E176" s="8" t="s">
        <v>186</v>
      </c>
      <c r="G176" s="10">
        <v>0.25</v>
      </c>
      <c r="I176" s="19"/>
      <c r="J176" s="19"/>
    </row>
    <row r="177" spans="1:10" ht="15" customHeight="1">
      <c r="A177" s="5">
        <v>45628</v>
      </c>
      <c r="B177" s="6">
        <v>10183</v>
      </c>
      <c r="D177" s="7" t="s">
        <v>176</v>
      </c>
      <c r="E177" s="8" t="s">
        <v>187</v>
      </c>
      <c r="G177" s="10">
        <v>0.25</v>
      </c>
    </row>
    <row r="178" spans="1:10">
      <c r="A178" s="5">
        <v>45716</v>
      </c>
      <c r="B178" s="6">
        <v>10412</v>
      </c>
      <c r="D178" s="7" t="s">
        <v>188</v>
      </c>
      <c r="E178" s="11" t="s">
        <v>189</v>
      </c>
      <c r="F178" s="9">
        <f>178.75-100.8</f>
        <v>77.95</v>
      </c>
      <c r="H178" s="5"/>
    </row>
    <row r="179" spans="1:10" ht="38.25">
      <c r="A179" s="5">
        <v>45638</v>
      </c>
      <c r="B179" s="6">
        <v>10183</v>
      </c>
      <c r="D179" s="7" t="s">
        <v>176</v>
      </c>
      <c r="E179" s="8" t="s">
        <v>190</v>
      </c>
      <c r="G179" s="10">
        <v>4</v>
      </c>
    </row>
    <row r="180" spans="1:10">
      <c r="A180" s="5">
        <v>45644</v>
      </c>
      <c r="B180" s="6">
        <v>10183</v>
      </c>
      <c r="D180" s="7" t="s">
        <v>176</v>
      </c>
      <c r="E180" s="8" t="s">
        <v>191</v>
      </c>
      <c r="G180" s="10">
        <v>0.5</v>
      </c>
    </row>
    <row r="181" spans="1:10">
      <c r="A181" s="5">
        <v>45674</v>
      </c>
      <c r="B181" s="6">
        <v>10183</v>
      </c>
      <c r="D181" s="7" t="s">
        <v>176</v>
      </c>
      <c r="E181" s="8" t="s">
        <v>192</v>
      </c>
      <c r="G181" s="10">
        <v>0.25</v>
      </c>
    </row>
    <row r="182" spans="1:10">
      <c r="A182" s="5">
        <v>45685</v>
      </c>
      <c r="B182" s="6">
        <v>10183</v>
      </c>
      <c r="D182" s="7" t="s">
        <v>176</v>
      </c>
      <c r="E182" s="8" t="s">
        <v>193</v>
      </c>
      <c r="G182" s="10">
        <v>0.25</v>
      </c>
    </row>
    <row r="183" spans="1:10">
      <c r="A183" s="5">
        <v>45692</v>
      </c>
      <c r="B183" s="6">
        <v>10183</v>
      </c>
      <c r="D183" s="7" t="s">
        <v>176</v>
      </c>
      <c r="E183" s="8" t="s">
        <v>194</v>
      </c>
      <c r="G183" s="10">
        <v>0.75</v>
      </c>
      <c r="H183" s="20">
        <f>SUM(G167:G183)</f>
        <v>37</v>
      </c>
    </row>
    <row r="185" spans="1:10">
      <c r="A185" s="5">
        <v>45623</v>
      </c>
      <c r="B185" s="6">
        <v>10203</v>
      </c>
      <c r="D185" s="7" t="s">
        <v>195</v>
      </c>
      <c r="E185" s="8" t="s">
        <v>196</v>
      </c>
      <c r="G185" s="10">
        <v>0.25</v>
      </c>
    </row>
    <row r="186" spans="1:10" ht="25.5">
      <c r="A186" s="5">
        <v>45625</v>
      </c>
      <c r="B186" s="6">
        <v>10203</v>
      </c>
      <c r="D186" s="7" t="s">
        <v>197</v>
      </c>
      <c r="E186" s="8" t="s">
        <v>198</v>
      </c>
      <c r="G186" s="10">
        <v>1.25</v>
      </c>
    </row>
    <row r="187" spans="1:10">
      <c r="A187" s="5">
        <v>45630</v>
      </c>
      <c r="B187" s="6">
        <v>10203</v>
      </c>
      <c r="D187" s="7" t="s">
        <v>197</v>
      </c>
      <c r="E187" s="8" t="s">
        <v>199</v>
      </c>
      <c r="G187" s="10">
        <v>0.25</v>
      </c>
      <c r="I187" s="19"/>
      <c r="J187" s="19"/>
    </row>
    <row r="188" spans="1:10">
      <c r="A188" s="5">
        <v>45632</v>
      </c>
      <c r="B188" s="6">
        <v>10203</v>
      </c>
      <c r="D188" s="7" t="s">
        <v>200</v>
      </c>
      <c r="E188" s="8" t="s">
        <v>201</v>
      </c>
      <c r="G188" s="10">
        <v>0.5</v>
      </c>
    </row>
    <row r="189" spans="1:10">
      <c r="A189" s="5">
        <v>45664</v>
      </c>
      <c r="B189" s="6">
        <v>10203</v>
      </c>
      <c r="D189" s="7" t="s">
        <v>197</v>
      </c>
      <c r="E189" s="8" t="s">
        <v>202</v>
      </c>
      <c r="G189" s="10">
        <v>0.25</v>
      </c>
      <c r="I189" s="19"/>
      <c r="J189" s="19"/>
    </row>
    <row r="190" spans="1:10">
      <c r="A190" s="5">
        <v>45673</v>
      </c>
      <c r="B190" s="6">
        <v>10203</v>
      </c>
      <c r="D190" s="7" t="s">
        <v>200</v>
      </c>
      <c r="E190" s="8" t="s">
        <v>203</v>
      </c>
      <c r="G190" s="10">
        <v>0.25</v>
      </c>
    </row>
    <row r="191" spans="1:10">
      <c r="A191" s="5">
        <v>45673</v>
      </c>
      <c r="B191" s="6">
        <v>10203</v>
      </c>
      <c r="D191" s="7" t="s">
        <v>197</v>
      </c>
      <c r="E191" s="8" t="s">
        <v>110</v>
      </c>
      <c r="G191" s="10">
        <v>0.5</v>
      </c>
    </row>
    <row r="192" spans="1:10">
      <c r="A192" s="5">
        <v>45692</v>
      </c>
      <c r="B192" s="6">
        <v>10203</v>
      </c>
      <c r="D192" s="7" t="s">
        <v>200</v>
      </c>
      <c r="E192" s="8" t="s">
        <v>204</v>
      </c>
      <c r="G192" s="10">
        <v>0.5</v>
      </c>
    </row>
    <row r="193" spans="1:13" ht="25.5">
      <c r="A193" s="5">
        <v>45558</v>
      </c>
      <c r="B193" s="6">
        <v>10204</v>
      </c>
      <c r="D193" s="7" t="s">
        <v>205</v>
      </c>
      <c r="E193" s="8" t="s">
        <v>206</v>
      </c>
      <c r="G193" s="10">
        <v>0.75</v>
      </c>
      <c r="I193" s="19"/>
      <c r="J193" s="19"/>
    </row>
    <row r="194" spans="1:13">
      <c r="A194" s="5">
        <v>45581</v>
      </c>
      <c r="B194" s="6">
        <v>10204</v>
      </c>
      <c r="D194" s="7" t="s">
        <v>207</v>
      </c>
      <c r="E194" s="8" t="s">
        <v>208</v>
      </c>
      <c r="G194" s="10">
        <v>0.75</v>
      </c>
      <c r="I194" s="19"/>
      <c r="J194" s="19"/>
    </row>
    <row r="195" spans="1:13">
      <c r="A195" s="5">
        <v>45614</v>
      </c>
      <c r="B195" s="6">
        <v>10204</v>
      </c>
      <c r="D195" s="7" t="s">
        <v>207</v>
      </c>
      <c r="E195" s="8" t="s">
        <v>209</v>
      </c>
      <c r="G195" s="10">
        <v>0.25</v>
      </c>
      <c r="I195" s="19"/>
      <c r="J195" s="19"/>
    </row>
    <row r="196" spans="1:13">
      <c r="A196" s="5">
        <v>45629</v>
      </c>
      <c r="B196" s="6">
        <v>10204</v>
      </c>
      <c r="D196" s="7" t="s">
        <v>207</v>
      </c>
      <c r="E196" s="8" t="s">
        <v>210</v>
      </c>
      <c r="G196" s="10">
        <v>0.25</v>
      </c>
      <c r="I196" s="19"/>
      <c r="J196" s="19"/>
    </row>
    <row r="197" spans="1:13">
      <c r="A197" s="5">
        <v>45645</v>
      </c>
      <c r="B197" s="6">
        <v>10204</v>
      </c>
      <c r="D197" s="7" t="s">
        <v>207</v>
      </c>
      <c r="E197" s="8" t="s">
        <v>211</v>
      </c>
      <c r="G197" s="10">
        <v>1</v>
      </c>
      <c r="I197" s="19"/>
      <c r="J197" s="19"/>
    </row>
    <row r="198" spans="1:13" ht="25.5">
      <c r="A198" s="5">
        <v>45714</v>
      </c>
      <c r="B198" s="6">
        <v>10204</v>
      </c>
      <c r="D198" s="7" t="s">
        <v>212</v>
      </c>
      <c r="E198" s="8" t="s">
        <v>213</v>
      </c>
      <c r="G198" s="10">
        <v>5</v>
      </c>
    </row>
    <row r="199" spans="1:13" ht="25.5">
      <c r="A199" s="5">
        <v>45699</v>
      </c>
      <c r="B199" s="6">
        <v>10205</v>
      </c>
      <c r="D199" s="7" t="s">
        <v>214</v>
      </c>
      <c r="E199" s="8" t="s">
        <v>215</v>
      </c>
      <c r="F199" s="9">
        <f>5760-1653.5-2929.85</f>
        <v>1176.6500000000001</v>
      </c>
    </row>
    <row r="200" spans="1:13">
      <c r="A200" s="5">
        <v>45699</v>
      </c>
      <c r="B200" s="6">
        <v>10205</v>
      </c>
      <c r="D200" s="7" t="s">
        <v>214</v>
      </c>
      <c r="E200" s="8" t="s">
        <v>216</v>
      </c>
      <c r="G200" s="10">
        <f>15.5-9-2</f>
        <v>4.5</v>
      </c>
      <c r="H200" s="19" t="s">
        <v>15</v>
      </c>
    </row>
    <row r="201" spans="1:13">
      <c r="A201" s="5">
        <v>45705</v>
      </c>
      <c r="B201" s="6">
        <v>10205</v>
      </c>
      <c r="D201" s="7" t="s">
        <v>217</v>
      </c>
      <c r="E201" s="8" t="s">
        <v>218</v>
      </c>
      <c r="G201" s="10">
        <v>0.5</v>
      </c>
    </row>
    <row r="202" spans="1:13">
      <c r="A202" s="5">
        <v>45708</v>
      </c>
      <c r="B202" s="6">
        <v>10205</v>
      </c>
      <c r="D202" s="7" t="s">
        <v>219</v>
      </c>
      <c r="E202" s="8" t="s">
        <v>220</v>
      </c>
      <c r="G202" s="10">
        <v>0.25</v>
      </c>
    </row>
    <row r="203" spans="1:13">
      <c r="A203" s="5">
        <v>45625</v>
      </c>
      <c r="B203" s="6">
        <v>10209</v>
      </c>
      <c r="D203" s="7" t="s">
        <v>221</v>
      </c>
      <c r="E203" s="8" t="s">
        <v>222</v>
      </c>
      <c r="G203" s="10">
        <v>0.75</v>
      </c>
    </row>
    <row r="204" spans="1:13" s="19" customFormat="1">
      <c r="A204" s="5">
        <v>45644</v>
      </c>
      <c r="B204" s="6">
        <v>10209</v>
      </c>
      <c r="C204" s="6"/>
      <c r="D204" s="7" t="s">
        <v>223</v>
      </c>
      <c r="E204" s="8" t="s">
        <v>224</v>
      </c>
      <c r="F204" s="9"/>
      <c r="G204" s="10">
        <v>0.25</v>
      </c>
      <c r="I204" s="11"/>
      <c r="J204" s="11"/>
      <c r="K204" s="11"/>
      <c r="L204" s="11"/>
      <c r="M204" s="11"/>
    </row>
    <row r="205" spans="1:13" s="19" customFormat="1">
      <c r="A205" s="5">
        <v>45665</v>
      </c>
      <c r="B205" s="6">
        <v>10209</v>
      </c>
      <c r="C205" s="6"/>
      <c r="D205" s="7" t="s">
        <v>223</v>
      </c>
      <c r="E205" s="8" t="s">
        <v>225</v>
      </c>
      <c r="F205" s="9"/>
      <c r="G205" s="10">
        <v>0.5</v>
      </c>
      <c r="I205" s="11"/>
      <c r="J205" s="11"/>
      <c r="K205" s="11"/>
      <c r="L205" s="11"/>
      <c r="M205" s="11"/>
    </row>
    <row r="206" spans="1:13" s="19" customFormat="1">
      <c r="A206" s="5">
        <v>45673</v>
      </c>
      <c r="B206" s="6">
        <v>10209</v>
      </c>
      <c r="C206" s="6"/>
      <c r="D206" s="2" t="s">
        <v>221</v>
      </c>
      <c r="E206" s="8" t="s">
        <v>88</v>
      </c>
      <c r="F206" s="9"/>
      <c r="G206" s="10">
        <v>0.25</v>
      </c>
      <c r="I206" s="11"/>
      <c r="J206" s="11"/>
      <c r="K206" s="11"/>
      <c r="L206" s="11"/>
      <c r="M206" s="11"/>
    </row>
    <row r="207" spans="1:13">
      <c r="A207" s="5">
        <v>45681</v>
      </c>
      <c r="B207" s="6">
        <v>10209</v>
      </c>
      <c r="D207" s="7" t="s">
        <v>223</v>
      </c>
      <c r="E207" s="8" t="s">
        <v>226</v>
      </c>
      <c r="G207" s="10">
        <v>0.5</v>
      </c>
    </row>
    <row r="208" spans="1:13">
      <c r="A208" s="5">
        <v>45684</v>
      </c>
      <c r="B208" s="6">
        <v>10209</v>
      </c>
      <c r="D208" s="7" t="s">
        <v>227</v>
      </c>
      <c r="E208" s="8" t="s">
        <v>228</v>
      </c>
      <c r="G208" s="10">
        <v>0.5</v>
      </c>
    </row>
    <row r="209" spans="1:13" ht="25.5">
      <c r="A209" s="5">
        <v>45687</v>
      </c>
      <c r="B209" s="6">
        <v>10209</v>
      </c>
      <c r="D209" s="7" t="s">
        <v>221</v>
      </c>
      <c r="E209" s="8" t="s">
        <v>229</v>
      </c>
      <c r="G209" s="10">
        <v>2.75</v>
      </c>
    </row>
    <row r="210" spans="1:13">
      <c r="A210" s="5">
        <v>45691</v>
      </c>
      <c r="B210" s="6">
        <v>10209</v>
      </c>
      <c r="D210" s="7" t="s">
        <v>223</v>
      </c>
      <c r="E210" s="8" t="s">
        <v>230</v>
      </c>
      <c r="G210" s="10">
        <v>0.25</v>
      </c>
    </row>
    <row r="211" spans="1:13">
      <c r="A211" s="5">
        <v>45691</v>
      </c>
      <c r="B211" s="6">
        <v>10209</v>
      </c>
      <c r="D211" s="7" t="s">
        <v>223</v>
      </c>
      <c r="E211" s="8" t="s">
        <v>231</v>
      </c>
      <c r="G211" s="10">
        <v>0.75</v>
      </c>
    </row>
    <row r="212" spans="1:13">
      <c r="A212" s="5">
        <v>45692</v>
      </c>
      <c r="B212" s="6">
        <v>10209</v>
      </c>
      <c r="D212" s="7" t="s">
        <v>232</v>
      </c>
      <c r="E212" s="8" t="s">
        <v>233</v>
      </c>
      <c r="G212" s="10">
        <v>3.5</v>
      </c>
    </row>
    <row r="213" spans="1:13" ht="25.5">
      <c r="A213" s="5">
        <v>45693</v>
      </c>
      <c r="B213" s="6">
        <v>10209</v>
      </c>
      <c r="D213" s="7" t="s">
        <v>223</v>
      </c>
      <c r="E213" s="8" t="s">
        <v>234</v>
      </c>
      <c r="G213" s="10">
        <v>1.5</v>
      </c>
      <c r="K213" s="19"/>
      <c r="L213" s="19"/>
      <c r="M213" s="19"/>
    </row>
    <row r="214" spans="1:13">
      <c r="A214" s="5">
        <v>45694</v>
      </c>
      <c r="B214" s="6">
        <v>10209</v>
      </c>
      <c r="D214" s="7" t="s">
        <v>223</v>
      </c>
      <c r="E214" s="8" t="s">
        <v>235</v>
      </c>
      <c r="G214" s="10">
        <v>0.5</v>
      </c>
      <c r="K214" s="19"/>
      <c r="L214" s="19"/>
      <c r="M214" s="19"/>
    </row>
    <row r="215" spans="1:13">
      <c r="A215" s="5">
        <v>45701</v>
      </c>
      <c r="B215" s="6">
        <v>10209</v>
      </c>
      <c r="D215" s="7" t="s">
        <v>223</v>
      </c>
      <c r="E215" s="8" t="s">
        <v>236</v>
      </c>
      <c r="G215" s="10">
        <v>0.5</v>
      </c>
      <c r="K215" s="19"/>
      <c r="L215" s="19"/>
      <c r="M215" s="19"/>
    </row>
    <row r="216" spans="1:13" ht="25.5">
      <c r="A216" s="5">
        <v>45705</v>
      </c>
      <c r="B216" s="6">
        <v>10209</v>
      </c>
      <c r="D216" s="7" t="s">
        <v>221</v>
      </c>
      <c r="E216" s="8" t="s">
        <v>237</v>
      </c>
      <c r="G216" s="10">
        <v>0.75</v>
      </c>
    </row>
    <row r="217" spans="1:13">
      <c r="A217" s="5">
        <v>45705</v>
      </c>
      <c r="B217" s="6">
        <v>10209</v>
      </c>
      <c r="D217" s="7" t="s">
        <v>221</v>
      </c>
      <c r="E217" s="8" t="s">
        <v>238</v>
      </c>
      <c r="G217" s="10">
        <v>0.25</v>
      </c>
    </row>
    <row r="218" spans="1:13" ht="25.5">
      <c r="A218" s="5">
        <v>45707</v>
      </c>
      <c r="B218" s="6">
        <v>10209</v>
      </c>
      <c r="D218" s="7" t="s">
        <v>221</v>
      </c>
      <c r="E218" s="8" t="s">
        <v>239</v>
      </c>
      <c r="G218" s="10">
        <v>1.75</v>
      </c>
    </row>
    <row r="219" spans="1:13">
      <c r="A219" s="5">
        <v>45708</v>
      </c>
      <c r="B219" s="6">
        <v>10209</v>
      </c>
      <c r="D219" s="7" t="s">
        <v>223</v>
      </c>
      <c r="E219" s="8" t="s">
        <v>240</v>
      </c>
      <c r="G219" s="10">
        <v>0.25</v>
      </c>
    </row>
    <row r="220" spans="1:13">
      <c r="A220" s="5">
        <v>45516</v>
      </c>
      <c r="B220" s="6">
        <v>10210</v>
      </c>
      <c r="D220" s="7" t="s">
        <v>241</v>
      </c>
      <c r="E220" s="8" t="s">
        <v>242</v>
      </c>
      <c r="G220" s="10">
        <v>0.25</v>
      </c>
    </row>
    <row r="221" spans="1:13">
      <c r="A221" s="5">
        <v>45579</v>
      </c>
      <c r="B221" s="6">
        <v>10210</v>
      </c>
      <c r="D221" s="7" t="s">
        <v>243</v>
      </c>
      <c r="E221" s="8" t="s">
        <v>244</v>
      </c>
      <c r="G221" s="10">
        <v>0.5</v>
      </c>
    </row>
    <row r="222" spans="1:13">
      <c r="A222" s="5">
        <v>45418</v>
      </c>
      <c r="B222" s="6">
        <v>10213</v>
      </c>
      <c r="D222" s="7" t="s">
        <v>245</v>
      </c>
      <c r="E222" s="8" t="s">
        <v>246</v>
      </c>
      <c r="G222" s="10">
        <v>0.75</v>
      </c>
    </row>
    <row r="223" spans="1:13" ht="25.5">
      <c r="A223" s="5">
        <v>45582</v>
      </c>
      <c r="B223" s="6">
        <v>10213</v>
      </c>
      <c r="D223" s="7" t="s">
        <v>247</v>
      </c>
      <c r="E223" s="8" t="s">
        <v>248</v>
      </c>
      <c r="G223" s="10">
        <v>0.5</v>
      </c>
    </row>
    <row r="224" spans="1:13">
      <c r="A224" s="5">
        <v>45677</v>
      </c>
      <c r="B224" s="6">
        <v>10213</v>
      </c>
      <c r="D224" s="7" t="s">
        <v>249</v>
      </c>
      <c r="E224" s="8" t="s">
        <v>250</v>
      </c>
      <c r="G224" s="10">
        <v>0.25</v>
      </c>
      <c r="H224" s="19" t="s">
        <v>15</v>
      </c>
    </row>
    <row r="225" spans="1:8">
      <c r="A225" s="5">
        <v>45684</v>
      </c>
      <c r="B225" s="6">
        <v>10213</v>
      </c>
      <c r="D225" s="7" t="s">
        <v>245</v>
      </c>
      <c r="E225" s="8" t="s">
        <v>251</v>
      </c>
      <c r="G225" s="10">
        <v>0.5</v>
      </c>
    </row>
    <row r="226" spans="1:8">
      <c r="A226" s="5">
        <v>45699</v>
      </c>
      <c r="B226" s="6">
        <v>10213</v>
      </c>
      <c r="D226" s="7" t="s">
        <v>252</v>
      </c>
      <c r="E226" s="8" t="s">
        <v>253</v>
      </c>
      <c r="G226" s="10">
        <v>1</v>
      </c>
      <c r="H226" s="19" t="s">
        <v>15</v>
      </c>
    </row>
    <row r="227" spans="1:8">
      <c r="A227" s="5">
        <v>45705</v>
      </c>
      <c r="B227" s="6">
        <v>10213</v>
      </c>
      <c r="D227" s="7" t="s">
        <v>254</v>
      </c>
      <c r="E227" s="8" t="s">
        <v>255</v>
      </c>
      <c r="G227" s="10">
        <v>0.5</v>
      </c>
    </row>
    <row r="228" spans="1:8">
      <c r="A228" s="5">
        <v>45706</v>
      </c>
      <c r="B228" s="6">
        <v>10213</v>
      </c>
      <c r="D228" s="7" t="s">
        <v>254</v>
      </c>
      <c r="E228" s="8" t="s">
        <v>256</v>
      </c>
      <c r="G228" s="10">
        <v>0.25</v>
      </c>
    </row>
    <row r="229" spans="1:8">
      <c r="A229" s="5">
        <v>45706</v>
      </c>
      <c r="B229" s="6">
        <v>10213</v>
      </c>
      <c r="D229" s="7" t="s">
        <v>257</v>
      </c>
      <c r="E229" s="8" t="s">
        <v>258</v>
      </c>
      <c r="G229" s="10">
        <v>0.25</v>
      </c>
      <c r="H229" s="5"/>
    </row>
    <row r="230" spans="1:8">
      <c r="A230" s="5">
        <v>45708</v>
      </c>
      <c r="B230" s="6">
        <v>10213</v>
      </c>
      <c r="D230" s="7" t="s">
        <v>257</v>
      </c>
      <c r="E230" s="8" t="s">
        <v>259</v>
      </c>
      <c r="G230" s="10">
        <v>0.75</v>
      </c>
    </row>
    <row r="231" spans="1:8" ht="38.25">
      <c r="A231" s="5">
        <v>45713</v>
      </c>
      <c r="B231" s="6">
        <v>10213</v>
      </c>
      <c r="D231" s="7" t="s">
        <v>219</v>
      </c>
      <c r="E231" s="8" t="s">
        <v>260</v>
      </c>
      <c r="G231" s="10">
        <v>1.75</v>
      </c>
    </row>
    <row r="232" spans="1:8">
      <c r="A232" s="5">
        <v>45677</v>
      </c>
      <c r="B232" s="6">
        <v>10214</v>
      </c>
      <c r="D232" s="7" t="s">
        <v>261</v>
      </c>
      <c r="E232" s="8" t="s">
        <v>262</v>
      </c>
      <c r="G232" s="10">
        <v>0.75</v>
      </c>
      <c r="H232" s="19" t="s">
        <v>15</v>
      </c>
    </row>
    <row r="233" spans="1:8">
      <c r="A233" s="5">
        <v>45677</v>
      </c>
      <c r="B233" s="6">
        <v>10214</v>
      </c>
      <c r="D233" s="7" t="s">
        <v>261</v>
      </c>
      <c r="E233" s="8" t="s">
        <v>104</v>
      </c>
      <c r="G233" s="10">
        <v>0.25</v>
      </c>
      <c r="H233" s="5"/>
    </row>
    <row r="234" spans="1:8">
      <c r="A234" s="5">
        <v>45686</v>
      </c>
      <c r="B234" s="6">
        <v>10214</v>
      </c>
      <c r="D234" s="7" t="s">
        <v>261</v>
      </c>
      <c r="E234" s="8" t="s">
        <v>263</v>
      </c>
      <c r="G234" s="10">
        <v>0.5</v>
      </c>
    </row>
    <row r="235" spans="1:8">
      <c r="A235" s="5">
        <v>45686</v>
      </c>
      <c r="B235" s="6">
        <v>10214</v>
      </c>
      <c r="D235" s="7" t="s">
        <v>261</v>
      </c>
      <c r="E235" s="8" t="s">
        <v>264</v>
      </c>
      <c r="G235" s="10">
        <v>0.5</v>
      </c>
    </row>
    <row r="236" spans="1:8">
      <c r="A236" s="5">
        <v>45693</v>
      </c>
      <c r="B236" s="6">
        <v>10214</v>
      </c>
      <c r="D236" s="7" t="s">
        <v>261</v>
      </c>
      <c r="E236" s="8" t="s">
        <v>265</v>
      </c>
      <c r="G236" s="10">
        <v>0.25</v>
      </c>
    </row>
    <row r="237" spans="1:8">
      <c r="A237" s="5">
        <v>45699</v>
      </c>
      <c r="B237" s="6">
        <v>10214</v>
      </c>
      <c r="D237" s="7" t="s">
        <v>266</v>
      </c>
      <c r="E237" s="8" t="s">
        <v>267</v>
      </c>
      <c r="G237" s="10">
        <v>3.75</v>
      </c>
    </row>
    <row r="238" spans="1:8">
      <c r="A238" s="5">
        <v>45706</v>
      </c>
      <c r="B238" s="6">
        <v>10214</v>
      </c>
      <c r="D238" s="7" t="s">
        <v>261</v>
      </c>
      <c r="E238" s="8" t="s">
        <v>268</v>
      </c>
      <c r="G238" s="10">
        <v>0.75</v>
      </c>
    </row>
    <row r="239" spans="1:8">
      <c r="A239" s="5">
        <v>45502</v>
      </c>
      <c r="B239" s="6">
        <v>60234</v>
      </c>
      <c r="D239" s="7" t="s">
        <v>269</v>
      </c>
      <c r="E239" s="8" t="s">
        <v>270</v>
      </c>
      <c r="G239" s="10">
        <v>0.25</v>
      </c>
    </row>
    <row r="240" spans="1:8">
      <c r="A240" s="5">
        <v>45474</v>
      </c>
      <c r="B240" s="6">
        <v>60234</v>
      </c>
      <c r="D240" s="7" t="s">
        <v>269</v>
      </c>
      <c r="E240" s="8" t="s">
        <v>271</v>
      </c>
      <c r="G240" s="10">
        <v>0.5</v>
      </c>
    </row>
    <row r="241" spans="1:10" ht="25.5">
      <c r="A241" s="5">
        <v>45713</v>
      </c>
      <c r="B241" s="6">
        <v>10214</v>
      </c>
      <c r="D241" s="7" t="s">
        <v>261</v>
      </c>
      <c r="E241" s="8" t="s">
        <v>272</v>
      </c>
      <c r="G241" s="10">
        <v>0.5</v>
      </c>
    </row>
    <row r="242" spans="1:10">
      <c r="A242" s="5">
        <v>45624</v>
      </c>
      <c r="B242" s="6">
        <v>10215</v>
      </c>
      <c r="D242" s="7" t="s">
        <v>273</v>
      </c>
      <c r="E242" s="8" t="s">
        <v>274</v>
      </c>
      <c r="G242" s="10">
        <v>1</v>
      </c>
    </row>
    <row r="243" spans="1:10">
      <c r="A243" s="5">
        <v>45679</v>
      </c>
      <c r="B243" s="6">
        <v>10215</v>
      </c>
      <c r="D243" s="7" t="s">
        <v>223</v>
      </c>
      <c r="E243" s="8" t="s">
        <v>275</v>
      </c>
      <c r="G243" s="10">
        <f>2+1.5</f>
        <v>3.5</v>
      </c>
    </row>
    <row r="244" spans="1:10">
      <c r="A244" s="5">
        <v>45688</v>
      </c>
      <c r="B244" s="6">
        <v>10215</v>
      </c>
      <c r="D244" s="7" t="s">
        <v>223</v>
      </c>
      <c r="E244" s="8" t="s">
        <v>276</v>
      </c>
      <c r="G244" s="10">
        <v>0.5</v>
      </c>
      <c r="H244" s="19" t="s">
        <v>15</v>
      </c>
    </row>
    <row r="245" spans="1:10">
      <c r="A245" s="5">
        <v>44934</v>
      </c>
      <c r="B245" s="6">
        <v>10220</v>
      </c>
      <c r="D245" s="7" t="s">
        <v>277</v>
      </c>
      <c r="E245" s="8" t="s">
        <v>278</v>
      </c>
      <c r="F245" s="9">
        <f>1107.5-331.2</f>
        <v>776.3</v>
      </c>
      <c r="G245" s="10">
        <f>+F245/120</f>
        <v>6.4691666666666663</v>
      </c>
    </row>
    <row r="246" spans="1:10">
      <c r="A246" s="5">
        <v>45426</v>
      </c>
      <c r="B246" s="6">
        <v>10220</v>
      </c>
      <c r="D246" s="7" t="s">
        <v>277</v>
      </c>
      <c r="E246" s="8" t="s">
        <v>279</v>
      </c>
      <c r="F246" s="9">
        <f>510-165.6</f>
        <v>344.4</v>
      </c>
    </row>
    <row r="247" spans="1:10">
      <c r="A247" s="5">
        <v>45456</v>
      </c>
      <c r="B247" s="6">
        <v>10220</v>
      </c>
      <c r="D247" s="7" t="s">
        <v>277</v>
      </c>
      <c r="E247" s="8" t="s">
        <v>280</v>
      </c>
      <c r="G247" s="10">
        <v>0.25</v>
      </c>
      <c r="I247" s="19"/>
      <c r="J247" s="19"/>
    </row>
    <row r="248" spans="1:10">
      <c r="A248" s="5">
        <v>45474</v>
      </c>
      <c r="B248" s="6">
        <v>10220</v>
      </c>
      <c r="D248" s="7" t="s">
        <v>277</v>
      </c>
      <c r="E248" s="8" t="s">
        <v>281</v>
      </c>
      <c r="G248" s="10">
        <v>0.5</v>
      </c>
      <c r="I248" s="19"/>
      <c r="J248" s="19"/>
    </row>
    <row r="249" spans="1:10">
      <c r="A249" s="5">
        <v>44945</v>
      </c>
      <c r="B249" s="6">
        <v>10221</v>
      </c>
      <c r="D249" s="7" t="s">
        <v>277</v>
      </c>
      <c r="E249" s="8" t="s">
        <v>282</v>
      </c>
      <c r="F249" s="9">
        <f>686.25-411.23</f>
        <v>275.02</v>
      </c>
      <c r="G249" s="10">
        <f>+F249/100</f>
        <v>2.7502</v>
      </c>
      <c r="I249" s="19"/>
      <c r="J249" s="19"/>
    </row>
    <row r="250" spans="1:10">
      <c r="A250" s="5">
        <v>44988</v>
      </c>
      <c r="B250" s="6">
        <v>10221</v>
      </c>
      <c r="D250" s="7" t="s">
        <v>277</v>
      </c>
      <c r="E250" s="8" t="s">
        <v>283</v>
      </c>
      <c r="F250" s="9">
        <f>2263.79-551.08</f>
        <v>1712.71</v>
      </c>
      <c r="G250" s="10">
        <f>+F250/100</f>
        <v>17.127099999999999</v>
      </c>
    </row>
    <row r="251" spans="1:10">
      <c r="A251" s="5">
        <v>45299</v>
      </c>
      <c r="B251" s="6">
        <v>10221</v>
      </c>
      <c r="D251" s="7" t="s">
        <v>277</v>
      </c>
      <c r="E251" s="8" t="s">
        <v>278</v>
      </c>
      <c r="F251" s="9">
        <f>1135-927.3</f>
        <v>207.70000000000005</v>
      </c>
      <c r="G251" s="10">
        <f>+F251/120</f>
        <v>1.7308333333333337</v>
      </c>
    </row>
    <row r="252" spans="1:10">
      <c r="A252" s="5">
        <v>45391</v>
      </c>
      <c r="B252" s="6">
        <v>10221</v>
      </c>
      <c r="D252" s="7" t="s">
        <v>277</v>
      </c>
      <c r="E252" s="8" t="s">
        <v>284</v>
      </c>
      <c r="F252" s="9">
        <f>2010-165.6-508.5</f>
        <v>1335.9</v>
      </c>
      <c r="G252" s="10">
        <f>+F252/120</f>
        <v>11.1325</v>
      </c>
    </row>
    <row r="253" spans="1:10">
      <c r="A253" s="5">
        <v>45426</v>
      </c>
      <c r="B253" s="6">
        <v>10221</v>
      </c>
      <c r="D253" s="7" t="s">
        <v>277</v>
      </c>
      <c r="E253" s="8" t="s">
        <v>279</v>
      </c>
      <c r="F253" s="9">
        <f>750-517.65</f>
        <v>232.35000000000002</v>
      </c>
    </row>
    <row r="254" spans="1:10">
      <c r="A254" s="5">
        <v>45426</v>
      </c>
      <c r="B254" s="6">
        <v>10221</v>
      </c>
      <c r="D254" s="7" t="s">
        <v>277</v>
      </c>
      <c r="E254" s="8" t="s">
        <v>285</v>
      </c>
      <c r="F254" s="9">
        <f>6495-685.85*2-1947.15-1953.2</f>
        <v>1222.95</v>
      </c>
    </row>
    <row r="255" spans="1:10">
      <c r="A255" s="5">
        <v>45456</v>
      </c>
      <c r="B255" s="6">
        <v>10221</v>
      </c>
      <c r="D255" s="7" t="s">
        <v>277</v>
      </c>
      <c r="E255" s="8" t="s">
        <v>286</v>
      </c>
      <c r="G255" s="10">
        <v>0.25</v>
      </c>
    </row>
    <row r="256" spans="1:10">
      <c r="A256" s="5">
        <v>45467</v>
      </c>
      <c r="B256" s="6">
        <v>10221</v>
      </c>
      <c r="D256" s="7" t="s">
        <v>277</v>
      </c>
      <c r="E256" s="8" t="s">
        <v>287</v>
      </c>
      <c r="G256" s="10">
        <v>0.25</v>
      </c>
    </row>
    <row r="257" spans="1:13">
      <c r="A257" s="5">
        <v>45516</v>
      </c>
      <c r="B257" s="6">
        <v>10221</v>
      </c>
      <c r="D257" s="7" t="s">
        <v>277</v>
      </c>
      <c r="E257" s="8" t="s">
        <v>288</v>
      </c>
      <c r="G257" s="10">
        <v>0.75</v>
      </c>
    </row>
    <row r="258" spans="1:13">
      <c r="A258" s="5">
        <v>45526</v>
      </c>
      <c r="B258" s="6">
        <v>10221</v>
      </c>
      <c r="D258" s="7" t="s">
        <v>277</v>
      </c>
      <c r="E258" s="8" t="s">
        <v>289</v>
      </c>
      <c r="G258" s="10">
        <v>0.5</v>
      </c>
    </row>
    <row r="259" spans="1:13">
      <c r="A259" s="5">
        <v>45526</v>
      </c>
      <c r="B259" s="6">
        <v>10221</v>
      </c>
      <c r="D259" s="7" t="s">
        <v>277</v>
      </c>
      <c r="E259" s="8" t="s">
        <v>290</v>
      </c>
      <c r="G259" s="10">
        <v>0.5</v>
      </c>
    </row>
    <row r="260" spans="1:13">
      <c r="A260" s="5">
        <v>45540</v>
      </c>
      <c r="B260" s="6">
        <v>10221</v>
      </c>
      <c r="D260" s="7" t="s">
        <v>277</v>
      </c>
      <c r="E260" s="8" t="s">
        <v>291</v>
      </c>
      <c r="F260" s="9">
        <v>386.49</v>
      </c>
      <c r="G260" s="10">
        <v>3.2207500000000002</v>
      </c>
    </row>
    <row r="261" spans="1:13">
      <c r="A261" s="5">
        <v>45540</v>
      </c>
      <c r="B261" s="6">
        <v>10221</v>
      </c>
      <c r="D261" s="7" t="s">
        <v>277</v>
      </c>
      <c r="E261" s="8" t="s">
        <v>292</v>
      </c>
      <c r="F261" s="9">
        <v>185.64999999999998</v>
      </c>
      <c r="G261" s="10">
        <v>1.5470833333333331</v>
      </c>
    </row>
    <row r="262" spans="1:13">
      <c r="A262" s="5">
        <v>45645</v>
      </c>
      <c r="B262" s="6">
        <v>10221</v>
      </c>
      <c r="D262" s="7" t="s">
        <v>277</v>
      </c>
      <c r="E262" s="8" t="s">
        <v>293</v>
      </c>
      <c r="G262" s="10">
        <v>1</v>
      </c>
    </row>
    <row r="263" spans="1:13" s="19" customFormat="1">
      <c r="A263" s="5">
        <v>45673</v>
      </c>
      <c r="B263" s="6">
        <v>10221</v>
      </c>
      <c r="C263" s="6"/>
      <c r="D263" s="2" t="s">
        <v>294</v>
      </c>
      <c r="E263" s="8" t="s">
        <v>88</v>
      </c>
      <c r="F263" s="9"/>
      <c r="G263" s="10">
        <v>0.25</v>
      </c>
      <c r="I263" s="11"/>
      <c r="J263" s="11"/>
      <c r="K263" s="11"/>
      <c r="L263" s="11"/>
      <c r="M263" s="11"/>
    </row>
    <row r="264" spans="1:13" s="19" customFormat="1">
      <c r="A264" s="5">
        <v>45685</v>
      </c>
      <c r="B264" s="6">
        <v>10221</v>
      </c>
      <c r="C264" s="6"/>
      <c r="D264" s="7" t="s">
        <v>277</v>
      </c>
      <c r="E264" s="8" t="s">
        <v>295</v>
      </c>
      <c r="F264" s="9"/>
      <c r="G264" s="10">
        <v>1</v>
      </c>
      <c r="I264" s="11"/>
      <c r="J264" s="11"/>
      <c r="K264" s="11"/>
      <c r="L264" s="11"/>
      <c r="M264" s="11"/>
    </row>
    <row r="265" spans="1:13" s="19" customFormat="1" ht="25.5">
      <c r="A265" s="5">
        <v>45691</v>
      </c>
      <c r="B265" s="6">
        <v>10221</v>
      </c>
      <c r="C265" s="6"/>
      <c r="D265" s="7" t="s">
        <v>277</v>
      </c>
      <c r="E265" s="8" t="s">
        <v>296</v>
      </c>
      <c r="F265" s="9"/>
      <c r="G265" s="10">
        <v>1.5</v>
      </c>
      <c r="I265" s="11"/>
      <c r="J265" s="11"/>
      <c r="K265" s="11"/>
      <c r="L265" s="11"/>
      <c r="M265" s="11"/>
    </row>
    <row r="266" spans="1:13">
      <c r="A266" s="5">
        <v>45691</v>
      </c>
      <c r="B266" s="6">
        <v>10221</v>
      </c>
      <c r="D266" s="7" t="s">
        <v>277</v>
      </c>
      <c r="E266" s="8" t="s">
        <v>297</v>
      </c>
      <c r="G266" s="10">
        <v>0.5</v>
      </c>
    </row>
    <row r="267" spans="1:13" s="19" customFormat="1" ht="38.25">
      <c r="A267" s="5">
        <v>45692</v>
      </c>
      <c r="B267" s="6">
        <v>10221</v>
      </c>
      <c r="C267" s="6"/>
      <c r="D267" s="7" t="s">
        <v>277</v>
      </c>
      <c r="E267" s="8" t="s">
        <v>298</v>
      </c>
      <c r="F267" s="9"/>
      <c r="G267" s="10">
        <v>1.25</v>
      </c>
      <c r="I267" s="11"/>
      <c r="J267" s="11"/>
      <c r="K267" s="11"/>
      <c r="L267" s="11"/>
      <c r="M267" s="11"/>
    </row>
    <row r="268" spans="1:13" s="19" customFormat="1" ht="25.5">
      <c r="A268" s="5">
        <v>45700</v>
      </c>
      <c r="B268" s="6">
        <v>10221</v>
      </c>
      <c r="C268" s="6"/>
      <c r="D268" s="7" t="s">
        <v>277</v>
      </c>
      <c r="E268" s="8" t="s">
        <v>299</v>
      </c>
      <c r="F268" s="9"/>
      <c r="G268" s="10">
        <v>1.25</v>
      </c>
      <c r="I268" s="11"/>
      <c r="J268" s="11"/>
      <c r="K268" s="11"/>
      <c r="L268" s="11"/>
      <c r="M268" s="11"/>
    </row>
    <row r="269" spans="1:13">
      <c r="A269" s="5">
        <v>45716</v>
      </c>
      <c r="B269" s="6">
        <v>10427</v>
      </c>
      <c r="D269" s="7" t="s">
        <v>300</v>
      </c>
      <c r="E269" s="8" t="s">
        <v>301</v>
      </c>
      <c r="F269" s="9">
        <f>2165-1182</f>
        <v>983</v>
      </c>
      <c r="H269" s="5"/>
    </row>
    <row r="270" spans="1:13" s="19" customFormat="1" ht="38.25">
      <c r="A270" s="5">
        <v>45705</v>
      </c>
      <c r="B270" s="6">
        <v>10221</v>
      </c>
      <c r="C270" s="6"/>
      <c r="D270" s="7" t="s">
        <v>277</v>
      </c>
      <c r="E270" s="8" t="s">
        <v>302</v>
      </c>
      <c r="F270" s="9"/>
      <c r="G270" s="10">
        <v>0.75</v>
      </c>
      <c r="I270" s="11"/>
      <c r="J270" s="11"/>
      <c r="K270" s="11"/>
      <c r="L270" s="11"/>
      <c r="M270" s="11"/>
    </row>
    <row r="271" spans="1:13" s="19" customFormat="1">
      <c r="A271" s="5">
        <v>45645</v>
      </c>
      <c r="B271" s="6">
        <v>10229</v>
      </c>
      <c r="C271" s="6"/>
      <c r="D271" s="7" t="s">
        <v>303</v>
      </c>
      <c r="E271" s="8" t="s">
        <v>304</v>
      </c>
      <c r="F271" s="9"/>
      <c r="G271" s="10">
        <v>0.25</v>
      </c>
      <c r="I271" s="11"/>
      <c r="J271" s="11"/>
      <c r="K271" s="11"/>
      <c r="L271" s="11"/>
      <c r="M271" s="11"/>
    </row>
    <row r="272" spans="1:13" s="19" customFormat="1">
      <c r="A272" s="5">
        <v>45645</v>
      </c>
      <c r="B272" s="6">
        <v>10229</v>
      </c>
      <c r="C272" s="6"/>
      <c r="D272" s="7" t="s">
        <v>303</v>
      </c>
      <c r="E272" s="8" t="s">
        <v>305</v>
      </c>
      <c r="F272" s="9"/>
      <c r="G272" s="10">
        <v>0.25</v>
      </c>
      <c r="I272" s="11"/>
      <c r="J272" s="11"/>
      <c r="K272" s="11"/>
      <c r="L272" s="11"/>
      <c r="M272" s="11"/>
    </row>
    <row r="273" spans="1:13" s="19" customFormat="1" ht="25.5">
      <c r="A273" s="5">
        <v>45645</v>
      </c>
      <c r="B273" s="6">
        <v>10229</v>
      </c>
      <c r="C273" s="6"/>
      <c r="D273" s="7" t="s">
        <v>303</v>
      </c>
      <c r="E273" s="8" t="s">
        <v>306</v>
      </c>
      <c r="F273" s="9"/>
      <c r="G273" s="10">
        <v>0.5</v>
      </c>
      <c r="I273" s="11"/>
      <c r="J273" s="11"/>
      <c r="K273" s="11"/>
      <c r="L273" s="11"/>
      <c r="M273" s="11"/>
    </row>
    <row r="274" spans="1:13" s="19" customFormat="1" ht="25.5">
      <c r="A274" s="5">
        <v>45664</v>
      </c>
      <c r="B274" s="6">
        <v>10229</v>
      </c>
      <c r="C274" s="6"/>
      <c r="D274" s="7" t="s">
        <v>303</v>
      </c>
      <c r="E274" s="8" t="s">
        <v>307</v>
      </c>
      <c r="F274" s="9"/>
      <c r="G274" s="10">
        <v>0.5</v>
      </c>
      <c r="I274" s="11"/>
      <c r="J274" s="11"/>
      <c r="K274" s="11"/>
      <c r="L274" s="11"/>
      <c r="M274" s="11"/>
    </row>
    <row r="275" spans="1:13">
      <c r="A275" s="5">
        <v>45693</v>
      </c>
      <c r="B275" s="6">
        <v>10229</v>
      </c>
      <c r="D275" s="7" t="s">
        <v>303</v>
      </c>
      <c r="E275" s="8" t="s">
        <v>308</v>
      </c>
      <c r="G275" s="10">
        <v>0.25</v>
      </c>
    </row>
    <row r="276" spans="1:13" ht="25.5">
      <c r="A276" s="5">
        <v>45713</v>
      </c>
      <c r="B276" s="6">
        <v>10229</v>
      </c>
      <c r="D276" s="7" t="s">
        <v>303</v>
      </c>
      <c r="E276" s="8" t="s">
        <v>309</v>
      </c>
      <c r="G276" s="10">
        <v>1</v>
      </c>
    </row>
    <row r="277" spans="1:13">
      <c r="A277" s="5">
        <v>45643</v>
      </c>
      <c r="B277" s="6">
        <v>10230</v>
      </c>
      <c r="D277" s="7" t="s">
        <v>310</v>
      </c>
      <c r="E277" s="8" t="s">
        <v>311</v>
      </c>
      <c r="G277" s="10">
        <v>0.25</v>
      </c>
    </row>
    <row r="278" spans="1:13">
      <c r="A278" s="5">
        <v>45688</v>
      </c>
      <c r="B278" s="6">
        <v>10230</v>
      </c>
      <c r="D278" s="7" t="s">
        <v>312</v>
      </c>
      <c r="E278" s="8" t="s">
        <v>313</v>
      </c>
      <c r="G278" s="10">
        <v>0.5</v>
      </c>
      <c r="K278" s="19"/>
      <c r="L278" s="19"/>
      <c r="M278" s="19"/>
    </row>
    <row r="279" spans="1:13">
      <c r="A279" s="5">
        <v>45693</v>
      </c>
      <c r="B279" s="6">
        <v>10230</v>
      </c>
      <c r="D279" s="7" t="s">
        <v>312</v>
      </c>
      <c r="E279" s="8" t="s">
        <v>314</v>
      </c>
      <c r="G279" s="10">
        <v>0.75</v>
      </c>
      <c r="K279" s="19"/>
      <c r="L279" s="19"/>
      <c r="M279" s="19"/>
    </row>
    <row r="280" spans="1:13">
      <c r="A280" s="5">
        <v>45706</v>
      </c>
      <c r="B280" s="6">
        <v>10230</v>
      </c>
      <c r="D280" s="7" t="s">
        <v>315</v>
      </c>
      <c r="E280" s="8" t="s">
        <v>316</v>
      </c>
      <c r="G280" s="10">
        <v>0.25</v>
      </c>
      <c r="H280" s="5"/>
      <c r="K280" s="19"/>
      <c r="L280" s="19"/>
      <c r="M280" s="19"/>
    </row>
    <row r="281" spans="1:13">
      <c r="A281" s="5">
        <v>45678</v>
      </c>
      <c r="B281" s="6">
        <v>10238</v>
      </c>
      <c r="D281" s="7" t="s">
        <v>121</v>
      </c>
      <c r="E281" s="8" t="s">
        <v>317</v>
      </c>
      <c r="G281" s="10">
        <v>1</v>
      </c>
      <c r="H281" s="19" t="s">
        <v>15</v>
      </c>
    </row>
    <row r="282" spans="1:13" ht="25.5">
      <c r="A282" s="5">
        <v>45701</v>
      </c>
      <c r="B282" s="6">
        <v>10238</v>
      </c>
      <c r="D282" s="7" t="s">
        <v>121</v>
      </c>
      <c r="E282" s="8" t="s">
        <v>318</v>
      </c>
      <c r="F282" s="10"/>
      <c r="G282" s="10">
        <v>0.5</v>
      </c>
      <c r="K282" s="19"/>
      <c r="L282" s="19"/>
      <c r="M282" s="19"/>
    </row>
    <row r="283" spans="1:13" ht="25.5">
      <c r="A283" s="5">
        <v>45161</v>
      </c>
      <c r="B283" s="6">
        <v>10239</v>
      </c>
      <c r="D283" s="7" t="s">
        <v>319</v>
      </c>
      <c r="E283" s="8" t="s">
        <v>320</v>
      </c>
      <c r="G283" s="10">
        <v>2.25</v>
      </c>
      <c r="K283" s="19"/>
      <c r="L283" s="19"/>
      <c r="M283" s="19"/>
    </row>
    <row r="284" spans="1:13" ht="12" customHeight="1">
      <c r="A284" s="5">
        <v>44541</v>
      </c>
      <c r="B284" s="6">
        <v>10240</v>
      </c>
      <c r="D284" s="7" t="s">
        <v>321</v>
      </c>
      <c r="E284" s="8" t="s">
        <v>322</v>
      </c>
      <c r="F284" s="9">
        <f>2325-1072.8-86.7</f>
        <v>1165.5</v>
      </c>
      <c r="G284" s="10">
        <f>+F284/100</f>
        <v>11.654999999999999</v>
      </c>
      <c r="K284" s="19"/>
      <c r="L284" s="19"/>
      <c r="M284" s="19"/>
    </row>
    <row r="285" spans="1:13" ht="12" customHeight="1">
      <c r="A285" s="5">
        <v>45042</v>
      </c>
      <c r="B285" s="6">
        <v>10240</v>
      </c>
      <c r="D285" s="7" t="s">
        <v>321</v>
      </c>
      <c r="E285" s="8" t="s">
        <v>323</v>
      </c>
      <c r="F285" s="9">
        <f>1775-1086-50</f>
        <v>639</v>
      </c>
      <c r="G285" s="10">
        <f>+F285/100</f>
        <v>6.39</v>
      </c>
      <c r="K285" s="19"/>
      <c r="L285" s="19"/>
      <c r="M285" s="19"/>
    </row>
    <row r="286" spans="1:13" ht="25.5">
      <c r="A286" s="5">
        <v>45581</v>
      </c>
      <c r="B286" s="6">
        <v>10240</v>
      </c>
      <c r="D286" s="7" t="s">
        <v>321</v>
      </c>
      <c r="E286" s="8" t="s">
        <v>324</v>
      </c>
      <c r="G286" s="10">
        <v>0.75</v>
      </c>
      <c r="K286" s="19"/>
      <c r="L286" s="19"/>
      <c r="M286" s="19"/>
    </row>
    <row r="287" spans="1:13">
      <c r="A287" s="5">
        <v>45586</v>
      </c>
      <c r="B287" s="6">
        <v>10240</v>
      </c>
      <c r="D287" s="7" t="s">
        <v>321</v>
      </c>
      <c r="E287" s="8" t="s">
        <v>325</v>
      </c>
      <c r="G287" s="10">
        <v>0.25</v>
      </c>
      <c r="K287" s="19"/>
      <c r="L287" s="19"/>
      <c r="M287" s="19"/>
    </row>
    <row r="288" spans="1:13">
      <c r="A288" s="5">
        <v>45595</v>
      </c>
      <c r="B288" s="6">
        <v>10240</v>
      </c>
      <c r="D288" s="7" t="s">
        <v>321</v>
      </c>
      <c r="E288" s="8" t="s">
        <v>326</v>
      </c>
      <c r="G288" s="10">
        <v>0.25</v>
      </c>
      <c r="K288" s="19"/>
      <c r="L288" s="19"/>
      <c r="M288" s="19"/>
    </row>
    <row r="289" spans="1:8">
      <c r="A289" s="5">
        <v>45644</v>
      </c>
      <c r="B289" s="6">
        <v>10240</v>
      </c>
      <c r="D289" s="7" t="s">
        <v>321</v>
      </c>
      <c r="E289" s="8" t="s">
        <v>327</v>
      </c>
      <c r="G289" s="10">
        <v>0.5</v>
      </c>
    </row>
    <row r="290" spans="1:8">
      <c r="A290" s="5">
        <v>45649</v>
      </c>
      <c r="B290" s="6">
        <v>10240</v>
      </c>
      <c r="D290" s="7" t="s">
        <v>321</v>
      </c>
      <c r="E290" s="8" t="s">
        <v>328</v>
      </c>
      <c r="G290" s="10">
        <v>0.5</v>
      </c>
    </row>
    <row r="291" spans="1:8">
      <c r="A291" s="5">
        <v>45655</v>
      </c>
      <c r="B291" s="6">
        <v>10240</v>
      </c>
      <c r="D291" s="7" t="s">
        <v>321</v>
      </c>
      <c r="E291" s="8" t="s">
        <v>329</v>
      </c>
      <c r="G291" s="10">
        <v>0.25</v>
      </c>
    </row>
    <row r="292" spans="1:8" ht="25.5">
      <c r="A292" s="5">
        <v>45665</v>
      </c>
      <c r="B292" s="6">
        <v>10242</v>
      </c>
      <c r="D292" s="7" t="s">
        <v>330</v>
      </c>
      <c r="E292" s="8" t="s">
        <v>331</v>
      </c>
      <c r="G292" s="10">
        <v>0.5</v>
      </c>
    </row>
    <row r="293" spans="1:8">
      <c r="A293" s="5">
        <v>45699</v>
      </c>
      <c r="B293" s="6">
        <v>10242</v>
      </c>
      <c r="D293" s="7" t="s">
        <v>330</v>
      </c>
      <c r="E293" s="8" t="s">
        <v>332</v>
      </c>
      <c r="F293" s="9">
        <v>60</v>
      </c>
      <c r="G293" s="10">
        <v>0.5</v>
      </c>
      <c r="H293" s="19" t="s">
        <v>15</v>
      </c>
    </row>
    <row r="294" spans="1:8">
      <c r="A294" s="5">
        <v>45699</v>
      </c>
      <c r="B294" s="6">
        <v>10242</v>
      </c>
      <c r="D294" s="7" t="s">
        <v>330</v>
      </c>
      <c r="E294" s="8" t="s">
        <v>104</v>
      </c>
      <c r="F294" s="9">
        <v>60</v>
      </c>
      <c r="G294" s="10">
        <v>0.5</v>
      </c>
      <c r="H294" s="19" t="s">
        <v>15</v>
      </c>
    </row>
    <row r="295" spans="1:8">
      <c r="A295" s="5">
        <v>45071</v>
      </c>
      <c r="B295" s="6">
        <v>10245</v>
      </c>
      <c r="D295" s="7" t="s">
        <v>333</v>
      </c>
      <c r="E295" s="8" t="s">
        <v>334</v>
      </c>
      <c r="G295" s="10">
        <v>0.75</v>
      </c>
    </row>
    <row r="296" spans="1:8">
      <c r="A296" s="5">
        <v>45077</v>
      </c>
      <c r="B296" s="6">
        <v>10245</v>
      </c>
      <c r="D296" s="7" t="s">
        <v>333</v>
      </c>
      <c r="E296" s="8" t="s">
        <v>335</v>
      </c>
      <c r="G296" s="10">
        <v>0.25</v>
      </c>
    </row>
    <row r="297" spans="1:8">
      <c r="A297" s="5">
        <v>45096</v>
      </c>
      <c r="B297" s="6">
        <v>10245</v>
      </c>
      <c r="D297" s="7" t="s">
        <v>333</v>
      </c>
      <c r="E297" s="8" t="s">
        <v>336</v>
      </c>
      <c r="G297" s="10">
        <v>0.5</v>
      </c>
    </row>
    <row r="298" spans="1:8">
      <c r="A298" s="5">
        <v>45114</v>
      </c>
      <c r="B298" s="6">
        <v>10245</v>
      </c>
      <c r="D298" s="7" t="s">
        <v>333</v>
      </c>
      <c r="E298" s="8" t="s">
        <v>337</v>
      </c>
      <c r="F298" s="10"/>
      <c r="G298" s="10">
        <v>0.5</v>
      </c>
    </row>
    <row r="299" spans="1:8" ht="25.5">
      <c r="A299" s="5">
        <v>45355</v>
      </c>
      <c r="B299" s="6">
        <v>10245</v>
      </c>
      <c r="D299" s="7" t="s">
        <v>333</v>
      </c>
      <c r="E299" s="8" t="s">
        <v>338</v>
      </c>
      <c r="G299" s="10">
        <v>1</v>
      </c>
    </row>
    <row r="300" spans="1:8">
      <c r="A300" s="5">
        <v>45450</v>
      </c>
      <c r="B300" s="6">
        <v>10245</v>
      </c>
      <c r="D300" s="7" t="s">
        <v>333</v>
      </c>
      <c r="E300" s="8" t="s">
        <v>339</v>
      </c>
      <c r="G300" s="10">
        <v>0.25</v>
      </c>
    </row>
    <row r="301" spans="1:8">
      <c r="A301" s="5">
        <v>45475</v>
      </c>
      <c r="B301" s="6">
        <v>10245</v>
      </c>
      <c r="D301" s="7" t="s">
        <v>333</v>
      </c>
      <c r="E301" s="8" t="s">
        <v>340</v>
      </c>
      <c r="G301" s="10">
        <v>0.75</v>
      </c>
    </row>
    <row r="302" spans="1:8">
      <c r="A302" s="5">
        <v>45266</v>
      </c>
      <c r="B302" s="6">
        <v>10246</v>
      </c>
      <c r="D302" s="7" t="s">
        <v>341</v>
      </c>
      <c r="E302" s="8" t="s">
        <v>342</v>
      </c>
      <c r="F302" s="9">
        <f>670-492.6</f>
        <v>177.39999999999998</v>
      </c>
      <c r="G302" s="10">
        <f>+F302/120</f>
        <v>1.4783333333333331</v>
      </c>
    </row>
    <row r="303" spans="1:8">
      <c r="A303" s="5">
        <v>45490</v>
      </c>
      <c r="B303" s="6">
        <v>10246</v>
      </c>
      <c r="D303" s="7" t="s">
        <v>341</v>
      </c>
      <c r="E303" s="8" t="s">
        <v>153</v>
      </c>
      <c r="F303" s="9">
        <f>660-563.15</f>
        <v>96.850000000000023</v>
      </c>
      <c r="G303" s="10">
        <f>+F303/120</f>
        <v>0.80708333333333349</v>
      </c>
    </row>
    <row r="304" spans="1:8">
      <c r="A304" s="5">
        <v>45509</v>
      </c>
      <c r="B304" s="6">
        <v>10246</v>
      </c>
      <c r="D304" s="7" t="s">
        <v>341</v>
      </c>
      <c r="E304" s="8" t="s">
        <v>343</v>
      </c>
      <c r="G304" s="10">
        <v>0.5</v>
      </c>
    </row>
    <row r="305" spans="1:13">
      <c r="A305" s="5">
        <v>45677</v>
      </c>
      <c r="B305" s="6">
        <v>10246</v>
      </c>
      <c r="D305" s="7" t="s">
        <v>341</v>
      </c>
      <c r="E305" s="8" t="s">
        <v>344</v>
      </c>
      <c r="G305" s="10">
        <v>0.75</v>
      </c>
    </row>
    <row r="306" spans="1:13">
      <c r="A306" s="5">
        <v>45609</v>
      </c>
      <c r="B306" s="6">
        <v>10252</v>
      </c>
      <c r="D306" s="7" t="s">
        <v>345</v>
      </c>
      <c r="E306" s="8" t="s">
        <v>346</v>
      </c>
      <c r="F306" s="9">
        <f>+G306*120</f>
        <v>60</v>
      </c>
      <c r="G306" s="10">
        <v>0.5</v>
      </c>
      <c r="I306" s="19"/>
      <c r="J306" s="19"/>
    </row>
    <row r="307" spans="1:13" s="19" customFormat="1" ht="25.5">
      <c r="A307" s="5">
        <v>45616</v>
      </c>
      <c r="B307" s="6">
        <v>10252</v>
      </c>
      <c r="C307" s="6"/>
      <c r="D307" s="7" t="s">
        <v>345</v>
      </c>
      <c r="E307" s="8" t="s">
        <v>347</v>
      </c>
      <c r="F307" s="9">
        <f>+G307*120</f>
        <v>120</v>
      </c>
      <c r="G307" s="10">
        <v>1</v>
      </c>
      <c r="I307" s="11"/>
      <c r="J307" s="11"/>
      <c r="K307" s="11"/>
      <c r="L307" s="11"/>
      <c r="M307" s="11"/>
    </row>
    <row r="308" spans="1:13" s="19" customFormat="1">
      <c r="A308" s="5">
        <v>45638</v>
      </c>
      <c r="B308" s="6">
        <v>10252</v>
      </c>
      <c r="C308" s="6"/>
      <c r="D308" s="7" t="s">
        <v>345</v>
      </c>
      <c r="E308" s="8" t="s">
        <v>348</v>
      </c>
      <c r="F308" s="9"/>
      <c r="G308" s="10">
        <v>0.75</v>
      </c>
      <c r="K308" s="11"/>
      <c r="L308" s="11"/>
      <c r="M308" s="11"/>
    </row>
    <row r="309" spans="1:13">
      <c r="A309" s="5">
        <v>45673</v>
      </c>
      <c r="B309" s="6">
        <v>10252</v>
      </c>
      <c r="D309" s="2" t="s">
        <v>345</v>
      </c>
      <c r="E309" s="8" t="s">
        <v>349</v>
      </c>
      <c r="G309" s="10">
        <v>0.5</v>
      </c>
      <c r="I309" s="19"/>
      <c r="J309" s="19"/>
    </row>
    <row r="310" spans="1:13">
      <c r="A310" s="5">
        <v>45688</v>
      </c>
      <c r="B310" s="6">
        <v>10252</v>
      </c>
      <c r="D310" s="7" t="s">
        <v>345</v>
      </c>
      <c r="E310" s="8" t="s">
        <v>350</v>
      </c>
      <c r="G310" s="10">
        <v>0.25</v>
      </c>
      <c r="I310" s="19"/>
      <c r="J310" s="19"/>
    </row>
    <row r="311" spans="1:13">
      <c r="A311" s="5">
        <v>45706</v>
      </c>
      <c r="B311" s="6">
        <v>10252</v>
      </c>
      <c r="D311" s="7" t="s">
        <v>345</v>
      </c>
      <c r="E311" s="8" t="s">
        <v>351</v>
      </c>
      <c r="G311" s="10">
        <v>0.5</v>
      </c>
      <c r="H311" s="19" t="s">
        <v>15</v>
      </c>
    </row>
    <row r="312" spans="1:13">
      <c r="A312" s="5">
        <v>45706</v>
      </c>
      <c r="B312" s="6">
        <v>10252</v>
      </c>
      <c r="D312" s="7" t="s">
        <v>345</v>
      </c>
      <c r="E312" s="8" t="s">
        <v>352</v>
      </c>
      <c r="G312" s="10">
        <v>0.5</v>
      </c>
      <c r="H312" s="19" t="s">
        <v>15</v>
      </c>
    </row>
    <row r="313" spans="1:13">
      <c r="A313" s="5">
        <v>45672</v>
      </c>
      <c r="B313" s="6">
        <v>10253</v>
      </c>
      <c r="D313" s="7" t="s">
        <v>353</v>
      </c>
      <c r="E313" s="8" t="s">
        <v>354</v>
      </c>
      <c r="F313" s="9">
        <f>1500-675.66</f>
        <v>824.34</v>
      </c>
      <c r="I313" s="19"/>
      <c r="J313" s="19"/>
    </row>
    <row r="314" spans="1:13">
      <c r="A314" s="5">
        <v>45672</v>
      </c>
      <c r="B314" s="6">
        <v>10253</v>
      </c>
      <c r="D314" s="7" t="s">
        <v>353</v>
      </c>
      <c r="E314" s="8" t="s">
        <v>355</v>
      </c>
      <c r="G314" s="10">
        <v>3.75</v>
      </c>
      <c r="H314" s="19" t="s">
        <v>15</v>
      </c>
    </row>
    <row r="315" spans="1:13">
      <c r="A315" s="5">
        <v>45279</v>
      </c>
      <c r="B315" s="6">
        <v>10254</v>
      </c>
      <c r="D315" s="7" t="s">
        <v>356</v>
      </c>
      <c r="E315" s="8" t="s">
        <v>357</v>
      </c>
      <c r="G315" s="10">
        <v>1.25</v>
      </c>
    </row>
    <row r="316" spans="1:13">
      <c r="A316" s="5">
        <v>45281</v>
      </c>
      <c r="B316" s="6">
        <v>10254</v>
      </c>
      <c r="D316" s="7" t="s">
        <v>356</v>
      </c>
      <c r="E316" s="8" t="s">
        <v>358</v>
      </c>
      <c r="G316" s="10">
        <v>0.5</v>
      </c>
    </row>
    <row r="317" spans="1:13">
      <c r="A317" s="5">
        <v>45281</v>
      </c>
      <c r="B317" s="6">
        <v>10254</v>
      </c>
      <c r="D317" s="7" t="s">
        <v>356</v>
      </c>
      <c r="E317" s="8" t="s">
        <v>359</v>
      </c>
      <c r="G317" s="10">
        <v>0.25</v>
      </c>
    </row>
    <row r="318" spans="1:13">
      <c r="A318" s="5">
        <v>45327</v>
      </c>
      <c r="B318" s="6">
        <v>10254</v>
      </c>
      <c r="D318" s="7" t="s">
        <v>356</v>
      </c>
      <c r="E318" s="8" t="s">
        <v>360</v>
      </c>
      <c r="G318" s="10">
        <v>0.25</v>
      </c>
    </row>
    <row r="319" spans="1:13" ht="25.5">
      <c r="A319" s="5">
        <v>45373</v>
      </c>
      <c r="B319" s="6">
        <v>10254</v>
      </c>
      <c r="D319" s="2" t="s">
        <v>361</v>
      </c>
      <c r="E319" s="8" t="s">
        <v>362</v>
      </c>
      <c r="G319" s="10">
        <v>1.5</v>
      </c>
    </row>
    <row r="320" spans="1:13">
      <c r="A320" s="5">
        <v>45376</v>
      </c>
      <c r="B320" s="6">
        <v>10254</v>
      </c>
      <c r="D320" s="2" t="s">
        <v>356</v>
      </c>
      <c r="E320" s="8" t="s">
        <v>363</v>
      </c>
      <c r="G320" s="10">
        <v>0.25</v>
      </c>
      <c r="H320" s="11"/>
    </row>
    <row r="321" spans="1:13">
      <c r="A321" s="5">
        <v>45384</v>
      </c>
      <c r="B321" s="6">
        <v>10254</v>
      </c>
      <c r="D321" s="7" t="s">
        <v>356</v>
      </c>
      <c r="E321" s="8" t="s">
        <v>364</v>
      </c>
      <c r="G321" s="10">
        <v>0.25</v>
      </c>
      <c r="K321" s="19"/>
      <c r="L321" s="19"/>
      <c r="M321" s="19"/>
    </row>
    <row r="322" spans="1:13" ht="25.5">
      <c r="A322" s="5">
        <v>45385</v>
      </c>
      <c r="B322" s="6">
        <v>10254</v>
      </c>
      <c r="D322" s="7" t="s">
        <v>356</v>
      </c>
      <c r="E322" s="8" t="s">
        <v>365</v>
      </c>
      <c r="G322" s="10">
        <v>3</v>
      </c>
      <c r="K322" s="19"/>
      <c r="L322" s="19"/>
      <c r="M322" s="19"/>
    </row>
    <row r="323" spans="1:13">
      <c r="A323" s="5">
        <v>45386</v>
      </c>
      <c r="B323" s="6">
        <v>10254</v>
      </c>
      <c r="D323" s="7" t="s">
        <v>356</v>
      </c>
      <c r="E323" s="8" t="s">
        <v>366</v>
      </c>
      <c r="G323" s="10">
        <v>2</v>
      </c>
    </row>
    <row r="324" spans="1:13">
      <c r="A324" s="5">
        <v>45387</v>
      </c>
      <c r="B324" s="6">
        <v>10254</v>
      </c>
      <c r="D324" s="7" t="s">
        <v>356</v>
      </c>
      <c r="E324" s="8" t="s">
        <v>367</v>
      </c>
      <c r="G324" s="10">
        <v>0.25</v>
      </c>
    </row>
    <row r="325" spans="1:13" ht="25.5">
      <c r="A325" s="5">
        <v>45539</v>
      </c>
      <c r="B325" s="6">
        <v>10254</v>
      </c>
      <c r="D325" s="7" t="s">
        <v>361</v>
      </c>
      <c r="E325" s="8" t="s">
        <v>368</v>
      </c>
      <c r="G325" s="10">
        <v>1.25</v>
      </c>
    </row>
    <row r="326" spans="1:13">
      <c r="A326" s="5">
        <v>45541</v>
      </c>
      <c r="B326" s="6">
        <v>10254</v>
      </c>
      <c r="D326" s="7" t="s">
        <v>356</v>
      </c>
      <c r="E326" s="8" t="s">
        <v>369</v>
      </c>
      <c r="G326" s="10">
        <v>1.5</v>
      </c>
    </row>
    <row r="327" spans="1:13">
      <c r="A327" s="5">
        <v>45594</v>
      </c>
      <c r="B327" s="6">
        <v>10254</v>
      </c>
      <c r="D327" s="7" t="s">
        <v>356</v>
      </c>
      <c r="E327" s="8" t="s">
        <v>370</v>
      </c>
      <c r="F327" s="9">
        <f>247.5-102.5</f>
        <v>145</v>
      </c>
      <c r="G327" s="11"/>
      <c r="H327" s="5"/>
    </row>
    <row r="328" spans="1:13">
      <c r="A328" s="18">
        <v>45715</v>
      </c>
      <c r="B328" s="6">
        <v>69984</v>
      </c>
      <c r="D328" s="7" t="s">
        <v>371</v>
      </c>
      <c r="E328" s="11" t="s">
        <v>372</v>
      </c>
      <c r="F328" s="9">
        <f>2767-530.15</f>
        <v>2236.85</v>
      </c>
      <c r="H328" s="5"/>
    </row>
    <row r="330" spans="1:13">
      <c r="A330" s="11"/>
      <c r="B330" s="11"/>
      <c r="C330" s="11"/>
      <c r="D330" s="11"/>
      <c r="E330" s="11"/>
      <c r="H330" s="5"/>
    </row>
    <row r="331" spans="1:13">
      <c r="A331" s="5">
        <v>45439</v>
      </c>
      <c r="B331" s="6">
        <v>60195</v>
      </c>
      <c r="D331" s="7" t="s">
        <v>373</v>
      </c>
      <c r="E331" s="8" t="s">
        <v>374</v>
      </c>
      <c r="G331" s="10">
        <v>0.25</v>
      </c>
    </row>
    <row r="332" spans="1:13">
      <c r="A332" s="5">
        <v>45600</v>
      </c>
      <c r="B332" s="6">
        <v>60195</v>
      </c>
      <c r="D332" s="7" t="s">
        <v>373</v>
      </c>
      <c r="E332" s="8" t="s">
        <v>375</v>
      </c>
      <c r="G332" s="10">
        <v>0.25</v>
      </c>
    </row>
    <row r="333" spans="1:13">
      <c r="A333" s="5">
        <v>45609</v>
      </c>
      <c r="B333" s="6">
        <v>60195</v>
      </c>
      <c r="D333" s="7" t="s">
        <v>373</v>
      </c>
      <c r="E333" s="8" t="s">
        <v>376</v>
      </c>
      <c r="G333" s="10">
        <v>0.25</v>
      </c>
    </row>
    <row r="334" spans="1:13" ht="25.5">
      <c r="A334" s="5">
        <v>45632</v>
      </c>
      <c r="B334" s="6">
        <v>60195</v>
      </c>
      <c r="D334" s="7" t="s">
        <v>373</v>
      </c>
      <c r="E334" s="8" t="s">
        <v>377</v>
      </c>
      <c r="G334" s="10">
        <v>1.5</v>
      </c>
    </row>
    <row r="335" spans="1:13">
      <c r="A335" s="5">
        <v>45631</v>
      </c>
      <c r="B335" s="6">
        <v>60195</v>
      </c>
      <c r="D335" s="7" t="s">
        <v>373</v>
      </c>
      <c r="E335" s="8" t="s">
        <v>378</v>
      </c>
      <c r="G335" s="10">
        <v>0.5</v>
      </c>
    </row>
    <row r="336" spans="1:13">
      <c r="A336" s="11"/>
      <c r="B336" s="11"/>
      <c r="C336" s="11"/>
      <c r="D336" s="11"/>
      <c r="E336" s="11"/>
      <c r="H336" s="5"/>
    </row>
    <row r="337" spans="1:13" ht="25.5">
      <c r="A337" s="5">
        <v>45168</v>
      </c>
      <c r="B337" s="6">
        <v>10255</v>
      </c>
      <c r="D337" s="7" t="s">
        <v>379</v>
      </c>
      <c r="E337" s="8" t="s">
        <v>380</v>
      </c>
      <c r="G337" s="10">
        <v>0.5</v>
      </c>
    </row>
    <row r="338" spans="1:13">
      <c r="A338" s="5">
        <v>45386</v>
      </c>
      <c r="B338" s="6">
        <v>10255</v>
      </c>
      <c r="D338" s="7" t="s">
        <v>379</v>
      </c>
      <c r="E338" s="8" t="s">
        <v>381</v>
      </c>
      <c r="G338" s="10">
        <v>1</v>
      </c>
    </row>
    <row r="339" spans="1:13">
      <c r="A339" s="5">
        <v>45481</v>
      </c>
      <c r="B339" s="6">
        <v>10255</v>
      </c>
      <c r="D339" s="7" t="s">
        <v>382</v>
      </c>
      <c r="E339" s="8" t="s">
        <v>383</v>
      </c>
      <c r="G339" s="10">
        <v>0.25</v>
      </c>
    </row>
    <row r="340" spans="1:13">
      <c r="A340" s="5">
        <v>43832</v>
      </c>
      <c r="B340" s="6">
        <v>10257</v>
      </c>
      <c r="D340" s="7" t="s">
        <v>384</v>
      </c>
      <c r="E340" s="8" t="s">
        <v>385</v>
      </c>
      <c r="G340" s="10">
        <v>0.25</v>
      </c>
    </row>
    <row r="341" spans="1:13">
      <c r="A341" s="5">
        <v>44606</v>
      </c>
      <c r="B341" s="6">
        <v>10257</v>
      </c>
      <c r="D341" s="7" t="s">
        <v>386</v>
      </c>
      <c r="E341" s="8" t="s">
        <v>387</v>
      </c>
      <c r="G341" s="10">
        <v>0.75</v>
      </c>
    </row>
    <row r="342" spans="1:13">
      <c r="A342" s="5">
        <v>45446</v>
      </c>
      <c r="B342" s="6">
        <v>10424</v>
      </c>
      <c r="D342" s="7" t="s">
        <v>166</v>
      </c>
      <c r="E342" s="8" t="s">
        <v>388</v>
      </c>
      <c r="F342" s="9">
        <f>+G342*120</f>
        <v>90</v>
      </c>
      <c r="G342" s="10">
        <v>0.75</v>
      </c>
      <c r="K342" s="19"/>
      <c r="L342" s="19"/>
      <c r="M342" s="19"/>
    </row>
    <row r="343" spans="1:13" ht="25.5">
      <c r="A343" s="5">
        <v>45012</v>
      </c>
      <c r="B343" s="6">
        <v>10258</v>
      </c>
      <c r="D343" s="7" t="s">
        <v>389</v>
      </c>
      <c r="E343" s="8" t="s">
        <v>390</v>
      </c>
      <c r="F343" s="9">
        <f>3325.45-2228</f>
        <v>1097.4499999999998</v>
      </c>
    </row>
    <row r="344" spans="1:13">
      <c r="A344" s="5">
        <v>45357</v>
      </c>
      <c r="B344" s="6">
        <v>10260</v>
      </c>
      <c r="D344" s="7" t="s">
        <v>391</v>
      </c>
      <c r="E344" s="8" t="s">
        <v>392</v>
      </c>
      <c r="G344" s="10">
        <v>0.5</v>
      </c>
    </row>
    <row r="345" spans="1:13" s="19" customFormat="1">
      <c r="A345" s="5">
        <v>45357</v>
      </c>
      <c r="B345" s="6">
        <v>10260</v>
      </c>
      <c r="C345" s="6"/>
      <c r="D345" s="7" t="s">
        <v>391</v>
      </c>
      <c r="E345" s="8" t="s">
        <v>393</v>
      </c>
      <c r="F345" s="9"/>
      <c r="G345" s="10">
        <v>0.5</v>
      </c>
      <c r="I345" s="11"/>
      <c r="J345" s="11"/>
      <c r="K345" s="11"/>
      <c r="L345" s="11"/>
      <c r="M345" s="11"/>
    </row>
    <row r="346" spans="1:13" s="19" customFormat="1">
      <c r="A346" s="5">
        <v>45397</v>
      </c>
      <c r="B346" s="6">
        <v>10261</v>
      </c>
      <c r="C346" s="6"/>
      <c r="D346" s="7" t="s">
        <v>394</v>
      </c>
      <c r="E346" s="8" t="s">
        <v>395</v>
      </c>
      <c r="F346" s="9"/>
      <c r="G346" s="10">
        <v>0.25</v>
      </c>
      <c r="I346" s="11"/>
      <c r="J346" s="11"/>
      <c r="K346" s="11"/>
      <c r="L346" s="11"/>
      <c r="M346" s="11"/>
    </row>
    <row r="347" spans="1:13" s="19" customFormat="1">
      <c r="A347" s="5">
        <v>45419</v>
      </c>
      <c r="B347" s="6">
        <v>10261</v>
      </c>
      <c r="C347" s="6"/>
      <c r="D347" s="7" t="s">
        <v>394</v>
      </c>
      <c r="E347" s="8" t="s">
        <v>396</v>
      </c>
      <c r="F347" s="9"/>
      <c r="G347" s="10">
        <v>1</v>
      </c>
      <c r="I347" s="11"/>
      <c r="J347" s="11"/>
      <c r="K347" s="11"/>
      <c r="L347" s="11"/>
      <c r="M347" s="11"/>
    </row>
    <row r="348" spans="1:13">
      <c r="A348" s="5">
        <v>45447</v>
      </c>
      <c r="B348" s="6">
        <v>10261</v>
      </c>
      <c r="D348" s="7" t="s">
        <v>394</v>
      </c>
      <c r="E348" s="8" t="s">
        <v>343</v>
      </c>
      <c r="G348" s="10">
        <v>0.5</v>
      </c>
    </row>
    <row r="349" spans="1:13">
      <c r="A349" s="5">
        <v>45714</v>
      </c>
      <c r="B349" s="6">
        <v>10265</v>
      </c>
      <c r="D349" s="7" t="s">
        <v>397</v>
      </c>
      <c r="E349" s="8" t="s">
        <v>398</v>
      </c>
      <c r="G349" s="10">
        <v>0.5</v>
      </c>
      <c r="H349" s="19" t="s">
        <v>15</v>
      </c>
    </row>
    <row r="350" spans="1:13">
      <c r="A350" s="5">
        <v>44257</v>
      </c>
      <c r="B350" s="6">
        <v>10268</v>
      </c>
      <c r="D350" s="7" t="s">
        <v>399</v>
      </c>
      <c r="E350" s="8" t="s">
        <v>400</v>
      </c>
      <c r="F350" s="10"/>
      <c r="G350" s="10">
        <v>0.25</v>
      </c>
    </row>
    <row r="351" spans="1:13">
      <c r="A351" s="5">
        <v>44284</v>
      </c>
      <c r="B351" s="6">
        <v>10268</v>
      </c>
      <c r="D351" s="7" t="s">
        <v>401</v>
      </c>
      <c r="E351" s="8" t="s">
        <v>402</v>
      </c>
      <c r="G351" s="10">
        <v>1</v>
      </c>
    </row>
    <row r="352" spans="1:13">
      <c r="A352" s="5">
        <v>44333</v>
      </c>
      <c r="B352" s="6">
        <v>10268</v>
      </c>
      <c r="D352" s="7" t="s">
        <v>403</v>
      </c>
      <c r="E352" s="8" t="s">
        <v>404</v>
      </c>
      <c r="G352" s="10">
        <v>0.5</v>
      </c>
      <c r="K352" s="19"/>
      <c r="L352" s="19"/>
      <c r="M352" s="19"/>
    </row>
    <row r="353" spans="1:13">
      <c r="A353" s="5">
        <v>44945</v>
      </c>
      <c r="B353" s="6">
        <v>10269</v>
      </c>
      <c r="D353" s="7" t="s">
        <v>405</v>
      </c>
      <c r="E353" s="8" t="s">
        <v>406</v>
      </c>
      <c r="G353" s="10">
        <v>0.25</v>
      </c>
      <c r="K353" s="19"/>
      <c r="L353" s="19"/>
      <c r="M353" s="19"/>
    </row>
    <row r="354" spans="1:13" ht="25.5">
      <c r="A354" s="5">
        <v>45194</v>
      </c>
      <c r="B354" s="6">
        <v>10269</v>
      </c>
      <c r="D354" s="7" t="s">
        <v>405</v>
      </c>
      <c r="E354" s="8" t="s">
        <v>407</v>
      </c>
      <c r="G354" s="10">
        <v>1.5</v>
      </c>
      <c r="K354" s="19"/>
      <c r="L354" s="19"/>
      <c r="M354" s="19"/>
    </row>
    <row r="355" spans="1:13">
      <c r="A355" s="5">
        <v>45372</v>
      </c>
      <c r="B355" s="6">
        <v>10269</v>
      </c>
      <c r="D355" s="7" t="s">
        <v>408</v>
      </c>
      <c r="E355" s="8" t="s">
        <v>409</v>
      </c>
      <c r="G355" s="10">
        <v>0.5</v>
      </c>
    </row>
    <row r="356" spans="1:13">
      <c r="A356" s="5">
        <v>45566</v>
      </c>
      <c r="B356" s="6">
        <v>10270</v>
      </c>
      <c r="D356" s="7" t="s">
        <v>410</v>
      </c>
      <c r="E356" s="8" t="s">
        <v>54</v>
      </c>
      <c r="G356" s="10">
        <v>0.5</v>
      </c>
    </row>
    <row r="357" spans="1:13">
      <c r="A357" s="5">
        <v>45566</v>
      </c>
      <c r="B357" s="6">
        <v>10270</v>
      </c>
      <c r="D357" s="7" t="s">
        <v>410</v>
      </c>
      <c r="E357" s="8" t="s">
        <v>411</v>
      </c>
      <c r="G357" s="10">
        <v>0.5</v>
      </c>
    </row>
    <row r="358" spans="1:13">
      <c r="A358" s="5">
        <v>45590</v>
      </c>
      <c r="B358" s="6">
        <v>10270</v>
      </c>
      <c r="D358" s="7" t="s">
        <v>412</v>
      </c>
      <c r="E358" s="8" t="s">
        <v>413</v>
      </c>
      <c r="G358" s="10">
        <v>1</v>
      </c>
    </row>
    <row r="359" spans="1:13">
      <c r="A359" s="5">
        <v>45604</v>
      </c>
      <c r="B359" s="6">
        <v>10270</v>
      </c>
      <c r="D359" s="7" t="s">
        <v>410</v>
      </c>
      <c r="E359" s="8" t="s">
        <v>414</v>
      </c>
      <c r="G359" s="10">
        <v>0.5</v>
      </c>
    </row>
    <row r="360" spans="1:13">
      <c r="A360" s="5">
        <v>45614</v>
      </c>
      <c r="B360" s="6">
        <v>10270</v>
      </c>
      <c r="D360" s="7" t="s">
        <v>415</v>
      </c>
      <c r="E360" s="8" t="s">
        <v>416</v>
      </c>
      <c r="G360" s="10">
        <v>0.5</v>
      </c>
    </row>
    <row r="361" spans="1:13">
      <c r="A361" s="5">
        <v>45681</v>
      </c>
      <c r="B361" s="6">
        <v>10270</v>
      </c>
      <c r="D361" s="7" t="s">
        <v>415</v>
      </c>
      <c r="E361" s="8" t="s">
        <v>417</v>
      </c>
      <c r="G361" s="10">
        <v>0.5</v>
      </c>
    </row>
    <row r="362" spans="1:13" s="19" customFormat="1" ht="11.25" customHeight="1">
      <c r="A362" s="5">
        <v>45069</v>
      </c>
      <c r="B362" s="6">
        <v>10275</v>
      </c>
      <c r="C362" s="6"/>
      <c r="D362" s="7" t="s">
        <v>418</v>
      </c>
      <c r="E362" s="8" t="s">
        <v>419</v>
      </c>
      <c r="F362" s="9">
        <f>8682.34-2471-(3043.23-2160)-(3909.6-3516)</f>
        <v>4934.51</v>
      </c>
      <c r="G362" s="10">
        <f>+F362/120</f>
        <v>41.120916666666666</v>
      </c>
      <c r="I362" s="11"/>
      <c r="J362" s="11"/>
      <c r="K362" s="11"/>
      <c r="L362" s="11"/>
      <c r="M362" s="11"/>
    </row>
    <row r="363" spans="1:13" s="19" customFormat="1" ht="11.25" customHeight="1">
      <c r="A363" s="5">
        <v>45467</v>
      </c>
      <c r="B363" s="6">
        <v>10276</v>
      </c>
      <c r="C363" s="6"/>
      <c r="D363" s="7" t="s">
        <v>420</v>
      </c>
      <c r="E363" s="8" t="s">
        <v>421</v>
      </c>
      <c r="F363" s="9"/>
      <c r="G363" s="10">
        <v>0.25</v>
      </c>
      <c r="I363" s="11"/>
      <c r="J363" s="11"/>
    </row>
    <row r="364" spans="1:13" s="19" customFormat="1">
      <c r="A364" s="5">
        <v>45497</v>
      </c>
      <c r="B364" s="6">
        <v>10276</v>
      </c>
      <c r="C364" s="6"/>
      <c r="D364" s="7" t="s">
        <v>420</v>
      </c>
      <c r="E364" s="8" t="s">
        <v>422</v>
      </c>
      <c r="F364" s="9"/>
      <c r="G364" s="10">
        <v>0.25</v>
      </c>
      <c r="I364" s="11"/>
      <c r="J364" s="11"/>
    </row>
    <row r="365" spans="1:13" s="19" customFormat="1">
      <c r="A365" s="5">
        <v>45516</v>
      </c>
      <c r="B365" s="6">
        <v>10276</v>
      </c>
      <c r="C365" s="6"/>
      <c r="D365" s="7" t="s">
        <v>420</v>
      </c>
      <c r="E365" s="8" t="s">
        <v>423</v>
      </c>
      <c r="F365" s="9"/>
      <c r="G365" s="10">
        <v>0.5</v>
      </c>
      <c r="I365" s="11"/>
      <c r="J365" s="11"/>
    </row>
    <row r="366" spans="1:13" s="19" customFormat="1">
      <c r="A366" s="5">
        <v>45530</v>
      </c>
      <c r="B366" s="6">
        <v>10276</v>
      </c>
      <c r="C366" s="6"/>
      <c r="D366" s="7" t="s">
        <v>420</v>
      </c>
      <c r="E366" s="8" t="s">
        <v>424</v>
      </c>
      <c r="F366" s="9"/>
      <c r="G366" s="10">
        <v>0.5</v>
      </c>
      <c r="I366" s="11"/>
      <c r="J366" s="11"/>
    </row>
    <row r="367" spans="1:13" s="19" customFormat="1" ht="25.5">
      <c r="A367" s="5">
        <v>45539</v>
      </c>
      <c r="B367" s="6">
        <v>10276</v>
      </c>
      <c r="C367" s="6"/>
      <c r="D367" s="7" t="s">
        <v>420</v>
      </c>
      <c r="E367" s="8" t="s">
        <v>425</v>
      </c>
      <c r="F367" s="9"/>
      <c r="G367" s="10">
        <v>1</v>
      </c>
      <c r="I367" s="11"/>
      <c r="J367" s="11"/>
    </row>
    <row r="368" spans="1:13">
      <c r="A368" s="5">
        <v>45545</v>
      </c>
      <c r="B368" s="6">
        <v>10276</v>
      </c>
      <c r="D368" s="7" t="s">
        <v>420</v>
      </c>
      <c r="E368" s="8" t="s">
        <v>426</v>
      </c>
      <c r="G368" s="10">
        <v>0.25</v>
      </c>
      <c r="I368" s="19"/>
      <c r="J368" s="19"/>
      <c r="K368" s="19"/>
      <c r="L368" s="19"/>
      <c r="M368" s="19"/>
    </row>
    <row r="369" spans="1:13">
      <c r="A369" s="5">
        <v>45551</v>
      </c>
      <c r="B369" s="6">
        <v>10276</v>
      </c>
      <c r="D369" s="7" t="s">
        <v>420</v>
      </c>
      <c r="E369" s="8" t="s">
        <v>427</v>
      </c>
      <c r="G369" s="10">
        <v>0.5</v>
      </c>
      <c r="I369" s="19"/>
      <c r="J369" s="19"/>
    </row>
    <row r="370" spans="1:13" s="19" customFormat="1">
      <c r="A370" s="5">
        <v>45552</v>
      </c>
      <c r="B370" s="6">
        <v>10276</v>
      </c>
      <c r="C370" s="6"/>
      <c r="D370" s="7" t="s">
        <v>420</v>
      </c>
      <c r="E370" s="8" t="s">
        <v>428</v>
      </c>
      <c r="F370" s="9"/>
      <c r="G370" s="10">
        <v>0.5</v>
      </c>
      <c r="K370" s="11"/>
      <c r="L370" s="11"/>
      <c r="M370" s="11"/>
    </row>
    <row r="371" spans="1:13">
      <c r="A371" s="5">
        <v>45558</v>
      </c>
      <c r="B371" s="6">
        <v>10276</v>
      </c>
      <c r="D371" s="7" t="s">
        <v>420</v>
      </c>
      <c r="E371" s="8" t="s">
        <v>429</v>
      </c>
      <c r="G371" s="10">
        <v>0.5</v>
      </c>
      <c r="K371" s="19"/>
      <c r="L371" s="19"/>
      <c r="M371" s="19"/>
    </row>
    <row r="372" spans="1:13">
      <c r="A372" s="5">
        <v>45559</v>
      </c>
      <c r="B372" s="6">
        <v>10276</v>
      </c>
      <c r="D372" s="7" t="s">
        <v>420</v>
      </c>
      <c r="E372" s="8" t="s">
        <v>430</v>
      </c>
      <c r="G372" s="10">
        <v>0.25</v>
      </c>
    </row>
    <row r="373" spans="1:13">
      <c r="A373" s="5">
        <v>45566</v>
      </c>
      <c r="B373" s="6">
        <v>10276</v>
      </c>
      <c r="D373" s="7" t="s">
        <v>420</v>
      </c>
      <c r="E373" s="8" t="s">
        <v>431</v>
      </c>
      <c r="G373" s="10">
        <v>0.5</v>
      </c>
    </row>
    <row r="374" spans="1:13">
      <c r="A374" s="5">
        <v>44763</v>
      </c>
      <c r="B374" s="6">
        <v>10281</v>
      </c>
      <c r="D374" s="7" t="s">
        <v>394</v>
      </c>
      <c r="E374" s="8" t="s">
        <v>432</v>
      </c>
      <c r="G374" s="10">
        <v>0.5</v>
      </c>
    </row>
    <row r="375" spans="1:13">
      <c r="A375" s="5">
        <v>45224</v>
      </c>
      <c r="B375" s="6">
        <v>10283</v>
      </c>
      <c r="D375" s="7" t="s">
        <v>433</v>
      </c>
      <c r="E375" s="8" t="s">
        <v>434</v>
      </c>
      <c r="F375" s="9">
        <f>19880-5000</f>
        <v>14880</v>
      </c>
      <c r="G375" s="10">
        <f>+F375/120</f>
        <v>124</v>
      </c>
    </row>
    <row r="376" spans="1:13" ht="25.5">
      <c r="A376" s="5">
        <v>45259</v>
      </c>
      <c r="B376" s="6">
        <v>10283</v>
      </c>
      <c r="D376" s="7" t="s">
        <v>433</v>
      </c>
      <c r="E376" s="8" t="s">
        <v>435</v>
      </c>
      <c r="F376" s="10"/>
      <c r="G376" s="10">
        <v>0.5</v>
      </c>
      <c r="I376" s="19"/>
      <c r="J376" s="19"/>
    </row>
    <row r="377" spans="1:13">
      <c r="A377" s="5">
        <v>45446</v>
      </c>
      <c r="B377" s="6">
        <v>10283</v>
      </c>
      <c r="D377" s="7" t="s">
        <v>433</v>
      </c>
      <c r="E377" s="8" t="s">
        <v>436</v>
      </c>
      <c r="G377" s="10">
        <v>0.25</v>
      </c>
      <c r="I377" s="19"/>
      <c r="J377" s="19"/>
    </row>
    <row r="378" spans="1:13">
      <c r="A378" s="5">
        <v>45448</v>
      </c>
      <c r="B378" s="6">
        <v>10283</v>
      </c>
      <c r="D378" s="7" t="s">
        <v>433</v>
      </c>
      <c r="E378" s="8" t="s">
        <v>437</v>
      </c>
      <c r="G378" s="10">
        <v>0.5</v>
      </c>
      <c r="I378" s="19"/>
      <c r="J378" s="19"/>
    </row>
    <row r="379" spans="1:13">
      <c r="A379" s="5">
        <v>45611</v>
      </c>
      <c r="B379" s="6">
        <v>10286</v>
      </c>
      <c r="D379" s="7" t="s">
        <v>438</v>
      </c>
      <c r="E379" s="8" t="s">
        <v>439</v>
      </c>
      <c r="G379" s="10">
        <v>1.5</v>
      </c>
      <c r="I379" s="19"/>
      <c r="J379" s="19"/>
    </row>
    <row r="380" spans="1:13">
      <c r="A380" s="5">
        <v>45614</v>
      </c>
      <c r="B380" s="6">
        <v>10286</v>
      </c>
      <c r="D380" s="7" t="s">
        <v>438</v>
      </c>
      <c r="E380" s="8" t="s">
        <v>440</v>
      </c>
      <c r="G380" s="10">
        <v>0.75</v>
      </c>
      <c r="I380" s="19"/>
      <c r="J380" s="19"/>
    </row>
    <row r="381" spans="1:13">
      <c r="A381" s="5">
        <v>45631</v>
      </c>
      <c r="B381" s="6">
        <v>10286</v>
      </c>
      <c r="D381" s="7" t="s">
        <v>441</v>
      </c>
      <c r="E381" s="8" t="s">
        <v>442</v>
      </c>
      <c r="G381" s="10">
        <v>0.5</v>
      </c>
      <c r="I381" s="19"/>
      <c r="J381" s="19"/>
    </row>
    <row r="382" spans="1:13">
      <c r="A382" s="5">
        <v>45427</v>
      </c>
      <c r="B382" s="6">
        <v>10287</v>
      </c>
      <c r="D382" s="7" t="s">
        <v>443</v>
      </c>
      <c r="E382" s="8" t="s">
        <v>444</v>
      </c>
      <c r="G382" s="10">
        <v>0.5</v>
      </c>
      <c r="I382" s="19"/>
      <c r="J382" s="19"/>
    </row>
    <row r="383" spans="1:13">
      <c r="A383" s="5">
        <v>45429</v>
      </c>
      <c r="B383" s="6">
        <v>10287</v>
      </c>
      <c r="D383" s="7" t="s">
        <v>445</v>
      </c>
      <c r="E383" s="8" t="s">
        <v>446</v>
      </c>
      <c r="G383" s="10">
        <v>0.5</v>
      </c>
      <c r="I383" s="19"/>
      <c r="J383" s="19"/>
    </row>
    <row r="384" spans="1:13">
      <c r="A384" s="5">
        <v>45450</v>
      </c>
      <c r="B384" s="6">
        <v>10287</v>
      </c>
      <c r="D384" s="7" t="s">
        <v>447</v>
      </c>
      <c r="E384" s="8" t="s">
        <v>448</v>
      </c>
      <c r="G384" s="10">
        <v>0.75</v>
      </c>
      <c r="I384" s="19"/>
      <c r="J384" s="19"/>
    </row>
    <row r="385" spans="1:13" s="19" customFormat="1">
      <c r="A385" s="5">
        <v>45481</v>
      </c>
      <c r="B385" s="6">
        <v>10287</v>
      </c>
      <c r="C385" s="6"/>
      <c r="D385" s="7" t="s">
        <v>449</v>
      </c>
      <c r="E385" s="8" t="s">
        <v>450</v>
      </c>
      <c r="F385" s="9"/>
      <c r="G385" s="10">
        <v>0.25</v>
      </c>
    </row>
    <row r="386" spans="1:13" s="19" customFormat="1">
      <c r="A386" s="5">
        <v>45593</v>
      </c>
      <c r="B386" s="6">
        <v>10287</v>
      </c>
      <c r="C386" s="6"/>
      <c r="D386" s="7" t="s">
        <v>386</v>
      </c>
      <c r="E386" s="8" t="s">
        <v>451</v>
      </c>
      <c r="F386" s="9"/>
      <c r="G386" s="10">
        <v>1.5</v>
      </c>
      <c r="I386" s="11"/>
      <c r="J386" s="11"/>
    </row>
    <row r="387" spans="1:13" s="19" customFormat="1" ht="25.5">
      <c r="A387" s="5">
        <v>45614</v>
      </c>
      <c r="B387" s="6">
        <v>10287</v>
      </c>
      <c r="C387" s="6"/>
      <c r="D387" s="7" t="s">
        <v>452</v>
      </c>
      <c r="E387" s="8" t="s">
        <v>453</v>
      </c>
      <c r="F387" s="9"/>
      <c r="G387" s="10">
        <v>0.75</v>
      </c>
      <c r="I387" s="11"/>
      <c r="J387" s="11"/>
    </row>
    <row r="388" spans="1:13" s="19" customFormat="1">
      <c r="A388" s="5">
        <v>45615</v>
      </c>
      <c r="B388" s="6">
        <v>10287</v>
      </c>
      <c r="C388" s="6"/>
      <c r="D388" s="7" t="s">
        <v>445</v>
      </c>
      <c r="E388" s="8" t="s">
        <v>454</v>
      </c>
      <c r="F388" s="9"/>
      <c r="G388" s="10">
        <v>0.25</v>
      </c>
    </row>
    <row r="389" spans="1:13" s="19" customFormat="1">
      <c r="A389" s="5">
        <v>45673</v>
      </c>
      <c r="B389" s="6">
        <v>10287</v>
      </c>
      <c r="C389" s="6"/>
      <c r="D389" s="2" t="s">
        <v>455</v>
      </c>
      <c r="E389" s="8" t="s">
        <v>88</v>
      </c>
      <c r="F389" s="9"/>
      <c r="G389" s="10">
        <v>0.25</v>
      </c>
      <c r="I389" s="11"/>
      <c r="J389" s="11"/>
    </row>
    <row r="390" spans="1:13" s="19" customFormat="1">
      <c r="A390" s="5">
        <v>45678</v>
      </c>
      <c r="B390" s="6">
        <v>10287</v>
      </c>
      <c r="C390" s="6"/>
      <c r="D390" s="7" t="s">
        <v>447</v>
      </c>
      <c r="E390" s="8" t="s">
        <v>456</v>
      </c>
      <c r="F390" s="9"/>
      <c r="G390" s="10">
        <v>1</v>
      </c>
      <c r="I390" s="11"/>
      <c r="J390" s="11"/>
    </row>
    <row r="391" spans="1:13" s="19" customFormat="1">
      <c r="A391" s="5">
        <v>45692</v>
      </c>
      <c r="B391" s="6">
        <v>10287</v>
      </c>
      <c r="C391" s="6"/>
      <c r="D391" s="7" t="s">
        <v>445</v>
      </c>
      <c r="E391" s="8" t="s">
        <v>457</v>
      </c>
      <c r="F391" s="9"/>
      <c r="G391" s="10">
        <v>0.5</v>
      </c>
      <c r="I391" s="11"/>
      <c r="J391" s="11"/>
    </row>
    <row r="392" spans="1:13" s="19" customFormat="1">
      <c r="A392" s="5">
        <v>45693</v>
      </c>
      <c r="B392" s="6">
        <v>10287</v>
      </c>
      <c r="C392" s="6"/>
      <c r="D392" s="7" t="s">
        <v>445</v>
      </c>
      <c r="E392" s="8" t="s">
        <v>458</v>
      </c>
      <c r="F392" s="9"/>
      <c r="G392" s="10">
        <v>0.5</v>
      </c>
      <c r="I392" s="11"/>
      <c r="J392" s="11"/>
    </row>
    <row r="393" spans="1:13" s="19" customFormat="1">
      <c r="A393" s="5">
        <v>45706</v>
      </c>
      <c r="B393" s="6">
        <v>10287</v>
      </c>
      <c r="C393" s="6"/>
      <c r="D393" s="7" t="s">
        <v>445</v>
      </c>
      <c r="E393" s="8" t="s">
        <v>459</v>
      </c>
      <c r="F393" s="9"/>
      <c r="G393" s="10">
        <v>0.5</v>
      </c>
      <c r="I393" s="11"/>
      <c r="J393" s="11"/>
    </row>
    <row r="394" spans="1:13">
      <c r="A394" s="5">
        <v>45707</v>
      </c>
      <c r="B394" s="6">
        <v>10287</v>
      </c>
      <c r="D394" s="7" t="s">
        <v>447</v>
      </c>
      <c r="E394" s="8" t="s">
        <v>460</v>
      </c>
      <c r="G394" s="10">
        <v>0.25</v>
      </c>
    </row>
    <row r="395" spans="1:13" ht="25.5">
      <c r="A395" s="5">
        <v>45708</v>
      </c>
      <c r="B395" s="6">
        <v>10287</v>
      </c>
      <c r="D395" s="7" t="s">
        <v>449</v>
      </c>
      <c r="E395" s="8" t="s">
        <v>461</v>
      </c>
      <c r="G395" s="10">
        <v>2.5</v>
      </c>
    </row>
    <row r="396" spans="1:13" s="19" customFormat="1">
      <c r="A396" s="5">
        <v>45709</v>
      </c>
      <c r="B396" s="6">
        <v>10287</v>
      </c>
      <c r="C396" s="6"/>
      <c r="D396" s="7" t="s">
        <v>445</v>
      </c>
      <c r="E396" s="8" t="s">
        <v>462</v>
      </c>
      <c r="F396" s="9"/>
      <c r="G396" s="10">
        <v>0.75</v>
      </c>
      <c r="I396" s="11"/>
      <c r="J396" s="11"/>
      <c r="K396" s="11"/>
      <c r="L396" s="11"/>
      <c r="M396" s="11"/>
    </row>
    <row r="397" spans="1:13" s="19" customFormat="1">
      <c r="A397" s="5">
        <v>45579</v>
      </c>
      <c r="B397" s="6">
        <v>10289</v>
      </c>
      <c r="C397" s="6"/>
      <c r="D397" s="7" t="s">
        <v>408</v>
      </c>
      <c r="E397" s="8" t="s">
        <v>463</v>
      </c>
      <c r="F397" s="9"/>
      <c r="G397" s="10">
        <v>0.75</v>
      </c>
      <c r="I397" s="11"/>
      <c r="J397" s="11"/>
      <c r="K397" s="11"/>
      <c r="L397" s="11"/>
      <c r="M397" s="11"/>
    </row>
    <row r="398" spans="1:13" s="19" customFormat="1" ht="25.5">
      <c r="A398" s="5">
        <v>45586</v>
      </c>
      <c r="B398" s="6">
        <v>10289</v>
      </c>
      <c r="C398" s="6"/>
      <c r="D398" s="7" t="s">
        <v>408</v>
      </c>
      <c r="E398" s="8" t="s">
        <v>464</v>
      </c>
      <c r="F398" s="9"/>
      <c r="G398" s="10">
        <v>0.25</v>
      </c>
      <c r="I398" s="11"/>
      <c r="J398" s="11"/>
      <c r="K398" s="11"/>
      <c r="L398" s="11"/>
      <c r="M398" s="11"/>
    </row>
    <row r="399" spans="1:13" s="19" customFormat="1">
      <c r="A399" s="5">
        <v>45637</v>
      </c>
      <c r="B399" s="6">
        <v>10289</v>
      </c>
      <c r="C399" s="6"/>
      <c r="D399" s="7" t="s">
        <v>408</v>
      </c>
      <c r="E399" s="8" t="s">
        <v>465</v>
      </c>
      <c r="F399" s="9"/>
      <c r="G399" s="10">
        <v>0.5</v>
      </c>
      <c r="I399" s="11"/>
      <c r="J399" s="11"/>
    </row>
    <row r="400" spans="1:13" s="19" customFormat="1">
      <c r="A400" s="5">
        <v>45695</v>
      </c>
      <c r="B400" s="6">
        <v>10289</v>
      </c>
      <c r="C400" s="6"/>
      <c r="D400" s="7" t="s">
        <v>408</v>
      </c>
      <c r="E400" s="8" t="s">
        <v>466</v>
      </c>
      <c r="F400" s="9"/>
      <c r="G400" s="10">
        <v>0.5</v>
      </c>
      <c r="I400" s="11"/>
      <c r="J400" s="11"/>
    </row>
    <row r="401" spans="1:13">
      <c r="A401" s="5">
        <v>45586</v>
      </c>
      <c r="B401" s="6">
        <v>10291</v>
      </c>
      <c r="D401" s="7" t="s">
        <v>467</v>
      </c>
      <c r="E401" s="8" t="s">
        <v>468</v>
      </c>
      <c r="G401" s="10">
        <v>0.25</v>
      </c>
      <c r="K401" s="19"/>
      <c r="L401" s="19"/>
      <c r="M401" s="19"/>
    </row>
    <row r="402" spans="1:13" ht="25.5">
      <c r="A402" s="5">
        <v>44741</v>
      </c>
      <c r="B402" s="6">
        <v>10302</v>
      </c>
      <c r="D402" s="7" t="s">
        <v>469</v>
      </c>
      <c r="E402" s="8" t="s">
        <v>470</v>
      </c>
      <c r="F402" s="9">
        <f>1131.9-400</f>
        <v>731.90000000000009</v>
      </c>
      <c r="G402" s="10">
        <f>+F402/100</f>
        <v>7.3190000000000008</v>
      </c>
      <c r="K402" s="19"/>
      <c r="L402" s="19"/>
      <c r="M402" s="19"/>
    </row>
    <row r="403" spans="1:13">
      <c r="A403" s="5">
        <v>44908</v>
      </c>
      <c r="B403" s="6">
        <v>10302</v>
      </c>
      <c r="D403" s="7" t="s">
        <v>471</v>
      </c>
      <c r="E403" s="8" t="s">
        <v>472</v>
      </c>
      <c r="G403" s="10">
        <v>0.25</v>
      </c>
      <c r="K403" s="19"/>
      <c r="L403" s="19"/>
      <c r="M403" s="19"/>
    </row>
    <row r="404" spans="1:13">
      <c r="A404" s="5">
        <v>44914</v>
      </c>
      <c r="B404" s="6">
        <v>10302</v>
      </c>
      <c r="D404" s="7" t="s">
        <v>471</v>
      </c>
      <c r="E404" s="8" t="s">
        <v>473</v>
      </c>
      <c r="G404" s="10">
        <v>0.25</v>
      </c>
    </row>
    <row r="405" spans="1:13">
      <c r="A405" s="5">
        <v>44972</v>
      </c>
      <c r="B405" s="6">
        <v>10302</v>
      </c>
      <c r="D405" s="7" t="s">
        <v>469</v>
      </c>
      <c r="E405" s="8" t="s">
        <v>474</v>
      </c>
      <c r="G405" s="10">
        <v>0.5</v>
      </c>
    </row>
    <row r="406" spans="1:13">
      <c r="A406" s="5">
        <v>44986</v>
      </c>
      <c r="B406" s="6">
        <v>10302</v>
      </c>
      <c r="D406" s="7" t="s">
        <v>475</v>
      </c>
      <c r="E406" s="8" t="s">
        <v>476</v>
      </c>
      <c r="G406" s="10">
        <v>0.25</v>
      </c>
    </row>
    <row r="407" spans="1:13">
      <c r="A407" s="5">
        <v>44991</v>
      </c>
      <c r="B407" s="6">
        <v>10302</v>
      </c>
      <c r="D407" s="7" t="s">
        <v>477</v>
      </c>
      <c r="E407" s="8" t="s">
        <v>478</v>
      </c>
      <c r="G407" s="10">
        <v>0.5</v>
      </c>
    </row>
    <row r="408" spans="1:13">
      <c r="A408" s="5">
        <v>45002</v>
      </c>
      <c r="B408" s="6">
        <v>10302</v>
      </c>
      <c r="D408" s="7" t="s">
        <v>471</v>
      </c>
      <c r="E408" s="8" t="s">
        <v>479</v>
      </c>
      <c r="G408" s="10">
        <v>0.25</v>
      </c>
      <c r="I408" s="19"/>
      <c r="J408" s="19"/>
    </row>
    <row r="409" spans="1:13">
      <c r="A409" s="5">
        <v>45104</v>
      </c>
      <c r="B409" s="6">
        <v>10302</v>
      </c>
      <c r="D409" s="7" t="s">
        <v>471</v>
      </c>
      <c r="E409" s="8" t="s">
        <v>480</v>
      </c>
      <c r="G409" s="10">
        <v>1.5</v>
      </c>
      <c r="I409" s="19"/>
      <c r="J409" s="19"/>
    </row>
    <row r="410" spans="1:13">
      <c r="A410" s="5">
        <v>45145</v>
      </c>
      <c r="B410" s="6">
        <v>10302</v>
      </c>
      <c r="D410" s="7" t="s">
        <v>471</v>
      </c>
      <c r="E410" s="8" t="s">
        <v>481</v>
      </c>
      <c r="F410" s="10"/>
      <c r="G410" s="10">
        <v>0.25</v>
      </c>
      <c r="I410" s="19"/>
      <c r="J410" s="19"/>
    </row>
    <row r="411" spans="1:13">
      <c r="A411" s="5">
        <v>45189</v>
      </c>
      <c r="B411" s="6">
        <v>10302</v>
      </c>
      <c r="D411" s="7" t="s">
        <v>475</v>
      </c>
      <c r="E411" s="8" t="s">
        <v>482</v>
      </c>
      <c r="G411" s="10">
        <v>0.5</v>
      </c>
      <c r="I411" s="19"/>
      <c r="J411" s="19"/>
    </row>
    <row r="412" spans="1:13">
      <c r="A412" s="5">
        <v>45327</v>
      </c>
      <c r="B412" s="6">
        <v>10302</v>
      </c>
      <c r="D412" s="7" t="s">
        <v>483</v>
      </c>
      <c r="E412" s="8" t="s">
        <v>360</v>
      </c>
      <c r="G412" s="10">
        <v>0.25</v>
      </c>
      <c r="I412" s="19"/>
      <c r="J412" s="19"/>
    </row>
    <row r="413" spans="1:13">
      <c r="A413" s="5">
        <v>45377</v>
      </c>
      <c r="B413" s="6">
        <v>10302</v>
      </c>
      <c r="D413" s="7" t="s">
        <v>484</v>
      </c>
      <c r="E413" s="8" t="s">
        <v>485</v>
      </c>
      <c r="G413" s="10">
        <v>0.25</v>
      </c>
      <c r="I413" s="19"/>
      <c r="J413" s="19"/>
    </row>
    <row r="414" spans="1:13">
      <c r="A414" s="5">
        <v>44307</v>
      </c>
      <c r="B414" s="6">
        <v>10305</v>
      </c>
      <c r="D414" s="7" t="s">
        <v>486</v>
      </c>
      <c r="E414" s="8" t="s">
        <v>487</v>
      </c>
      <c r="G414" s="10">
        <v>0.5</v>
      </c>
      <c r="I414" s="19"/>
      <c r="J414" s="19"/>
    </row>
    <row r="415" spans="1:13">
      <c r="A415" s="5">
        <v>44225</v>
      </c>
      <c r="B415" s="6">
        <v>10306</v>
      </c>
      <c r="D415" s="7" t="s">
        <v>488</v>
      </c>
      <c r="E415" s="8" t="s">
        <v>489</v>
      </c>
      <c r="F415" s="9">
        <f>3215-2252.8</f>
        <v>962.19999999999982</v>
      </c>
      <c r="G415" s="10">
        <f>+F415/100</f>
        <v>9.6219999999999981</v>
      </c>
      <c r="I415" s="19"/>
      <c r="J415" s="19"/>
    </row>
    <row r="416" spans="1:13">
      <c r="A416" s="5">
        <v>44237</v>
      </c>
      <c r="B416" s="6">
        <v>10306</v>
      </c>
      <c r="D416" s="7" t="s">
        <v>477</v>
      </c>
      <c r="E416" s="8" t="s">
        <v>490</v>
      </c>
      <c r="G416" s="10">
        <v>0.25</v>
      </c>
      <c r="I416" s="19"/>
      <c r="J416" s="19"/>
    </row>
    <row r="417" spans="1:10">
      <c r="A417" s="5">
        <v>44252</v>
      </c>
      <c r="B417" s="6">
        <v>10306</v>
      </c>
      <c r="D417" s="7" t="s">
        <v>488</v>
      </c>
      <c r="E417" s="8" t="s">
        <v>491</v>
      </c>
      <c r="G417" s="10">
        <v>0.25</v>
      </c>
    </row>
    <row r="418" spans="1:10">
      <c r="A418" s="5">
        <v>44252</v>
      </c>
      <c r="B418" s="6">
        <v>10306</v>
      </c>
      <c r="D418" s="7" t="s">
        <v>488</v>
      </c>
      <c r="E418" s="8" t="s">
        <v>492</v>
      </c>
      <c r="G418" s="10">
        <v>0.5</v>
      </c>
    </row>
    <row r="419" spans="1:10">
      <c r="A419" s="5">
        <v>44256</v>
      </c>
      <c r="B419" s="6">
        <v>10306</v>
      </c>
      <c r="D419" s="7" t="s">
        <v>469</v>
      </c>
      <c r="E419" s="8" t="s">
        <v>493</v>
      </c>
      <c r="G419" s="10">
        <v>0.25</v>
      </c>
      <c r="I419" s="19"/>
      <c r="J419" s="19"/>
    </row>
    <row r="420" spans="1:10">
      <c r="A420" s="5">
        <v>44256</v>
      </c>
      <c r="B420" s="6">
        <v>10306</v>
      </c>
      <c r="D420" s="7" t="s">
        <v>469</v>
      </c>
      <c r="E420" s="8" t="s">
        <v>494</v>
      </c>
      <c r="G420" s="10">
        <v>0.75</v>
      </c>
      <c r="I420" s="19"/>
      <c r="J420" s="19"/>
    </row>
    <row r="421" spans="1:10">
      <c r="A421" s="5">
        <v>44263</v>
      </c>
      <c r="B421" s="6">
        <v>10306</v>
      </c>
      <c r="D421" s="7" t="s">
        <v>495</v>
      </c>
      <c r="E421" s="8" t="s">
        <v>496</v>
      </c>
      <c r="G421" s="10">
        <v>0.25</v>
      </c>
      <c r="I421" s="19"/>
      <c r="J421" s="19"/>
    </row>
    <row r="422" spans="1:10">
      <c r="A422" s="5">
        <v>44278</v>
      </c>
      <c r="B422" s="6">
        <v>10306</v>
      </c>
      <c r="D422" s="7" t="s">
        <v>488</v>
      </c>
      <c r="E422" s="8" t="s">
        <v>497</v>
      </c>
      <c r="G422" s="10">
        <v>0.25</v>
      </c>
      <c r="I422" s="19"/>
      <c r="J422" s="19"/>
    </row>
    <row r="423" spans="1:10">
      <c r="A423" s="5">
        <v>44284</v>
      </c>
      <c r="B423" s="6">
        <v>10306</v>
      </c>
      <c r="D423" s="7" t="s">
        <v>488</v>
      </c>
      <c r="E423" s="8" t="s">
        <v>498</v>
      </c>
      <c r="G423" s="10">
        <v>0.5</v>
      </c>
      <c r="I423" s="19"/>
      <c r="J423" s="19"/>
    </row>
    <row r="424" spans="1:10">
      <c r="A424" s="5">
        <v>44474</v>
      </c>
      <c r="B424" s="6">
        <v>10306</v>
      </c>
      <c r="D424" s="7" t="s">
        <v>488</v>
      </c>
      <c r="E424" s="8" t="s">
        <v>499</v>
      </c>
      <c r="G424" s="10">
        <v>1</v>
      </c>
    </row>
    <row r="425" spans="1:10">
      <c r="A425" s="5">
        <v>44984</v>
      </c>
      <c r="B425" s="6">
        <v>10306</v>
      </c>
      <c r="D425" s="7" t="s">
        <v>477</v>
      </c>
      <c r="E425" s="8" t="s">
        <v>500</v>
      </c>
      <c r="G425" s="10">
        <v>0.5</v>
      </c>
    </row>
    <row r="426" spans="1:10" ht="25.5">
      <c r="A426" s="5">
        <v>45254</v>
      </c>
      <c r="B426" s="6">
        <v>10306</v>
      </c>
      <c r="D426" s="7" t="s">
        <v>477</v>
      </c>
      <c r="E426" s="8" t="s">
        <v>501</v>
      </c>
      <c r="G426" s="10">
        <v>0.5</v>
      </c>
    </row>
    <row r="427" spans="1:10">
      <c r="A427" s="5">
        <v>45637</v>
      </c>
      <c r="B427" s="6">
        <v>10329</v>
      </c>
      <c r="D427" s="7" t="s">
        <v>502</v>
      </c>
      <c r="E427" s="8" t="s">
        <v>503</v>
      </c>
      <c r="G427" s="10">
        <v>0.5</v>
      </c>
    </row>
    <row r="428" spans="1:10">
      <c r="A428" s="5">
        <v>45638</v>
      </c>
      <c r="B428" s="6">
        <v>10329</v>
      </c>
      <c r="D428" s="7" t="s">
        <v>502</v>
      </c>
      <c r="E428" s="8" t="s">
        <v>504</v>
      </c>
      <c r="G428" s="10">
        <v>0.25</v>
      </c>
    </row>
    <row r="429" spans="1:10" ht="25.5">
      <c r="A429" s="5">
        <v>45643</v>
      </c>
      <c r="B429" s="6">
        <v>10329</v>
      </c>
      <c r="D429" s="7" t="s">
        <v>502</v>
      </c>
      <c r="E429" s="8" t="s">
        <v>505</v>
      </c>
      <c r="G429" s="10">
        <v>0.75</v>
      </c>
    </row>
    <row r="430" spans="1:10" ht="25.5">
      <c r="A430" s="5">
        <v>45684</v>
      </c>
      <c r="B430" s="6">
        <v>10329</v>
      </c>
      <c r="D430" s="7" t="s">
        <v>502</v>
      </c>
      <c r="E430" s="8" t="s">
        <v>506</v>
      </c>
      <c r="G430" s="10">
        <v>1.5</v>
      </c>
    </row>
    <row r="431" spans="1:10">
      <c r="A431" s="5">
        <v>45647</v>
      </c>
      <c r="B431" s="6">
        <v>10330</v>
      </c>
      <c r="D431" s="7" t="s">
        <v>507</v>
      </c>
      <c r="E431" s="8" t="s">
        <v>508</v>
      </c>
      <c r="G431" s="10">
        <v>1</v>
      </c>
    </row>
    <row r="432" spans="1:10" ht="25.5">
      <c r="A432" s="5">
        <v>45649</v>
      </c>
      <c r="B432" s="6">
        <v>10330</v>
      </c>
      <c r="D432" s="7" t="s">
        <v>507</v>
      </c>
      <c r="E432" s="8" t="s">
        <v>509</v>
      </c>
      <c r="G432" s="10">
        <v>0.75</v>
      </c>
    </row>
    <row r="433" spans="1:7">
      <c r="A433" s="5">
        <v>45698</v>
      </c>
      <c r="B433" s="6">
        <v>10330</v>
      </c>
      <c r="D433" s="7" t="s">
        <v>510</v>
      </c>
      <c r="E433" s="8" t="s">
        <v>511</v>
      </c>
      <c r="G433" s="10">
        <v>1.25</v>
      </c>
    </row>
    <row r="434" spans="1:7">
      <c r="A434" s="5">
        <v>45714</v>
      </c>
      <c r="B434" s="6">
        <v>10330</v>
      </c>
      <c r="D434" s="7" t="s">
        <v>512</v>
      </c>
      <c r="E434" s="8" t="s">
        <v>513</v>
      </c>
      <c r="G434" s="10">
        <v>0.5</v>
      </c>
    </row>
    <row r="435" spans="1:7">
      <c r="A435" s="5">
        <v>45570</v>
      </c>
      <c r="B435" s="6">
        <v>10331</v>
      </c>
      <c r="D435" s="7" t="s">
        <v>514</v>
      </c>
      <c r="E435" s="8" t="s">
        <v>515</v>
      </c>
      <c r="G435" s="10">
        <v>0.25</v>
      </c>
    </row>
    <row r="436" spans="1:7">
      <c r="A436" s="5">
        <v>45579</v>
      </c>
      <c r="B436" s="6">
        <v>10331</v>
      </c>
      <c r="D436" s="7" t="s">
        <v>514</v>
      </c>
      <c r="E436" s="8" t="s">
        <v>516</v>
      </c>
      <c r="G436" s="10">
        <v>0.25</v>
      </c>
    </row>
    <row r="437" spans="1:7">
      <c r="A437" s="5">
        <v>45595</v>
      </c>
      <c r="B437" s="6">
        <v>10331</v>
      </c>
      <c r="D437" s="7" t="s">
        <v>514</v>
      </c>
      <c r="E437" s="8" t="s">
        <v>517</v>
      </c>
      <c r="G437" s="10">
        <v>0.25</v>
      </c>
    </row>
    <row r="438" spans="1:7">
      <c r="A438" s="5">
        <v>45611</v>
      </c>
      <c r="B438" s="6">
        <v>10331</v>
      </c>
      <c r="D438" s="7" t="s">
        <v>514</v>
      </c>
      <c r="E438" s="8" t="s">
        <v>518</v>
      </c>
      <c r="G438" s="10">
        <v>0.25</v>
      </c>
    </row>
    <row r="439" spans="1:7">
      <c r="A439" s="5">
        <v>45631</v>
      </c>
      <c r="B439" s="6">
        <v>10331</v>
      </c>
      <c r="D439" s="7" t="s">
        <v>514</v>
      </c>
      <c r="E439" s="8" t="s">
        <v>519</v>
      </c>
      <c r="G439" s="10">
        <v>0.25</v>
      </c>
    </row>
    <row r="440" spans="1:7">
      <c r="A440" s="5">
        <v>45688</v>
      </c>
      <c r="B440" s="6">
        <v>10331</v>
      </c>
      <c r="D440" s="7" t="s">
        <v>514</v>
      </c>
      <c r="E440" s="8" t="s">
        <v>520</v>
      </c>
      <c r="G440" s="10">
        <v>0.25</v>
      </c>
    </row>
    <row r="441" spans="1:7" ht="75.75" customHeight="1">
      <c r="A441" s="5">
        <v>45639</v>
      </c>
      <c r="B441" s="6">
        <v>10403</v>
      </c>
      <c r="D441" s="7" t="s">
        <v>521</v>
      </c>
      <c r="E441" s="8" t="s">
        <v>522</v>
      </c>
      <c r="G441" s="10">
        <v>2</v>
      </c>
    </row>
    <row r="442" spans="1:7">
      <c r="A442" s="5">
        <v>45533</v>
      </c>
      <c r="B442" s="6">
        <v>10404</v>
      </c>
      <c r="D442" s="7" t="s">
        <v>523</v>
      </c>
      <c r="E442" s="8" t="s">
        <v>524</v>
      </c>
      <c r="G442" s="10">
        <v>0.25</v>
      </c>
    </row>
    <row r="443" spans="1:7">
      <c r="A443" s="5">
        <v>45534</v>
      </c>
      <c r="B443" s="6">
        <v>10404</v>
      </c>
      <c r="D443" s="7" t="s">
        <v>523</v>
      </c>
      <c r="E443" s="8" t="s">
        <v>525</v>
      </c>
      <c r="G443" s="10">
        <v>0.25</v>
      </c>
    </row>
    <row r="444" spans="1:7">
      <c r="A444" s="5">
        <v>45558</v>
      </c>
      <c r="B444" s="6">
        <v>10404</v>
      </c>
      <c r="D444" s="7" t="s">
        <v>523</v>
      </c>
      <c r="E444" s="8" t="s">
        <v>526</v>
      </c>
      <c r="G444" s="10">
        <v>0.5</v>
      </c>
    </row>
    <row r="445" spans="1:7" ht="25.5">
      <c r="A445" s="5">
        <v>45624</v>
      </c>
      <c r="B445" s="6">
        <v>10404</v>
      </c>
      <c r="D445" s="7" t="s">
        <v>527</v>
      </c>
      <c r="E445" s="8" t="s">
        <v>528</v>
      </c>
      <c r="G445" s="10">
        <v>0.75</v>
      </c>
    </row>
    <row r="446" spans="1:7">
      <c r="A446" s="5">
        <v>45632</v>
      </c>
      <c r="B446" s="6">
        <v>10404</v>
      </c>
      <c r="D446" s="7" t="s">
        <v>527</v>
      </c>
      <c r="E446" s="8" t="s">
        <v>529</v>
      </c>
      <c r="G446" s="10">
        <v>0.5</v>
      </c>
    </row>
    <row r="447" spans="1:7">
      <c r="A447" s="5">
        <v>45642</v>
      </c>
      <c r="B447" s="6">
        <v>10404</v>
      </c>
      <c r="D447" s="7" t="s">
        <v>523</v>
      </c>
      <c r="E447" s="8" t="s">
        <v>530</v>
      </c>
      <c r="G447" s="10">
        <v>0.75</v>
      </c>
    </row>
    <row r="448" spans="1:7">
      <c r="A448" s="5">
        <v>45677</v>
      </c>
      <c r="B448" s="6">
        <v>10404</v>
      </c>
      <c r="D448" s="7" t="s">
        <v>523</v>
      </c>
      <c r="E448" s="8" t="s">
        <v>531</v>
      </c>
      <c r="G448" s="10">
        <v>0.5</v>
      </c>
    </row>
    <row r="449" spans="1:13" ht="25.5">
      <c r="A449" s="5">
        <v>45698</v>
      </c>
      <c r="B449" s="6">
        <v>10404</v>
      </c>
      <c r="D449" s="7" t="s">
        <v>523</v>
      </c>
      <c r="E449" s="8" t="s">
        <v>532</v>
      </c>
      <c r="G449" s="10">
        <v>1.5</v>
      </c>
    </row>
    <row r="450" spans="1:13">
      <c r="A450" s="5">
        <v>45702</v>
      </c>
      <c r="B450" s="6">
        <v>10404</v>
      </c>
      <c r="D450" s="7" t="s">
        <v>527</v>
      </c>
      <c r="E450" s="8" t="s">
        <v>533</v>
      </c>
      <c r="G450" s="10">
        <v>0.75</v>
      </c>
    </row>
    <row r="451" spans="1:13">
      <c r="A451" s="5">
        <v>45713</v>
      </c>
      <c r="B451" s="6">
        <v>10404</v>
      </c>
      <c r="D451" s="7" t="s">
        <v>523</v>
      </c>
      <c r="E451" s="8" t="s">
        <v>534</v>
      </c>
      <c r="G451" s="10">
        <v>0.5</v>
      </c>
    </row>
    <row r="452" spans="1:13">
      <c r="A452" s="5">
        <v>45570</v>
      </c>
      <c r="B452" s="6">
        <v>10409</v>
      </c>
      <c r="D452" s="7" t="s">
        <v>535</v>
      </c>
      <c r="E452" s="8" t="s">
        <v>536</v>
      </c>
      <c r="G452" s="10">
        <v>0.25</v>
      </c>
    </row>
    <row r="453" spans="1:13">
      <c r="A453" s="5">
        <v>45570</v>
      </c>
      <c r="B453" s="6">
        <v>10409</v>
      </c>
      <c r="D453" s="7" t="s">
        <v>535</v>
      </c>
      <c r="E453" s="8" t="s">
        <v>537</v>
      </c>
      <c r="G453" s="10">
        <v>1</v>
      </c>
    </row>
    <row r="454" spans="1:13">
      <c r="A454" s="5">
        <v>45586</v>
      </c>
      <c r="B454" s="6">
        <v>10409</v>
      </c>
      <c r="D454" s="7" t="s">
        <v>535</v>
      </c>
      <c r="E454" s="8" t="s">
        <v>538</v>
      </c>
      <c r="G454" s="10">
        <v>0.5</v>
      </c>
    </row>
    <row r="455" spans="1:13">
      <c r="A455" s="5">
        <v>45586</v>
      </c>
      <c r="B455" s="6">
        <v>10409</v>
      </c>
      <c r="D455" s="7" t="s">
        <v>535</v>
      </c>
      <c r="E455" s="8" t="s">
        <v>539</v>
      </c>
      <c r="G455" s="10">
        <v>0.5</v>
      </c>
    </row>
    <row r="456" spans="1:13">
      <c r="A456" s="5">
        <v>45609</v>
      </c>
      <c r="B456" s="6">
        <v>10409</v>
      </c>
      <c r="D456" s="7" t="s">
        <v>540</v>
      </c>
      <c r="E456" s="8" t="s">
        <v>541</v>
      </c>
      <c r="G456" s="10">
        <v>0.25</v>
      </c>
    </row>
    <row r="457" spans="1:13">
      <c r="A457" s="5">
        <v>45611</v>
      </c>
      <c r="B457" s="6">
        <v>10409</v>
      </c>
      <c r="D457" s="7" t="s">
        <v>535</v>
      </c>
      <c r="E457" s="8" t="s">
        <v>542</v>
      </c>
      <c r="G457" s="10">
        <v>0.5</v>
      </c>
    </row>
    <row r="458" spans="1:13">
      <c r="A458" s="5">
        <v>44138</v>
      </c>
      <c r="B458" s="6">
        <v>10411</v>
      </c>
      <c r="D458" s="7" t="s">
        <v>543</v>
      </c>
      <c r="E458" s="8" t="s">
        <v>544</v>
      </c>
      <c r="F458" s="9">
        <f>3766.2-1878.75</f>
        <v>1887.4499999999998</v>
      </c>
      <c r="G458" s="10">
        <f>+F458/100</f>
        <v>18.874499999999998</v>
      </c>
      <c r="H458" s="20"/>
    </row>
    <row r="459" spans="1:13">
      <c r="A459" s="5">
        <v>44145</v>
      </c>
      <c r="B459" s="6">
        <v>10411</v>
      </c>
      <c r="D459" s="7" t="s">
        <v>543</v>
      </c>
      <c r="E459" s="8" t="s">
        <v>545</v>
      </c>
      <c r="G459" s="10">
        <v>0.75</v>
      </c>
    </row>
    <row r="460" spans="1:13">
      <c r="A460" s="5">
        <v>44348</v>
      </c>
      <c r="B460" s="6">
        <v>10411</v>
      </c>
      <c r="D460" s="7" t="s">
        <v>543</v>
      </c>
      <c r="E460" s="8" t="s">
        <v>546</v>
      </c>
      <c r="G460" s="10">
        <v>0.25</v>
      </c>
    </row>
    <row r="461" spans="1:13" ht="25.5">
      <c r="A461" s="5">
        <v>44378</v>
      </c>
      <c r="B461" s="6">
        <v>10411</v>
      </c>
      <c r="D461" s="7" t="s">
        <v>543</v>
      </c>
      <c r="E461" s="8" t="s">
        <v>547</v>
      </c>
      <c r="G461" s="10">
        <v>0.75</v>
      </c>
    </row>
    <row r="462" spans="1:13">
      <c r="A462" s="5">
        <v>44392</v>
      </c>
      <c r="B462" s="6">
        <v>10411</v>
      </c>
      <c r="D462" s="7" t="s">
        <v>543</v>
      </c>
      <c r="E462" s="8" t="s">
        <v>548</v>
      </c>
      <c r="G462" s="10">
        <v>0.5</v>
      </c>
    </row>
    <row r="463" spans="1:13" s="19" customFormat="1">
      <c r="A463" s="5">
        <v>44404</v>
      </c>
      <c r="B463" s="6">
        <v>10411</v>
      </c>
      <c r="C463" s="6"/>
      <c r="D463" s="7" t="s">
        <v>543</v>
      </c>
      <c r="E463" s="8" t="s">
        <v>549</v>
      </c>
      <c r="F463" s="9"/>
      <c r="G463" s="10">
        <v>0.25</v>
      </c>
      <c r="I463" s="11"/>
      <c r="J463" s="11"/>
      <c r="K463" s="11"/>
      <c r="L463" s="11"/>
      <c r="M463" s="11"/>
    </row>
    <row r="464" spans="1:13" s="19" customFormat="1">
      <c r="A464" s="5">
        <v>44407</v>
      </c>
      <c r="B464" s="6">
        <v>10411</v>
      </c>
      <c r="C464" s="6"/>
      <c r="D464" s="7" t="s">
        <v>543</v>
      </c>
      <c r="E464" s="8" t="s">
        <v>550</v>
      </c>
      <c r="F464" s="9"/>
      <c r="G464" s="10">
        <v>1</v>
      </c>
      <c r="I464" s="11"/>
      <c r="J464" s="11"/>
      <c r="K464" s="11"/>
      <c r="L464" s="11"/>
      <c r="M464" s="11"/>
    </row>
    <row r="465" spans="1:13" s="19" customFormat="1">
      <c r="A465" s="5">
        <v>44446</v>
      </c>
      <c r="B465" s="6">
        <v>10411</v>
      </c>
      <c r="C465" s="6"/>
      <c r="D465" s="7" t="s">
        <v>543</v>
      </c>
      <c r="E465" s="8" t="s">
        <v>551</v>
      </c>
      <c r="F465" s="9"/>
      <c r="G465" s="10">
        <v>0.5</v>
      </c>
      <c r="I465" s="11"/>
      <c r="J465" s="11"/>
      <c r="K465" s="11"/>
      <c r="L465" s="11"/>
      <c r="M465" s="11"/>
    </row>
    <row r="466" spans="1:13" s="19" customFormat="1">
      <c r="A466" s="5">
        <v>45481</v>
      </c>
      <c r="B466" s="6">
        <v>10412</v>
      </c>
      <c r="C466" s="6"/>
      <c r="D466" s="7" t="s">
        <v>188</v>
      </c>
      <c r="E466" s="8" t="s">
        <v>383</v>
      </c>
      <c r="F466" s="9"/>
      <c r="G466" s="10">
        <v>0.25</v>
      </c>
      <c r="I466" s="11"/>
      <c r="J466" s="11"/>
      <c r="K466" s="11"/>
      <c r="L466" s="11"/>
      <c r="M466" s="11"/>
    </row>
    <row r="467" spans="1:13" s="19" customFormat="1">
      <c r="A467" s="5">
        <v>45594</v>
      </c>
      <c r="B467" s="6">
        <v>10412</v>
      </c>
      <c r="C467" s="6"/>
      <c r="D467" s="7" t="s">
        <v>188</v>
      </c>
      <c r="E467" s="8" t="s">
        <v>552</v>
      </c>
      <c r="F467" s="9"/>
      <c r="G467" s="10">
        <v>0.5</v>
      </c>
      <c r="I467" s="11"/>
      <c r="J467" s="11"/>
      <c r="K467" s="11"/>
      <c r="L467" s="11"/>
      <c r="M467" s="11"/>
    </row>
    <row r="468" spans="1:13" s="19" customFormat="1">
      <c r="A468" s="5">
        <v>45600</v>
      </c>
      <c r="B468" s="6">
        <v>10412</v>
      </c>
      <c r="C468" s="6"/>
      <c r="D468" s="7" t="s">
        <v>188</v>
      </c>
      <c r="E468" s="8" t="s">
        <v>553</v>
      </c>
      <c r="F468" s="9"/>
      <c r="G468" s="10">
        <v>0.25</v>
      </c>
      <c r="I468" s="11"/>
      <c r="J468" s="11"/>
    </row>
    <row r="469" spans="1:13" s="19" customFormat="1">
      <c r="A469" s="5">
        <v>45604</v>
      </c>
      <c r="B469" s="6">
        <v>10412</v>
      </c>
      <c r="C469" s="6"/>
      <c r="D469" s="7" t="s">
        <v>188</v>
      </c>
      <c r="E469" s="8" t="s">
        <v>554</v>
      </c>
      <c r="F469" s="9"/>
      <c r="G469" s="10">
        <v>0.75</v>
      </c>
      <c r="I469" s="11"/>
      <c r="J469" s="11"/>
    </row>
    <row r="470" spans="1:13" s="19" customFormat="1" ht="25.5">
      <c r="A470" s="5">
        <v>45607</v>
      </c>
      <c r="B470" s="6">
        <v>10412</v>
      </c>
      <c r="C470" s="6"/>
      <c r="D470" s="7" t="s">
        <v>188</v>
      </c>
      <c r="E470" s="8" t="s">
        <v>555</v>
      </c>
      <c r="F470" s="9"/>
      <c r="G470" s="10">
        <v>0.75</v>
      </c>
      <c r="I470" s="11"/>
      <c r="J470" s="11"/>
    </row>
    <row r="471" spans="1:13" s="19" customFormat="1">
      <c r="A471" s="5">
        <v>45673</v>
      </c>
      <c r="B471" s="6">
        <v>10412</v>
      </c>
      <c r="C471" s="6"/>
      <c r="D471" s="2" t="s">
        <v>188</v>
      </c>
      <c r="E471" s="8" t="s">
        <v>88</v>
      </c>
      <c r="F471" s="9"/>
      <c r="G471" s="10">
        <v>0.25</v>
      </c>
      <c r="I471" s="11"/>
      <c r="J471" s="11"/>
    </row>
    <row r="472" spans="1:13" s="19" customFormat="1" ht="38.25">
      <c r="A472" s="5">
        <v>45684</v>
      </c>
      <c r="B472" s="6">
        <v>10412</v>
      </c>
      <c r="C472" s="6"/>
      <c r="D472" s="7" t="s">
        <v>188</v>
      </c>
      <c r="E472" s="8" t="s">
        <v>556</v>
      </c>
      <c r="F472" s="9"/>
      <c r="G472" s="10">
        <v>1</v>
      </c>
      <c r="I472" s="11"/>
      <c r="J472" s="11"/>
    </row>
    <row r="473" spans="1:13" s="19" customFormat="1">
      <c r="A473" s="5">
        <v>45687</v>
      </c>
      <c r="B473" s="6">
        <v>10412</v>
      </c>
      <c r="C473" s="6"/>
      <c r="D473" s="7" t="s">
        <v>188</v>
      </c>
      <c r="E473" s="8" t="s">
        <v>557</v>
      </c>
      <c r="F473" s="9"/>
      <c r="G473" s="10">
        <v>0.25</v>
      </c>
      <c r="I473" s="11"/>
      <c r="J473" s="11"/>
    </row>
    <row r="474" spans="1:13" s="19" customFormat="1">
      <c r="A474" s="5">
        <v>45694</v>
      </c>
      <c r="B474" s="6">
        <v>10412</v>
      </c>
      <c r="C474" s="6"/>
      <c r="D474" s="7" t="s">
        <v>188</v>
      </c>
      <c r="E474" s="8" t="s">
        <v>558</v>
      </c>
      <c r="F474" s="9"/>
      <c r="G474" s="10">
        <v>0.5</v>
      </c>
      <c r="I474" s="11"/>
      <c r="J474" s="11"/>
    </row>
    <row r="475" spans="1:13" s="19" customFormat="1">
      <c r="A475" s="5">
        <v>45700</v>
      </c>
      <c r="B475" s="6">
        <v>10412</v>
      </c>
      <c r="C475" s="6"/>
      <c r="D475" s="7" t="s">
        <v>188</v>
      </c>
      <c r="E475" s="8" t="s">
        <v>559</v>
      </c>
      <c r="F475" s="9"/>
      <c r="G475" s="10">
        <v>0.75</v>
      </c>
      <c r="I475" s="11"/>
      <c r="J475" s="11"/>
    </row>
    <row r="476" spans="1:13" s="19" customFormat="1" ht="25.5">
      <c r="A476" s="5">
        <v>45702</v>
      </c>
      <c r="B476" s="6">
        <v>10412</v>
      </c>
      <c r="C476" s="6"/>
      <c r="D476" s="7" t="s">
        <v>188</v>
      </c>
      <c r="E476" s="8" t="s">
        <v>560</v>
      </c>
      <c r="F476" s="9"/>
      <c r="G476" s="10">
        <v>0.75</v>
      </c>
      <c r="I476" s="11"/>
      <c r="J476" s="11"/>
    </row>
    <row r="477" spans="1:13" ht="25.5">
      <c r="A477" s="5">
        <v>45706</v>
      </c>
      <c r="B477" s="6">
        <v>10412</v>
      </c>
      <c r="D477" s="7" t="s">
        <v>188</v>
      </c>
      <c r="E477" s="8" t="s">
        <v>561</v>
      </c>
      <c r="G477" s="10">
        <v>1</v>
      </c>
      <c r="K477" s="19"/>
      <c r="L477" s="19"/>
      <c r="M477" s="19"/>
    </row>
    <row r="478" spans="1:13" ht="25.5">
      <c r="A478" s="5">
        <v>45709</v>
      </c>
      <c r="B478" s="6">
        <v>10412</v>
      </c>
      <c r="D478" s="7" t="s">
        <v>188</v>
      </c>
      <c r="E478" s="8" t="s">
        <v>562</v>
      </c>
      <c r="G478" s="10">
        <v>0.75</v>
      </c>
    </row>
    <row r="479" spans="1:13">
      <c r="A479" s="5">
        <v>44776</v>
      </c>
      <c r="B479" s="6">
        <v>10413</v>
      </c>
      <c r="D479" s="7" t="s">
        <v>563</v>
      </c>
      <c r="E479" s="8" t="s">
        <v>564</v>
      </c>
      <c r="F479" s="9">
        <f>2045-587</f>
        <v>1458</v>
      </c>
      <c r="G479" s="10">
        <f>+F479/100</f>
        <v>14.58</v>
      </c>
      <c r="K479" s="19"/>
      <c r="L479" s="19"/>
      <c r="M479" s="19"/>
    </row>
    <row r="480" spans="1:13">
      <c r="A480" s="5">
        <v>45541</v>
      </c>
      <c r="B480" s="6">
        <v>10413</v>
      </c>
      <c r="D480" s="7" t="s">
        <v>565</v>
      </c>
      <c r="E480" s="8" t="s">
        <v>566</v>
      </c>
      <c r="F480" s="9">
        <f>740.75-120*3</f>
        <v>380.75</v>
      </c>
      <c r="G480" s="10">
        <f>+F480/120</f>
        <v>3.1729166666666666</v>
      </c>
      <c r="H480" s="5"/>
      <c r="K480" s="19"/>
      <c r="L480" s="19"/>
      <c r="M480" s="19"/>
    </row>
    <row r="481" spans="1:13">
      <c r="A481" s="5">
        <v>45665</v>
      </c>
      <c r="B481" s="6">
        <v>10413</v>
      </c>
      <c r="D481" s="7" t="s">
        <v>565</v>
      </c>
      <c r="E481" s="8" t="s">
        <v>567</v>
      </c>
      <c r="G481" s="10">
        <v>0.5</v>
      </c>
      <c r="H481" s="19" t="s">
        <v>15</v>
      </c>
      <c r="K481" s="19"/>
      <c r="L481" s="19"/>
      <c r="M481" s="19"/>
    </row>
    <row r="482" spans="1:13">
      <c r="A482" s="5">
        <v>45665</v>
      </c>
      <c r="B482" s="6">
        <v>10413</v>
      </c>
      <c r="D482" s="7" t="s">
        <v>565</v>
      </c>
      <c r="E482" s="8" t="s">
        <v>568</v>
      </c>
      <c r="G482" s="10">
        <v>1</v>
      </c>
      <c r="K482" s="19"/>
      <c r="L482" s="19"/>
      <c r="M482" s="19"/>
    </row>
    <row r="483" spans="1:13">
      <c r="A483" s="5">
        <v>45670</v>
      </c>
      <c r="B483" s="6">
        <v>10413</v>
      </c>
      <c r="D483" s="7" t="s">
        <v>565</v>
      </c>
      <c r="E483" s="8" t="s">
        <v>569</v>
      </c>
      <c r="G483" s="10">
        <v>0.5</v>
      </c>
    </row>
    <row r="484" spans="1:13">
      <c r="A484" s="5">
        <v>45672</v>
      </c>
      <c r="B484" s="6">
        <v>10413</v>
      </c>
      <c r="D484" s="7" t="s">
        <v>565</v>
      </c>
      <c r="E484" s="8" t="s">
        <v>354</v>
      </c>
      <c r="F484" s="9">
        <f>7029.7-5770.3</f>
        <v>1259.3999999999996</v>
      </c>
      <c r="G484" s="10">
        <f>+F484/120</f>
        <v>10.494999999999997</v>
      </c>
      <c r="H484" s="5"/>
    </row>
    <row r="485" spans="1:13">
      <c r="A485" s="5">
        <v>45672</v>
      </c>
      <c r="B485" s="6">
        <v>10413</v>
      </c>
      <c r="D485" s="7" t="s">
        <v>565</v>
      </c>
      <c r="E485" s="8" t="s">
        <v>570</v>
      </c>
      <c r="G485" s="10">
        <v>0.5</v>
      </c>
      <c r="H485" s="19" t="s">
        <v>15</v>
      </c>
    </row>
    <row r="486" spans="1:13" ht="25.5">
      <c r="A486" s="5">
        <v>45674</v>
      </c>
      <c r="B486" s="6">
        <v>10413</v>
      </c>
      <c r="D486" s="6" t="s">
        <v>565</v>
      </c>
      <c r="E486" s="8" t="s">
        <v>571</v>
      </c>
      <c r="G486" s="10">
        <v>0.75</v>
      </c>
    </row>
    <row r="487" spans="1:13" s="19" customFormat="1">
      <c r="A487" s="5">
        <v>45674</v>
      </c>
      <c r="B487" s="6">
        <v>10413</v>
      </c>
      <c r="C487" s="6"/>
      <c r="D487" s="7" t="s">
        <v>565</v>
      </c>
      <c r="E487" s="8" t="s">
        <v>572</v>
      </c>
      <c r="F487" s="9"/>
      <c r="G487" s="10">
        <v>0.25</v>
      </c>
      <c r="I487" s="11"/>
      <c r="J487" s="11"/>
      <c r="K487" s="11"/>
      <c r="L487" s="11"/>
      <c r="M487" s="11"/>
    </row>
    <row r="488" spans="1:13" s="19" customFormat="1">
      <c r="A488" s="5">
        <v>45691</v>
      </c>
      <c r="B488" s="6">
        <v>10413</v>
      </c>
      <c r="C488" s="6"/>
      <c r="D488" s="7" t="s">
        <v>565</v>
      </c>
      <c r="E488" s="8" t="s">
        <v>573</v>
      </c>
      <c r="F488" s="9"/>
      <c r="G488" s="10">
        <v>0.5</v>
      </c>
      <c r="I488" s="11"/>
      <c r="J488" s="11"/>
      <c r="K488" s="11"/>
      <c r="L488" s="11"/>
      <c r="M488" s="11"/>
    </row>
    <row r="489" spans="1:13" s="19" customFormat="1">
      <c r="A489" s="5">
        <v>45708</v>
      </c>
      <c r="B489" s="6">
        <v>10413</v>
      </c>
      <c r="C489" s="6"/>
      <c r="D489" s="7" t="s">
        <v>565</v>
      </c>
      <c r="E489" s="8" t="s">
        <v>574</v>
      </c>
      <c r="F489" s="9"/>
      <c r="G489" s="10">
        <v>0.5</v>
      </c>
      <c r="I489" s="11"/>
      <c r="J489" s="11"/>
      <c r="K489" s="11"/>
      <c r="L489" s="11"/>
      <c r="M489" s="11"/>
    </row>
    <row r="490" spans="1:13" s="19" customFormat="1">
      <c r="A490" s="5">
        <v>45713</v>
      </c>
      <c r="B490" s="6">
        <v>10413</v>
      </c>
      <c r="C490" s="6"/>
      <c r="D490" s="7" t="s">
        <v>565</v>
      </c>
      <c r="E490" s="8" t="s">
        <v>575</v>
      </c>
      <c r="F490" s="9"/>
      <c r="G490" s="10">
        <v>0.25</v>
      </c>
      <c r="I490" s="11"/>
      <c r="J490" s="11"/>
      <c r="K490" s="11"/>
      <c r="L490" s="11"/>
      <c r="M490" s="11"/>
    </row>
    <row r="491" spans="1:13" s="19" customFormat="1">
      <c r="A491" s="5">
        <v>45678</v>
      </c>
      <c r="B491" s="6">
        <v>10414</v>
      </c>
      <c r="C491" s="6"/>
      <c r="D491" s="7" t="s">
        <v>576</v>
      </c>
      <c r="E491" s="8" t="s">
        <v>577</v>
      </c>
      <c r="F491" s="9"/>
      <c r="G491" s="10">
        <v>1.25</v>
      </c>
      <c r="H491" s="19" t="s">
        <v>15</v>
      </c>
      <c r="I491" s="11"/>
      <c r="J491" s="11"/>
      <c r="K491" s="11"/>
      <c r="L491" s="11"/>
      <c r="M491" s="11"/>
    </row>
    <row r="492" spans="1:13" s="19" customFormat="1">
      <c r="A492" s="5">
        <v>45678</v>
      </c>
      <c r="B492" s="6">
        <v>10414</v>
      </c>
      <c r="C492" s="6"/>
      <c r="D492" s="7" t="s">
        <v>576</v>
      </c>
      <c r="E492" s="8" t="s">
        <v>578</v>
      </c>
      <c r="F492" s="9"/>
      <c r="G492" s="10">
        <v>0.5</v>
      </c>
      <c r="H492" s="19" t="s">
        <v>15</v>
      </c>
      <c r="I492" s="11"/>
      <c r="J492" s="11"/>
      <c r="K492" s="11"/>
      <c r="L492" s="11"/>
      <c r="M492" s="11"/>
    </row>
    <row r="493" spans="1:13" s="19" customFormat="1">
      <c r="A493" s="5">
        <v>45678</v>
      </c>
      <c r="B493" s="6">
        <v>10414</v>
      </c>
      <c r="C493" s="6"/>
      <c r="D493" s="7" t="s">
        <v>576</v>
      </c>
      <c r="E493" s="8" t="s">
        <v>579</v>
      </c>
      <c r="F493" s="9"/>
      <c r="G493" s="10">
        <v>0.5</v>
      </c>
      <c r="H493" s="19" t="s">
        <v>15</v>
      </c>
      <c r="I493" s="11"/>
      <c r="J493" s="11"/>
      <c r="K493" s="11"/>
      <c r="L493" s="11"/>
      <c r="M493" s="11"/>
    </row>
    <row r="494" spans="1:13" s="19" customFormat="1">
      <c r="A494" s="5">
        <v>45700</v>
      </c>
      <c r="B494" s="6">
        <v>10414</v>
      </c>
      <c r="C494" s="6"/>
      <c r="D494" s="7" t="s">
        <v>576</v>
      </c>
      <c r="E494" s="8" t="s">
        <v>580</v>
      </c>
      <c r="F494" s="9"/>
      <c r="G494" s="10">
        <v>0.75</v>
      </c>
      <c r="I494" s="11"/>
      <c r="J494" s="11"/>
      <c r="K494" s="11"/>
      <c r="L494" s="11"/>
      <c r="M494" s="11"/>
    </row>
    <row r="495" spans="1:13" s="19" customFormat="1">
      <c r="A495" s="5">
        <v>45708</v>
      </c>
      <c r="B495" s="6">
        <v>10417</v>
      </c>
      <c r="C495" s="6"/>
      <c r="D495" s="7" t="s">
        <v>581</v>
      </c>
      <c r="E495" s="8" t="s">
        <v>582</v>
      </c>
      <c r="F495" s="9"/>
      <c r="G495" s="10">
        <v>2.75</v>
      </c>
      <c r="H495" s="19" t="s">
        <v>15</v>
      </c>
      <c r="I495" s="11"/>
      <c r="J495" s="11"/>
      <c r="K495" s="11"/>
      <c r="L495" s="11"/>
      <c r="M495" s="11"/>
    </row>
    <row r="496" spans="1:13" s="19" customFormat="1">
      <c r="A496" s="5">
        <v>45713</v>
      </c>
      <c r="B496" s="6">
        <v>10417</v>
      </c>
      <c r="C496" s="6"/>
      <c r="D496" s="7" t="s">
        <v>581</v>
      </c>
      <c r="E496" s="8" t="s">
        <v>583</v>
      </c>
      <c r="F496" s="9"/>
      <c r="G496" s="10">
        <v>0.5</v>
      </c>
      <c r="I496" s="11"/>
      <c r="J496" s="11"/>
      <c r="K496" s="11"/>
      <c r="L496" s="11"/>
      <c r="M496" s="11"/>
    </row>
    <row r="497" spans="1:13" s="19" customFormat="1">
      <c r="A497" s="5">
        <v>45069</v>
      </c>
      <c r="B497" s="6">
        <v>10418</v>
      </c>
      <c r="C497" s="6"/>
      <c r="D497" s="7" t="s">
        <v>584</v>
      </c>
      <c r="E497" s="8" t="s">
        <v>585</v>
      </c>
      <c r="F497" s="9">
        <v>199.8</v>
      </c>
      <c r="G497" s="10">
        <v>1.665</v>
      </c>
    </row>
    <row r="498" spans="1:13" s="19" customFormat="1">
      <c r="A498" s="5">
        <v>45300</v>
      </c>
      <c r="B498" s="6">
        <v>10418</v>
      </c>
      <c r="C498" s="6"/>
      <c r="D498" s="7" t="s">
        <v>584</v>
      </c>
      <c r="E498" s="8" t="s">
        <v>586</v>
      </c>
      <c r="F498" s="9">
        <v>147.44999999999999</v>
      </c>
      <c r="G498" s="10">
        <v>1.22875</v>
      </c>
    </row>
    <row r="499" spans="1:13" s="19" customFormat="1">
      <c r="A499" s="5">
        <v>45540</v>
      </c>
      <c r="B499" s="6">
        <v>10418</v>
      </c>
      <c r="C499" s="6"/>
      <c r="D499" s="7" t="s">
        <v>584</v>
      </c>
      <c r="E499" s="8" t="s">
        <v>587</v>
      </c>
      <c r="F499" s="9">
        <f>640-358.8</f>
        <v>281.2</v>
      </c>
      <c r="G499" s="10">
        <f>+F499/120</f>
        <v>2.3433333333333333</v>
      </c>
      <c r="H499" s="5"/>
    </row>
    <row r="500" spans="1:13" s="19" customFormat="1">
      <c r="A500" s="5">
        <v>45605</v>
      </c>
      <c r="B500" s="6">
        <v>10418</v>
      </c>
      <c r="C500" s="6"/>
      <c r="D500" s="7" t="s">
        <v>584</v>
      </c>
      <c r="E500" s="8" t="s">
        <v>588</v>
      </c>
      <c r="F500" s="9">
        <f>2906.62-2190.83</f>
        <v>715.79</v>
      </c>
      <c r="G500" s="10">
        <f>+F500/120</f>
        <v>5.9649166666666664</v>
      </c>
    </row>
    <row r="501" spans="1:13" s="19" customFormat="1">
      <c r="A501" s="5">
        <v>45607</v>
      </c>
      <c r="B501" s="6">
        <v>10418</v>
      </c>
      <c r="C501" s="6"/>
      <c r="D501" s="7" t="s">
        <v>584</v>
      </c>
      <c r="E501" s="8" t="s">
        <v>589</v>
      </c>
      <c r="F501" s="9"/>
      <c r="G501" s="10">
        <v>0.5</v>
      </c>
    </row>
    <row r="502" spans="1:13" s="19" customFormat="1">
      <c r="A502" s="5">
        <v>45637</v>
      </c>
      <c r="B502" s="6">
        <v>10418</v>
      </c>
      <c r="C502" s="6"/>
      <c r="D502" s="7" t="s">
        <v>584</v>
      </c>
      <c r="E502" s="8" t="s">
        <v>590</v>
      </c>
      <c r="F502" s="9"/>
      <c r="G502" s="10">
        <v>0.5</v>
      </c>
    </row>
    <row r="503" spans="1:13">
      <c r="A503" s="5">
        <v>45665</v>
      </c>
      <c r="B503" s="6">
        <v>10418</v>
      </c>
      <c r="D503" s="7" t="s">
        <v>584</v>
      </c>
      <c r="E503" s="8" t="s">
        <v>591</v>
      </c>
      <c r="G503" s="10">
        <v>0.25</v>
      </c>
      <c r="I503" s="19"/>
      <c r="J503" s="19"/>
      <c r="K503" s="19"/>
      <c r="L503" s="19"/>
      <c r="M503" s="19"/>
    </row>
    <row r="504" spans="1:13">
      <c r="A504" s="5">
        <v>45708</v>
      </c>
      <c r="B504" s="6">
        <v>10418</v>
      </c>
      <c r="D504" s="7" t="s">
        <v>584</v>
      </c>
      <c r="E504" s="8" t="s">
        <v>592</v>
      </c>
      <c r="G504" s="10">
        <v>0.25</v>
      </c>
    </row>
    <row r="505" spans="1:13">
      <c r="A505" s="5">
        <v>45643</v>
      </c>
      <c r="B505" s="6">
        <v>10421</v>
      </c>
      <c r="D505" s="7" t="s">
        <v>593</v>
      </c>
      <c r="E505" s="8" t="s">
        <v>594</v>
      </c>
      <c r="G505" s="10">
        <v>0.25</v>
      </c>
      <c r="I505" s="19"/>
      <c r="J505" s="19"/>
      <c r="K505" s="19"/>
      <c r="L505" s="19"/>
      <c r="M505" s="19"/>
    </row>
    <row r="506" spans="1:13">
      <c r="A506" s="5">
        <v>45646</v>
      </c>
      <c r="B506" s="6">
        <v>10421</v>
      </c>
      <c r="D506" s="7" t="s">
        <v>593</v>
      </c>
      <c r="E506" s="8" t="s">
        <v>54</v>
      </c>
      <c r="G506" s="10">
        <v>0.25</v>
      </c>
      <c r="I506" s="19"/>
      <c r="J506" s="19"/>
      <c r="K506" s="19"/>
      <c r="L506" s="19"/>
      <c r="M506" s="19"/>
    </row>
    <row r="507" spans="1:13">
      <c r="A507" s="5">
        <v>45684</v>
      </c>
      <c r="B507" s="6">
        <v>10421</v>
      </c>
      <c r="D507" s="7" t="s">
        <v>593</v>
      </c>
      <c r="E507" s="8" t="s">
        <v>595</v>
      </c>
      <c r="G507" s="10">
        <v>0.25</v>
      </c>
      <c r="I507" s="19"/>
      <c r="J507" s="19"/>
      <c r="K507" s="19"/>
      <c r="L507" s="19"/>
      <c r="M507" s="19"/>
    </row>
    <row r="508" spans="1:13">
      <c r="A508" s="5">
        <v>45708</v>
      </c>
      <c r="B508" s="6">
        <v>10421</v>
      </c>
      <c r="D508" s="7" t="s">
        <v>593</v>
      </c>
      <c r="E508" s="8" t="s">
        <v>596</v>
      </c>
      <c r="G508" s="10">
        <v>0.25</v>
      </c>
    </row>
    <row r="509" spans="1:13">
      <c r="A509" s="5">
        <v>44799</v>
      </c>
      <c r="B509" s="6">
        <v>10422</v>
      </c>
      <c r="D509" s="7" t="s">
        <v>597</v>
      </c>
      <c r="E509" s="8" t="s">
        <v>598</v>
      </c>
      <c r="G509" s="10">
        <v>0.5</v>
      </c>
      <c r="I509" s="19"/>
      <c r="J509" s="19"/>
      <c r="K509" s="19"/>
      <c r="L509" s="19"/>
      <c r="M509" s="19"/>
    </row>
    <row r="510" spans="1:13">
      <c r="A510" s="5">
        <v>44844</v>
      </c>
      <c r="B510" s="6">
        <v>10422</v>
      </c>
      <c r="D510" s="7" t="s">
        <v>597</v>
      </c>
      <c r="E510" s="8" t="s">
        <v>599</v>
      </c>
      <c r="G510" s="10">
        <v>0.75</v>
      </c>
      <c r="I510" s="19"/>
      <c r="J510" s="19"/>
      <c r="K510" s="19"/>
      <c r="L510" s="19"/>
      <c r="M510" s="19"/>
    </row>
    <row r="511" spans="1:13">
      <c r="A511" s="5">
        <v>44865</v>
      </c>
      <c r="B511" s="6">
        <v>10422</v>
      </c>
      <c r="D511" s="7" t="s">
        <v>597</v>
      </c>
      <c r="E511" s="8" t="s">
        <v>600</v>
      </c>
      <c r="G511" s="10">
        <v>0.75</v>
      </c>
      <c r="K511" s="19"/>
      <c r="L511" s="19"/>
      <c r="M511" s="19"/>
    </row>
    <row r="512" spans="1:13">
      <c r="A512" s="5">
        <v>44917</v>
      </c>
      <c r="B512" s="6">
        <v>10422</v>
      </c>
      <c r="D512" s="7" t="s">
        <v>597</v>
      </c>
      <c r="E512" s="8" t="s">
        <v>601</v>
      </c>
      <c r="G512" s="10">
        <v>0.25</v>
      </c>
      <c r="K512" s="19"/>
      <c r="L512" s="19"/>
      <c r="M512" s="19"/>
    </row>
    <row r="513" spans="1:13">
      <c r="A513" s="5">
        <v>45677</v>
      </c>
      <c r="B513" s="6">
        <v>10424</v>
      </c>
      <c r="D513" s="7" t="s">
        <v>166</v>
      </c>
      <c r="E513" s="8" t="s">
        <v>602</v>
      </c>
      <c r="G513" s="10">
        <v>0.5</v>
      </c>
      <c r="K513" s="19"/>
      <c r="L513" s="19"/>
      <c r="M513" s="19"/>
    </row>
    <row r="514" spans="1:13">
      <c r="A514" s="5">
        <v>45708</v>
      </c>
      <c r="B514" s="6">
        <v>10424</v>
      </c>
      <c r="D514" s="7" t="s">
        <v>166</v>
      </c>
      <c r="E514" s="8" t="s">
        <v>156</v>
      </c>
      <c r="G514" s="10">
        <v>0.5</v>
      </c>
    </row>
    <row r="515" spans="1:13">
      <c r="A515" s="5">
        <v>45609</v>
      </c>
      <c r="B515" s="6">
        <v>10425</v>
      </c>
      <c r="D515" s="7" t="s">
        <v>603</v>
      </c>
      <c r="E515" s="8" t="s">
        <v>604</v>
      </c>
      <c r="F515" s="9">
        <f>1140-767</f>
        <v>373</v>
      </c>
    </row>
    <row r="516" spans="1:13">
      <c r="A516" s="5">
        <v>45631</v>
      </c>
      <c r="B516" s="6">
        <v>10425</v>
      </c>
      <c r="D516" s="7" t="s">
        <v>605</v>
      </c>
      <c r="E516" s="8" t="s">
        <v>606</v>
      </c>
      <c r="G516" s="10">
        <v>0.5</v>
      </c>
    </row>
    <row r="517" spans="1:13">
      <c r="A517" s="5">
        <v>45637</v>
      </c>
      <c r="B517" s="6">
        <v>10425</v>
      </c>
      <c r="D517" s="7" t="s">
        <v>563</v>
      </c>
      <c r="E517" s="8" t="s">
        <v>607</v>
      </c>
      <c r="G517" s="10">
        <v>0.5</v>
      </c>
    </row>
    <row r="518" spans="1:13" ht="25.5">
      <c r="A518" s="5">
        <v>45639</v>
      </c>
      <c r="B518" s="6">
        <v>10425</v>
      </c>
      <c r="D518" s="7" t="s">
        <v>608</v>
      </c>
      <c r="E518" s="8" t="s">
        <v>609</v>
      </c>
      <c r="G518" s="10">
        <v>0.75</v>
      </c>
    </row>
    <row r="519" spans="1:13" ht="25.5">
      <c r="A519" s="5">
        <v>45666</v>
      </c>
      <c r="B519" s="6">
        <v>10425</v>
      </c>
      <c r="D519" s="7" t="s">
        <v>563</v>
      </c>
      <c r="E519" s="8" t="s">
        <v>610</v>
      </c>
      <c r="G519" s="10">
        <v>0.5</v>
      </c>
    </row>
    <row r="520" spans="1:13">
      <c r="A520" s="5">
        <v>45693</v>
      </c>
      <c r="B520" s="6">
        <v>10426</v>
      </c>
      <c r="D520" s="7" t="s">
        <v>611</v>
      </c>
      <c r="E520" s="8" t="s">
        <v>612</v>
      </c>
      <c r="G520" s="10">
        <v>0.25</v>
      </c>
    </row>
    <row r="521" spans="1:13">
      <c r="A521" s="5">
        <v>44753</v>
      </c>
      <c r="B521" s="6">
        <v>10427</v>
      </c>
      <c r="D521" s="7" t="s">
        <v>613</v>
      </c>
      <c r="E521" s="8" t="s">
        <v>614</v>
      </c>
      <c r="G521" s="10">
        <v>1.25</v>
      </c>
    </row>
    <row r="522" spans="1:13">
      <c r="A522" s="5">
        <v>45148</v>
      </c>
      <c r="B522" s="6">
        <v>10427</v>
      </c>
      <c r="D522" s="7" t="s">
        <v>615</v>
      </c>
      <c r="E522" s="8" t="s">
        <v>616</v>
      </c>
      <c r="G522" s="10">
        <v>1.5</v>
      </c>
    </row>
    <row r="523" spans="1:13">
      <c r="A523" s="5">
        <v>45152</v>
      </c>
      <c r="B523" s="6">
        <v>10427</v>
      </c>
      <c r="D523" s="7" t="s">
        <v>615</v>
      </c>
      <c r="E523" s="8" t="s">
        <v>617</v>
      </c>
      <c r="G523" s="10">
        <v>1.25</v>
      </c>
    </row>
    <row r="524" spans="1:13">
      <c r="A524" s="5">
        <v>45300</v>
      </c>
      <c r="B524" s="6">
        <v>10427</v>
      </c>
      <c r="D524" s="7" t="s">
        <v>300</v>
      </c>
      <c r="E524" s="8" t="s">
        <v>278</v>
      </c>
      <c r="F524" s="9">
        <f>2175-493-345.6</f>
        <v>1336.4</v>
      </c>
      <c r="G524" s="10">
        <v>0.5</v>
      </c>
    </row>
    <row r="525" spans="1:13">
      <c r="A525" s="5">
        <v>45300</v>
      </c>
      <c r="B525" s="6">
        <v>10427</v>
      </c>
      <c r="D525" s="7" t="s">
        <v>300</v>
      </c>
      <c r="E525" s="8" t="s">
        <v>278</v>
      </c>
      <c r="F525" s="9">
        <f>2175-493-374.4</f>
        <v>1307.5999999999999</v>
      </c>
      <c r="G525" s="10">
        <v>0.5</v>
      </c>
    </row>
    <row r="526" spans="1:13">
      <c r="A526" s="5">
        <v>45391</v>
      </c>
      <c r="B526" s="6">
        <v>10427</v>
      </c>
      <c r="D526" s="7" t="s">
        <v>300</v>
      </c>
      <c r="E526" s="8" t="s">
        <v>618</v>
      </c>
      <c r="F526" s="9">
        <f>668.75-411</f>
        <v>257.75</v>
      </c>
    </row>
    <row r="527" spans="1:13">
      <c r="A527" s="5">
        <v>45443</v>
      </c>
      <c r="B527" s="6">
        <v>10427</v>
      </c>
      <c r="D527" s="7" t="s">
        <v>300</v>
      </c>
      <c r="E527" s="8" t="s">
        <v>619</v>
      </c>
      <c r="G527" s="10">
        <v>0.25</v>
      </c>
    </row>
    <row r="528" spans="1:13">
      <c r="A528" s="5">
        <v>45481</v>
      </c>
      <c r="B528" s="6">
        <v>10427</v>
      </c>
      <c r="D528" s="7" t="s">
        <v>615</v>
      </c>
      <c r="E528" s="8" t="s">
        <v>383</v>
      </c>
      <c r="G528" s="10">
        <v>0.25</v>
      </c>
      <c r="I528" s="19"/>
      <c r="J528" s="19"/>
    </row>
    <row r="529" spans="1:10">
      <c r="A529" s="5">
        <v>45539</v>
      </c>
      <c r="B529" s="6">
        <v>10427</v>
      </c>
      <c r="D529" s="7" t="s">
        <v>300</v>
      </c>
      <c r="E529" s="8" t="s">
        <v>620</v>
      </c>
      <c r="G529" s="10">
        <v>0.25</v>
      </c>
      <c r="I529" s="19"/>
      <c r="J529" s="19"/>
    </row>
    <row r="530" spans="1:10">
      <c r="A530" s="5">
        <v>45540</v>
      </c>
      <c r="B530" s="6">
        <v>10427</v>
      </c>
      <c r="D530" s="7" t="s">
        <v>621</v>
      </c>
      <c r="E530" s="8" t="s">
        <v>622</v>
      </c>
      <c r="F530" s="9">
        <f>1697.5-1075.8</f>
        <v>621.70000000000005</v>
      </c>
      <c r="H530" s="5"/>
      <c r="I530" s="19"/>
      <c r="J530" s="19"/>
    </row>
    <row r="531" spans="1:10">
      <c r="A531" s="5">
        <v>45602</v>
      </c>
      <c r="B531" s="6">
        <v>10427</v>
      </c>
      <c r="D531" s="7" t="s">
        <v>621</v>
      </c>
      <c r="E531" s="8" t="s">
        <v>623</v>
      </c>
      <c r="G531" s="10">
        <v>0.5</v>
      </c>
      <c r="I531" s="19"/>
      <c r="J531" s="19"/>
    </row>
    <row r="532" spans="1:10">
      <c r="A532" s="5">
        <v>45603</v>
      </c>
      <c r="B532" s="6">
        <v>10427</v>
      </c>
      <c r="D532" s="7" t="s">
        <v>621</v>
      </c>
      <c r="E532" s="8" t="s">
        <v>624</v>
      </c>
      <c r="G532" s="10">
        <v>0.75</v>
      </c>
      <c r="I532" s="19"/>
      <c r="J532" s="19"/>
    </row>
    <row r="533" spans="1:10">
      <c r="A533" s="5">
        <v>45614</v>
      </c>
      <c r="B533" s="6">
        <v>10427</v>
      </c>
      <c r="D533" s="7" t="s">
        <v>625</v>
      </c>
      <c r="E533" s="8" t="s">
        <v>626</v>
      </c>
      <c r="G533" s="10">
        <v>0.25</v>
      </c>
      <c r="I533" s="19"/>
      <c r="J533" s="19"/>
    </row>
    <row r="534" spans="1:10">
      <c r="A534" s="5">
        <v>45631</v>
      </c>
      <c r="B534" s="6">
        <v>10427</v>
      </c>
      <c r="D534" s="7" t="s">
        <v>300</v>
      </c>
      <c r="E534" s="8" t="s">
        <v>627</v>
      </c>
      <c r="G534" s="10">
        <v>0.25</v>
      </c>
      <c r="I534" s="19"/>
      <c r="J534" s="19"/>
    </row>
    <row r="535" spans="1:10">
      <c r="A535" s="5">
        <v>45713</v>
      </c>
      <c r="B535" s="6">
        <v>10427</v>
      </c>
      <c r="D535" s="7" t="s">
        <v>615</v>
      </c>
      <c r="E535" s="8" t="s">
        <v>628</v>
      </c>
      <c r="G535" s="10">
        <v>0.25</v>
      </c>
    </row>
    <row r="536" spans="1:10" ht="25.5">
      <c r="A536" s="5">
        <v>44321</v>
      </c>
      <c r="B536" s="6">
        <v>10514</v>
      </c>
      <c r="D536" s="7" t="s">
        <v>629</v>
      </c>
      <c r="E536" s="8" t="s">
        <v>630</v>
      </c>
      <c r="G536" s="10">
        <v>1.5</v>
      </c>
      <c r="I536" s="19"/>
      <c r="J536" s="19"/>
    </row>
    <row r="537" spans="1:10">
      <c r="A537" s="5">
        <v>45505</v>
      </c>
      <c r="B537" s="6">
        <v>20010</v>
      </c>
      <c r="D537" s="7" t="s">
        <v>631</v>
      </c>
      <c r="E537" s="8" t="s">
        <v>632</v>
      </c>
      <c r="G537" s="10">
        <v>0.25</v>
      </c>
      <c r="I537" s="19"/>
      <c r="J537" s="19"/>
    </row>
    <row r="538" spans="1:10">
      <c r="A538" s="5">
        <v>45559</v>
      </c>
      <c r="B538" s="6">
        <v>20010</v>
      </c>
      <c r="D538" s="7" t="s">
        <v>631</v>
      </c>
      <c r="E538" s="8" t="s">
        <v>633</v>
      </c>
      <c r="G538" s="10">
        <v>0.5</v>
      </c>
      <c r="I538" s="19"/>
      <c r="J538" s="19"/>
    </row>
    <row r="539" spans="1:10">
      <c r="A539" s="5">
        <v>45708</v>
      </c>
      <c r="B539" s="6">
        <v>20020</v>
      </c>
      <c r="D539" s="7" t="s">
        <v>634</v>
      </c>
      <c r="E539" s="8" t="s">
        <v>635</v>
      </c>
      <c r="G539" s="10">
        <v>0.75</v>
      </c>
      <c r="H539" s="19" t="s">
        <v>15</v>
      </c>
    </row>
    <row r="540" spans="1:10">
      <c r="A540" s="5">
        <v>45679</v>
      </c>
      <c r="B540" s="6">
        <v>20021</v>
      </c>
      <c r="D540" s="7" t="s">
        <v>636</v>
      </c>
      <c r="E540" s="8" t="s">
        <v>637</v>
      </c>
      <c r="G540" s="10">
        <v>0.25</v>
      </c>
    </row>
    <row r="541" spans="1:10">
      <c r="A541" s="5">
        <v>44697</v>
      </c>
      <c r="B541" s="6">
        <v>30002</v>
      </c>
      <c r="D541" s="7" t="s">
        <v>638</v>
      </c>
      <c r="E541" s="8" t="s">
        <v>639</v>
      </c>
      <c r="F541" s="9">
        <f>3952.5-1838.2</f>
        <v>2114.3000000000002</v>
      </c>
      <c r="G541" s="10">
        <f>+F541/100</f>
        <v>21.143000000000001</v>
      </c>
    </row>
    <row r="542" spans="1:10">
      <c r="A542" s="5">
        <v>45272</v>
      </c>
      <c r="B542" s="6">
        <v>30002</v>
      </c>
      <c r="D542" s="7" t="s">
        <v>638</v>
      </c>
      <c r="E542" s="8" t="s">
        <v>640</v>
      </c>
      <c r="G542" s="10">
        <v>0.5</v>
      </c>
    </row>
    <row r="543" spans="1:10">
      <c r="A543" s="5">
        <v>45273</v>
      </c>
      <c r="B543" s="6">
        <v>30002</v>
      </c>
      <c r="D543" s="7" t="s">
        <v>638</v>
      </c>
      <c r="E543" s="8" t="s">
        <v>641</v>
      </c>
      <c r="F543" s="9">
        <f>4041.25-1216.35</f>
        <v>2824.9</v>
      </c>
    </row>
    <row r="544" spans="1:10">
      <c r="A544" s="5">
        <v>45281</v>
      </c>
      <c r="B544" s="6">
        <v>30002</v>
      </c>
      <c r="D544" s="7" t="s">
        <v>638</v>
      </c>
      <c r="E544" s="8" t="s">
        <v>642</v>
      </c>
      <c r="G544" s="10">
        <v>0.5</v>
      </c>
    </row>
    <row r="545" spans="1:7">
      <c r="A545" s="5">
        <v>45348</v>
      </c>
      <c r="B545" s="6">
        <v>30002</v>
      </c>
      <c r="D545" s="7" t="s">
        <v>643</v>
      </c>
      <c r="E545" s="8" t="s">
        <v>644</v>
      </c>
      <c r="G545" s="10">
        <v>0.5</v>
      </c>
    </row>
    <row r="546" spans="1:7">
      <c r="A546" s="5">
        <v>45637</v>
      </c>
      <c r="B546" s="6">
        <v>30002</v>
      </c>
      <c r="D546" s="7" t="s">
        <v>643</v>
      </c>
      <c r="E546" s="8" t="s">
        <v>645</v>
      </c>
      <c r="G546" s="10">
        <v>0.25</v>
      </c>
    </row>
    <row r="547" spans="1:7">
      <c r="A547" s="5">
        <v>43844</v>
      </c>
      <c r="B547" s="6">
        <v>30180</v>
      </c>
      <c r="D547" s="7" t="s">
        <v>161</v>
      </c>
      <c r="E547" s="8" t="s">
        <v>646</v>
      </c>
      <c r="G547" s="10">
        <v>0.25</v>
      </c>
    </row>
    <row r="548" spans="1:7">
      <c r="A548" s="5">
        <v>43844</v>
      </c>
      <c r="B548" s="6">
        <v>30181</v>
      </c>
      <c r="D548" s="7" t="s">
        <v>171</v>
      </c>
      <c r="E548" s="8" t="s">
        <v>647</v>
      </c>
      <c r="G548" s="10">
        <v>1</v>
      </c>
    </row>
    <row r="549" spans="1:7" ht="25.5">
      <c r="A549" s="5">
        <v>43844</v>
      </c>
      <c r="B549" s="6">
        <v>30181</v>
      </c>
      <c r="D549" s="7" t="s">
        <v>171</v>
      </c>
      <c r="E549" s="8" t="s">
        <v>648</v>
      </c>
      <c r="G549" s="10">
        <v>7</v>
      </c>
    </row>
    <row r="550" spans="1:7">
      <c r="A550" s="5">
        <v>44659</v>
      </c>
      <c r="B550" s="6">
        <v>50000</v>
      </c>
      <c r="D550" s="7" t="s">
        <v>649</v>
      </c>
      <c r="E550" s="8" t="s">
        <v>650</v>
      </c>
      <c r="G550" s="10">
        <v>1.5</v>
      </c>
    </row>
    <row r="551" spans="1:7">
      <c r="A551" s="5">
        <v>45429</v>
      </c>
      <c r="B551" s="6">
        <v>50000</v>
      </c>
      <c r="D551" s="7" t="s">
        <v>649</v>
      </c>
      <c r="E551" s="8" t="s">
        <v>651</v>
      </c>
      <c r="F551" s="10"/>
      <c r="G551" s="10">
        <v>0.5</v>
      </c>
    </row>
    <row r="552" spans="1:7">
      <c r="A552" s="5">
        <v>45450</v>
      </c>
      <c r="B552" s="6">
        <v>50000</v>
      </c>
      <c r="D552" s="7" t="s">
        <v>649</v>
      </c>
      <c r="E552" s="8" t="s">
        <v>652</v>
      </c>
      <c r="G552" s="10">
        <v>0.25</v>
      </c>
    </row>
    <row r="553" spans="1:7">
      <c r="A553" s="5">
        <v>45142</v>
      </c>
      <c r="B553" s="6">
        <v>50014</v>
      </c>
      <c r="D553" s="7" t="s">
        <v>653</v>
      </c>
      <c r="E553" s="8" t="s">
        <v>654</v>
      </c>
      <c r="F553" s="9">
        <f>1025-548</f>
        <v>477</v>
      </c>
    </row>
    <row r="554" spans="1:7">
      <c r="A554" s="5">
        <v>45597</v>
      </c>
      <c r="B554" s="6">
        <v>50014</v>
      </c>
      <c r="D554" s="7" t="s">
        <v>653</v>
      </c>
      <c r="E554" s="8" t="s">
        <v>655</v>
      </c>
      <c r="G554" s="10">
        <v>0.75</v>
      </c>
    </row>
    <row r="555" spans="1:7">
      <c r="A555" s="5">
        <v>45600</v>
      </c>
      <c r="B555" s="6">
        <v>50014</v>
      </c>
      <c r="D555" s="7" t="s">
        <v>656</v>
      </c>
      <c r="E555" s="8" t="s">
        <v>657</v>
      </c>
      <c r="G555" s="10">
        <v>0.5</v>
      </c>
    </row>
    <row r="556" spans="1:7">
      <c r="A556" s="5">
        <v>45607</v>
      </c>
      <c r="B556" s="6">
        <v>50014</v>
      </c>
      <c r="D556" s="7" t="s">
        <v>658</v>
      </c>
      <c r="E556" s="8" t="s">
        <v>659</v>
      </c>
      <c r="G556" s="10">
        <v>0.5</v>
      </c>
    </row>
    <row r="557" spans="1:7" ht="25.5">
      <c r="A557" s="5">
        <v>45610</v>
      </c>
      <c r="B557" s="6">
        <v>50014</v>
      </c>
      <c r="D557" s="7" t="s">
        <v>660</v>
      </c>
      <c r="E557" s="8" t="s">
        <v>661</v>
      </c>
      <c r="G557" s="10">
        <v>0.75</v>
      </c>
    </row>
    <row r="558" spans="1:7" ht="25.5">
      <c r="A558" s="5">
        <v>45614</v>
      </c>
      <c r="B558" s="6">
        <v>50014</v>
      </c>
      <c r="D558" s="7" t="s">
        <v>653</v>
      </c>
      <c r="E558" s="8" t="s">
        <v>662</v>
      </c>
      <c r="G558" s="10">
        <v>1</v>
      </c>
    </row>
    <row r="559" spans="1:7" ht="25.5">
      <c r="A559" s="5">
        <v>45615</v>
      </c>
      <c r="B559" s="6">
        <v>50014</v>
      </c>
      <c r="D559" s="7" t="s">
        <v>653</v>
      </c>
      <c r="E559" s="8" t="s">
        <v>663</v>
      </c>
      <c r="G559" s="10">
        <v>0.75</v>
      </c>
    </row>
    <row r="560" spans="1:7">
      <c r="A560" s="5">
        <v>45628</v>
      </c>
      <c r="B560" s="6">
        <v>50014</v>
      </c>
      <c r="D560" s="7" t="s">
        <v>658</v>
      </c>
      <c r="E560" s="8" t="s">
        <v>664</v>
      </c>
      <c r="G560" s="10">
        <v>0.75</v>
      </c>
    </row>
    <row r="561" spans="1:7" ht="25.5">
      <c r="A561" s="5">
        <v>45632</v>
      </c>
      <c r="B561" s="6">
        <v>50016</v>
      </c>
      <c r="D561" s="7" t="s">
        <v>665</v>
      </c>
      <c r="E561" s="8" t="s">
        <v>666</v>
      </c>
      <c r="G561" s="10">
        <v>1</v>
      </c>
    </row>
    <row r="562" spans="1:7">
      <c r="A562" s="5">
        <v>45638</v>
      </c>
      <c r="B562" s="6">
        <v>50016</v>
      </c>
      <c r="D562" s="7" t="s">
        <v>667</v>
      </c>
      <c r="E562" s="8" t="s">
        <v>668</v>
      </c>
      <c r="G562" s="10">
        <v>0.75</v>
      </c>
    </row>
    <row r="563" spans="1:7">
      <c r="A563" s="5">
        <v>45664</v>
      </c>
      <c r="B563" s="6">
        <v>50016</v>
      </c>
      <c r="D563" s="7" t="s">
        <v>669</v>
      </c>
      <c r="E563" s="8" t="s">
        <v>670</v>
      </c>
      <c r="G563" s="10">
        <v>0.5</v>
      </c>
    </row>
    <row r="564" spans="1:7">
      <c r="A564" s="5">
        <v>45695</v>
      </c>
      <c r="B564" s="6">
        <v>50016</v>
      </c>
      <c r="D564" s="7" t="s">
        <v>671</v>
      </c>
      <c r="E564" s="8" t="s">
        <v>672</v>
      </c>
      <c r="G564" s="10">
        <v>0.75</v>
      </c>
    </row>
    <row r="565" spans="1:7">
      <c r="A565" s="5">
        <v>45195</v>
      </c>
      <c r="B565" s="6">
        <v>50035</v>
      </c>
      <c r="D565" s="7" t="s">
        <v>673</v>
      </c>
      <c r="E565" s="8" t="s">
        <v>674</v>
      </c>
      <c r="G565" s="10">
        <v>0.5</v>
      </c>
    </row>
    <row r="566" spans="1:7" ht="25.5">
      <c r="A566" s="5">
        <v>45231</v>
      </c>
      <c r="B566" s="6">
        <v>50035</v>
      </c>
      <c r="D566" s="7" t="s">
        <v>673</v>
      </c>
      <c r="E566" s="8" t="s">
        <v>675</v>
      </c>
      <c r="G566" s="10">
        <v>1.5</v>
      </c>
    </row>
    <row r="567" spans="1:7">
      <c r="A567" s="5">
        <v>45245</v>
      </c>
      <c r="B567" s="6">
        <v>50035</v>
      </c>
      <c r="D567" s="7" t="s">
        <v>673</v>
      </c>
      <c r="E567" s="8" t="s">
        <v>676</v>
      </c>
      <c r="G567" s="10">
        <v>0.5</v>
      </c>
    </row>
    <row r="568" spans="1:7">
      <c r="A568" s="5">
        <v>45272</v>
      </c>
      <c r="B568" s="6">
        <v>50035</v>
      </c>
      <c r="D568" s="7" t="s">
        <v>673</v>
      </c>
      <c r="E568" s="8" t="s">
        <v>677</v>
      </c>
      <c r="G568" s="10">
        <v>0.5</v>
      </c>
    </row>
    <row r="569" spans="1:7">
      <c r="A569" s="5">
        <v>45425</v>
      </c>
      <c r="B569" s="6">
        <v>50035</v>
      </c>
      <c r="D569" s="7" t="s">
        <v>673</v>
      </c>
      <c r="E569" s="8" t="s">
        <v>678</v>
      </c>
      <c r="G569" s="10">
        <v>0.25</v>
      </c>
    </row>
    <row r="570" spans="1:7">
      <c r="A570" s="5">
        <v>44050</v>
      </c>
      <c r="B570" s="6">
        <v>50058</v>
      </c>
      <c r="D570" s="7" t="s">
        <v>679</v>
      </c>
      <c r="E570" s="8" t="s">
        <v>680</v>
      </c>
      <c r="G570" s="10">
        <v>0.5</v>
      </c>
    </row>
    <row r="571" spans="1:7">
      <c r="A571" s="5">
        <v>44397</v>
      </c>
      <c r="B571" s="6">
        <v>50058</v>
      </c>
      <c r="D571" s="7" t="s">
        <v>681</v>
      </c>
      <c r="E571" s="8" t="s">
        <v>682</v>
      </c>
      <c r="G571" s="10">
        <v>0.25</v>
      </c>
    </row>
    <row r="572" spans="1:7">
      <c r="A572" s="5">
        <v>44518</v>
      </c>
      <c r="B572" s="6">
        <v>50058</v>
      </c>
      <c r="D572" s="7" t="s">
        <v>679</v>
      </c>
      <c r="E572" s="8" t="s">
        <v>683</v>
      </c>
      <c r="G572" s="10">
        <v>0.5</v>
      </c>
    </row>
    <row r="573" spans="1:7">
      <c r="A573" s="5">
        <v>45495</v>
      </c>
      <c r="B573" s="6">
        <v>50059</v>
      </c>
      <c r="D573" s="7" t="s">
        <v>684</v>
      </c>
      <c r="E573" s="8" t="s">
        <v>685</v>
      </c>
      <c r="G573" s="10">
        <v>0.5</v>
      </c>
    </row>
    <row r="574" spans="1:7">
      <c r="A574" s="5">
        <v>45597</v>
      </c>
      <c r="B574" s="6">
        <v>50059</v>
      </c>
      <c r="D574" s="7" t="s">
        <v>684</v>
      </c>
      <c r="E574" s="8" t="s">
        <v>686</v>
      </c>
      <c r="G574" s="10">
        <v>0.5</v>
      </c>
    </row>
    <row r="575" spans="1:7">
      <c r="A575" s="5">
        <v>45639</v>
      </c>
      <c r="B575" s="6">
        <v>50059</v>
      </c>
      <c r="D575" s="7" t="s">
        <v>684</v>
      </c>
      <c r="E575" s="8" t="s">
        <v>687</v>
      </c>
      <c r="G575" s="10">
        <v>0.25</v>
      </c>
    </row>
    <row r="576" spans="1:7">
      <c r="A576" s="5">
        <v>45618</v>
      </c>
      <c r="B576" s="6">
        <v>50087</v>
      </c>
      <c r="D576" s="7" t="s">
        <v>688</v>
      </c>
      <c r="E576" s="8" t="s">
        <v>689</v>
      </c>
      <c r="G576" s="10">
        <v>0.25</v>
      </c>
    </row>
    <row r="577" spans="1:7">
      <c r="A577" s="5">
        <v>45638</v>
      </c>
      <c r="B577" s="6">
        <v>50087</v>
      </c>
      <c r="D577" s="7" t="s">
        <v>690</v>
      </c>
      <c r="E577" s="8" t="s">
        <v>691</v>
      </c>
      <c r="G577" s="10">
        <v>0.25</v>
      </c>
    </row>
    <row r="578" spans="1:7">
      <c r="A578" s="5">
        <v>45678</v>
      </c>
      <c r="B578" s="6">
        <v>50087</v>
      </c>
      <c r="D578" s="7" t="s">
        <v>690</v>
      </c>
      <c r="E578" s="8" t="s">
        <v>692</v>
      </c>
      <c r="G578" s="10">
        <v>0.5</v>
      </c>
    </row>
    <row r="579" spans="1:7">
      <c r="A579" s="5">
        <v>45684</v>
      </c>
      <c r="B579" s="6">
        <v>50087</v>
      </c>
      <c r="D579" s="7" t="s">
        <v>690</v>
      </c>
      <c r="E579" s="8" t="s">
        <v>693</v>
      </c>
      <c r="G579" s="10">
        <v>0.25</v>
      </c>
    </row>
    <row r="580" spans="1:7" ht="25.5">
      <c r="A580" s="5">
        <v>45688</v>
      </c>
      <c r="B580" s="6">
        <v>50087</v>
      </c>
      <c r="D580" s="7" t="s">
        <v>690</v>
      </c>
      <c r="E580" s="8" t="s">
        <v>694</v>
      </c>
      <c r="G580" s="10">
        <v>0.75</v>
      </c>
    </row>
    <row r="581" spans="1:7">
      <c r="A581" s="5">
        <v>45702</v>
      </c>
      <c r="B581" s="6">
        <v>50087</v>
      </c>
      <c r="D581" s="7" t="s">
        <v>690</v>
      </c>
      <c r="E581" s="8" t="s">
        <v>695</v>
      </c>
      <c r="G581" s="10">
        <v>0.75</v>
      </c>
    </row>
    <row r="582" spans="1:7">
      <c r="A582" s="5">
        <v>45708</v>
      </c>
      <c r="B582" s="6">
        <v>50087</v>
      </c>
      <c r="D582" s="7" t="s">
        <v>690</v>
      </c>
      <c r="E582" s="8" t="s">
        <v>696</v>
      </c>
      <c r="G582" s="10">
        <v>0.25</v>
      </c>
    </row>
    <row r="583" spans="1:7">
      <c r="A583" s="5">
        <v>45089</v>
      </c>
      <c r="B583" s="6">
        <v>50112</v>
      </c>
      <c r="D583" s="7" t="s">
        <v>697</v>
      </c>
      <c r="E583" s="8" t="s">
        <v>698</v>
      </c>
      <c r="G583" s="10">
        <v>0.5</v>
      </c>
    </row>
    <row r="584" spans="1:7">
      <c r="A584" s="5">
        <v>45096</v>
      </c>
      <c r="B584" s="6">
        <v>50112</v>
      </c>
      <c r="D584" s="7" t="s">
        <v>697</v>
      </c>
      <c r="E584" s="8" t="s">
        <v>699</v>
      </c>
      <c r="G584" s="10">
        <v>0.5</v>
      </c>
    </row>
    <row r="585" spans="1:7">
      <c r="A585" s="5">
        <v>45467</v>
      </c>
      <c r="B585" s="6">
        <v>50112</v>
      </c>
      <c r="D585" s="7" t="s">
        <v>697</v>
      </c>
      <c r="E585" s="8" t="s">
        <v>421</v>
      </c>
      <c r="G585" s="10">
        <v>0.25</v>
      </c>
    </row>
    <row r="586" spans="1:7">
      <c r="A586" s="5">
        <v>44316</v>
      </c>
      <c r="B586" s="6">
        <v>50227</v>
      </c>
      <c r="D586" s="7" t="s">
        <v>700</v>
      </c>
      <c r="E586" s="8" t="s">
        <v>701</v>
      </c>
      <c r="G586" s="10">
        <v>0.5</v>
      </c>
    </row>
    <row r="587" spans="1:7">
      <c r="A587" s="5">
        <v>44202</v>
      </c>
      <c r="B587" s="6">
        <v>50255</v>
      </c>
      <c r="D587" s="7" t="s">
        <v>702</v>
      </c>
      <c r="E587" s="8" t="s">
        <v>703</v>
      </c>
      <c r="G587" s="10">
        <v>0.25</v>
      </c>
    </row>
    <row r="588" spans="1:7">
      <c r="A588" s="5">
        <v>44229</v>
      </c>
      <c r="B588" s="6">
        <v>50255</v>
      </c>
      <c r="D588" s="7" t="s">
        <v>704</v>
      </c>
      <c r="E588" s="8" t="s">
        <v>705</v>
      </c>
      <c r="G588" s="10">
        <v>0.25</v>
      </c>
    </row>
    <row r="589" spans="1:7">
      <c r="A589" s="5">
        <v>44838</v>
      </c>
      <c r="B589" s="6">
        <v>50255</v>
      </c>
      <c r="D589" s="7" t="s">
        <v>704</v>
      </c>
      <c r="E589" s="8" t="s">
        <v>706</v>
      </c>
      <c r="G589" s="10">
        <v>0.25</v>
      </c>
    </row>
    <row r="590" spans="1:7" ht="11.25" customHeight="1">
      <c r="A590" s="5">
        <v>43857</v>
      </c>
      <c r="B590" s="6">
        <v>50256</v>
      </c>
      <c r="D590" s="7" t="s">
        <v>707</v>
      </c>
      <c r="E590" s="8" t="s">
        <v>708</v>
      </c>
      <c r="F590" s="9">
        <v>3</v>
      </c>
      <c r="G590" s="10">
        <f>0.25/3</f>
        <v>8.3333333333333329E-2</v>
      </c>
    </row>
    <row r="591" spans="1:7">
      <c r="A591" s="5">
        <v>44209</v>
      </c>
      <c r="B591" s="6">
        <v>50287</v>
      </c>
      <c r="D591" s="7" t="s">
        <v>709</v>
      </c>
      <c r="E591" s="8" t="s">
        <v>710</v>
      </c>
      <c r="G591" s="10">
        <v>0.75</v>
      </c>
    </row>
    <row r="592" spans="1:7">
      <c r="A592" s="5">
        <v>44235</v>
      </c>
      <c r="B592" s="6">
        <v>50287</v>
      </c>
      <c r="D592" s="7" t="s">
        <v>709</v>
      </c>
      <c r="E592" s="8" t="s">
        <v>711</v>
      </c>
      <c r="G592" s="10">
        <v>0.5</v>
      </c>
    </row>
    <row r="593" spans="1:8">
      <c r="A593" s="5">
        <v>44264</v>
      </c>
      <c r="B593" s="6">
        <v>50287</v>
      </c>
      <c r="D593" s="7" t="s">
        <v>709</v>
      </c>
      <c r="E593" s="8" t="s">
        <v>712</v>
      </c>
      <c r="G593" s="10">
        <v>0.5</v>
      </c>
    </row>
    <row r="594" spans="1:8">
      <c r="A594" s="5">
        <v>44264</v>
      </c>
      <c r="B594" s="6">
        <v>50287</v>
      </c>
      <c r="D594" s="7" t="s">
        <v>709</v>
      </c>
      <c r="E594" s="8" t="s">
        <v>713</v>
      </c>
      <c r="G594" s="10">
        <v>0.5</v>
      </c>
    </row>
    <row r="595" spans="1:8">
      <c r="A595" s="5">
        <v>44298</v>
      </c>
      <c r="B595" s="6">
        <v>50287</v>
      </c>
      <c r="D595" s="7" t="s">
        <v>709</v>
      </c>
      <c r="E595" s="8" t="s">
        <v>714</v>
      </c>
      <c r="G595" s="10">
        <v>0.5</v>
      </c>
    </row>
    <row r="596" spans="1:8">
      <c r="A596" s="5">
        <v>44480</v>
      </c>
      <c r="B596" s="6">
        <v>50287</v>
      </c>
      <c r="D596" s="7" t="s">
        <v>709</v>
      </c>
      <c r="E596" s="8" t="s">
        <v>715</v>
      </c>
      <c r="G596" s="10">
        <v>0.5</v>
      </c>
    </row>
    <row r="597" spans="1:8">
      <c r="A597" s="5">
        <v>44515</v>
      </c>
      <c r="B597" s="6">
        <v>50287</v>
      </c>
      <c r="D597" s="7" t="s">
        <v>709</v>
      </c>
      <c r="E597" s="8" t="s">
        <v>716</v>
      </c>
      <c r="G597" s="10">
        <v>0.5</v>
      </c>
    </row>
    <row r="598" spans="1:8">
      <c r="A598" s="5">
        <v>44599</v>
      </c>
      <c r="B598" s="6">
        <v>50287</v>
      </c>
      <c r="D598" s="7" t="s">
        <v>717</v>
      </c>
      <c r="E598" s="8" t="s">
        <v>718</v>
      </c>
      <c r="G598" s="10">
        <v>0.25</v>
      </c>
    </row>
    <row r="599" spans="1:8">
      <c r="A599" s="5">
        <v>44802</v>
      </c>
      <c r="B599" s="6">
        <v>50287</v>
      </c>
      <c r="D599" s="7" t="s">
        <v>719</v>
      </c>
      <c r="E599" s="8" t="s">
        <v>720</v>
      </c>
      <c r="G599" s="10">
        <v>0.25</v>
      </c>
    </row>
    <row r="600" spans="1:8">
      <c r="A600" s="5">
        <v>44911</v>
      </c>
      <c r="B600" s="6">
        <v>50287</v>
      </c>
      <c r="D600" s="7" t="s">
        <v>709</v>
      </c>
      <c r="E600" s="8" t="s">
        <v>721</v>
      </c>
      <c r="G600" s="10">
        <v>0.25</v>
      </c>
    </row>
    <row r="601" spans="1:8">
      <c r="A601" s="5">
        <v>44917</v>
      </c>
      <c r="B601" s="6">
        <v>50287</v>
      </c>
      <c r="D601" s="7" t="s">
        <v>709</v>
      </c>
      <c r="E601" s="8" t="s">
        <v>722</v>
      </c>
      <c r="G601" s="10">
        <v>0.25</v>
      </c>
    </row>
    <row r="602" spans="1:8">
      <c r="A602" s="5">
        <v>45503</v>
      </c>
      <c r="B602" s="6">
        <v>50352</v>
      </c>
      <c r="D602" s="7" t="s">
        <v>723</v>
      </c>
      <c r="E602" s="8" t="s">
        <v>724</v>
      </c>
      <c r="F602" s="9">
        <f>900-163-529</f>
        <v>208</v>
      </c>
    </row>
    <row r="603" spans="1:8">
      <c r="A603" s="5">
        <v>45517</v>
      </c>
      <c r="B603" s="6">
        <v>50352</v>
      </c>
      <c r="D603" s="7" t="s">
        <v>725</v>
      </c>
      <c r="E603" s="8" t="s">
        <v>726</v>
      </c>
      <c r="G603" s="10">
        <v>0.5</v>
      </c>
    </row>
    <row r="604" spans="1:8">
      <c r="A604" s="5">
        <v>45670</v>
      </c>
      <c r="B604" s="6">
        <v>50352</v>
      </c>
      <c r="D604" s="7" t="s">
        <v>727</v>
      </c>
      <c r="E604" s="8" t="s">
        <v>728</v>
      </c>
      <c r="G604" s="10">
        <v>1</v>
      </c>
    </row>
    <row r="605" spans="1:8">
      <c r="A605" s="5">
        <v>45681</v>
      </c>
      <c r="B605" s="6">
        <v>50352</v>
      </c>
      <c r="D605" s="7" t="s">
        <v>727</v>
      </c>
      <c r="E605" s="8" t="s">
        <v>729</v>
      </c>
      <c r="G605" s="10">
        <v>0.5</v>
      </c>
    </row>
    <row r="606" spans="1:8">
      <c r="A606" s="5">
        <v>45706</v>
      </c>
      <c r="B606" s="6">
        <v>50352</v>
      </c>
      <c r="D606" s="7" t="s">
        <v>727</v>
      </c>
      <c r="E606" s="8" t="s">
        <v>730</v>
      </c>
      <c r="G606" s="10">
        <v>0.5</v>
      </c>
    </row>
    <row r="607" spans="1:8">
      <c r="A607" s="5">
        <v>45695</v>
      </c>
      <c r="B607" s="6">
        <v>50356</v>
      </c>
      <c r="D607" s="7" t="s">
        <v>731</v>
      </c>
      <c r="E607" s="8" t="s">
        <v>732</v>
      </c>
      <c r="G607" s="10">
        <v>1.75</v>
      </c>
      <c r="H607" s="19" t="s">
        <v>15</v>
      </c>
    </row>
    <row r="608" spans="1:8">
      <c r="A608" s="5">
        <v>45706</v>
      </c>
      <c r="B608" s="6">
        <v>50356</v>
      </c>
      <c r="D608" s="7" t="s">
        <v>731</v>
      </c>
      <c r="E608" s="8" t="s">
        <v>733</v>
      </c>
      <c r="G608" s="10">
        <v>0.25</v>
      </c>
    </row>
    <row r="609" spans="1:7">
      <c r="A609" s="5">
        <v>45610</v>
      </c>
      <c r="B609" s="6">
        <v>50421</v>
      </c>
      <c r="D609" s="7" t="s">
        <v>734</v>
      </c>
      <c r="E609" s="8" t="s">
        <v>735</v>
      </c>
      <c r="G609" s="10">
        <v>0.5</v>
      </c>
    </row>
    <row r="610" spans="1:7">
      <c r="A610" s="5">
        <v>44820</v>
      </c>
      <c r="B610" s="6">
        <v>50843</v>
      </c>
      <c r="D610" s="7" t="s">
        <v>736</v>
      </c>
      <c r="E610" s="8" t="s">
        <v>737</v>
      </c>
      <c r="G610" s="10">
        <v>0.5</v>
      </c>
    </row>
    <row r="611" spans="1:7">
      <c r="A611" s="5">
        <v>44839</v>
      </c>
      <c r="B611" s="6">
        <v>50843</v>
      </c>
      <c r="D611" s="7" t="s">
        <v>736</v>
      </c>
      <c r="E611" s="8" t="s">
        <v>738</v>
      </c>
      <c r="G611" s="10">
        <v>0.5</v>
      </c>
    </row>
    <row r="612" spans="1:7">
      <c r="A612" s="5">
        <v>44854</v>
      </c>
      <c r="B612" s="6">
        <v>50843</v>
      </c>
      <c r="D612" s="7" t="s">
        <v>736</v>
      </c>
      <c r="E612" s="8" t="s">
        <v>739</v>
      </c>
      <c r="G612" s="10">
        <v>0.25</v>
      </c>
    </row>
    <row r="613" spans="1:7">
      <c r="A613" s="5">
        <v>45162</v>
      </c>
      <c r="B613" s="6">
        <v>50843</v>
      </c>
      <c r="D613" s="7" t="s">
        <v>736</v>
      </c>
      <c r="E613" s="8" t="s">
        <v>740</v>
      </c>
      <c r="G613" s="10">
        <v>0.25</v>
      </c>
    </row>
    <row r="614" spans="1:7">
      <c r="A614" s="5">
        <v>45579</v>
      </c>
      <c r="B614" s="6">
        <v>50843</v>
      </c>
      <c r="D614" s="7" t="s">
        <v>736</v>
      </c>
      <c r="E614" s="8" t="s">
        <v>741</v>
      </c>
      <c r="G614" s="10">
        <v>0.25</v>
      </c>
    </row>
    <row r="615" spans="1:7" ht="25.5">
      <c r="A615" s="5">
        <v>44187</v>
      </c>
      <c r="B615" s="6">
        <v>50923</v>
      </c>
      <c r="D615" s="7" t="s">
        <v>742</v>
      </c>
      <c r="E615" s="8" t="s">
        <v>743</v>
      </c>
      <c r="G615" s="10">
        <v>1.5</v>
      </c>
    </row>
    <row r="616" spans="1:7">
      <c r="A616" s="5">
        <v>44263</v>
      </c>
      <c r="B616" s="6">
        <v>50923</v>
      </c>
      <c r="D616" s="7" t="s">
        <v>744</v>
      </c>
      <c r="E616" s="8" t="s">
        <v>745</v>
      </c>
      <c r="G616" s="10">
        <v>0.5</v>
      </c>
    </row>
    <row r="617" spans="1:7">
      <c r="A617" s="5">
        <v>44956</v>
      </c>
      <c r="B617" s="6">
        <v>50930</v>
      </c>
      <c r="D617" s="7" t="s">
        <v>746</v>
      </c>
      <c r="E617" s="8" t="s">
        <v>747</v>
      </c>
      <c r="G617" s="10">
        <v>0.25</v>
      </c>
    </row>
    <row r="618" spans="1:7" ht="25.5">
      <c r="A618" s="5">
        <v>44805</v>
      </c>
      <c r="B618" s="6">
        <v>51084</v>
      </c>
      <c r="D618" s="7" t="s">
        <v>748</v>
      </c>
      <c r="E618" s="8" t="s">
        <v>749</v>
      </c>
      <c r="G618" s="10">
        <v>0.25</v>
      </c>
    </row>
    <row r="619" spans="1:7">
      <c r="A619" s="5">
        <v>45540</v>
      </c>
      <c r="B619" s="6">
        <v>51086</v>
      </c>
      <c r="D619" s="7" t="s">
        <v>750</v>
      </c>
      <c r="E619" s="8" t="s">
        <v>751</v>
      </c>
      <c r="G619" s="10">
        <v>0.25</v>
      </c>
    </row>
    <row r="620" spans="1:7">
      <c r="A620" s="5">
        <v>45314</v>
      </c>
      <c r="B620" s="6">
        <v>51095</v>
      </c>
      <c r="D620" s="7" t="s">
        <v>752</v>
      </c>
      <c r="E620" s="8" t="s">
        <v>753</v>
      </c>
      <c r="F620" s="9">
        <f>1589.43-1034</f>
        <v>555.43000000000006</v>
      </c>
      <c r="G620" s="10">
        <f>+F620/120</f>
        <v>4.6285833333333342</v>
      </c>
    </row>
    <row r="621" spans="1:7" ht="25.5">
      <c r="A621" s="5">
        <v>45523</v>
      </c>
      <c r="B621" s="6">
        <v>51095</v>
      </c>
      <c r="D621" s="7" t="s">
        <v>752</v>
      </c>
      <c r="E621" s="8" t="s">
        <v>754</v>
      </c>
      <c r="G621" s="10">
        <v>1</v>
      </c>
    </row>
    <row r="622" spans="1:7">
      <c r="A622" s="5">
        <v>45538</v>
      </c>
      <c r="B622" s="6">
        <v>51095</v>
      </c>
      <c r="D622" s="7" t="s">
        <v>752</v>
      </c>
      <c r="E622" s="8" t="s">
        <v>755</v>
      </c>
      <c r="G622" s="10">
        <v>0.75</v>
      </c>
    </row>
    <row r="623" spans="1:7">
      <c r="A623" s="5">
        <v>45645</v>
      </c>
      <c r="B623" s="6">
        <v>51095</v>
      </c>
      <c r="D623" s="7" t="s">
        <v>752</v>
      </c>
      <c r="E623" s="8" t="s">
        <v>756</v>
      </c>
      <c r="G623" s="10">
        <v>0.5</v>
      </c>
    </row>
    <row r="624" spans="1:7">
      <c r="A624" s="5">
        <v>45664</v>
      </c>
      <c r="B624" s="6">
        <v>51095</v>
      </c>
      <c r="D624" s="7" t="s">
        <v>752</v>
      </c>
      <c r="E624" s="8" t="s">
        <v>757</v>
      </c>
      <c r="G624" s="10">
        <v>0.25</v>
      </c>
    </row>
    <row r="625" spans="1:7">
      <c r="A625" s="5">
        <v>45708</v>
      </c>
      <c r="B625" s="6">
        <v>51095</v>
      </c>
      <c r="D625" s="7" t="s">
        <v>758</v>
      </c>
      <c r="E625" s="8" t="s">
        <v>759</v>
      </c>
      <c r="G625" s="10">
        <v>0.25</v>
      </c>
    </row>
    <row r="626" spans="1:7">
      <c r="A626" s="5">
        <v>44183</v>
      </c>
      <c r="B626" s="6">
        <v>51126</v>
      </c>
      <c r="D626" s="7" t="s">
        <v>760</v>
      </c>
      <c r="E626" s="8" t="s">
        <v>761</v>
      </c>
      <c r="G626" s="10">
        <v>0.5</v>
      </c>
    </row>
    <row r="627" spans="1:7">
      <c r="A627" s="5">
        <v>44432</v>
      </c>
      <c r="B627" s="6">
        <v>51131</v>
      </c>
      <c r="D627" s="7" t="s">
        <v>762</v>
      </c>
      <c r="E627" s="8" t="s">
        <v>763</v>
      </c>
      <c r="G627" s="10">
        <v>0.5</v>
      </c>
    </row>
    <row r="628" spans="1:7">
      <c r="A628" s="5">
        <v>43848</v>
      </c>
      <c r="B628" s="6">
        <v>51227</v>
      </c>
      <c r="D628" s="7" t="s">
        <v>700</v>
      </c>
      <c r="E628" s="8" t="s">
        <v>764</v>
      </c>
      <c r="G628" s="10">
        <v>0.25</v>
      </c>
    </row>
    <row r="629" spans="1:7">
      <c r="A629" s="5">
        <v>43852</v>
      </c>
      <c r="B629" s="6">
        <v>51227</v>
      </c>
      <c r="D629" s="7" t="s">
        <v>700</v>
      </c>
      <c r="E629" s="8" t="s">
        <v>765</v>
      </c>
      <c r="G629" s="10">
        <v>0.25</v>
      </c>
    </row>
    <row r="630" spans="1:7">
      <c r="A630" s="5">
        <v>43925</v>
      </c>
      <c r="B630" s="6">
        <v>51227</v>
      </c>
      <c r="D630" s="7" t="s">
        <v>700</v>
      </c>
      <c r="E630" s="8" t="s">
        <v>766</v>
      </c>
      <c r="G630" s="10">
        <v>0.25</v>
      </c>
    </row>
    <row r="631" spans="1:7">
      <c r="A631" s="5">
        <v>44126</v>
      </c>
      <c r="B631" s="6">
        <v>51227</v>
      </c>
      <c r="D631" s="7" t="s">
        <v>700</v>
      </c>
      <c r="E631" s="8" t="s">
        <v>767</v>
      </c>
      <c r="G631" s="10">
        <v>0.5</v>
      </c>
    </row>
    <row r="632" spans="1:7">
      <c r="A632" s="5">
        <v>44130</v>
      </c>
      <c r="B632" s="6">
        <v>51227</v>
      </c>
      <c r="D632" s="7" t="s">
        <v>700</v>
      </c>
      <c r="E632" s="8" t="s">
        <v>768</v>
      </c>
      <c r="G632" s="10">
        <v>0.25</v>
      </c>
    </row>
    <row r="633" spans="1:7">
      <c r="A633" s="5">
        <v>44154</v>
      </c>
      <c r="B633" s="6">
        <v>51227</v>
      </c>
      <c r="D633" s="7" t="s">
        <v>700</v>
      </c>
      <c r="E633" s="8" t="s">
        <v>769</v>
      </c>
      <c r="G633" s="10">
        <v>0.25</v>
      </c>
    </row>
    <row r="634" spans="1:7">
      <c r="A634" s="5">
        <v>44184</v>
      </c>
      <c r="B634" s="6">
        <v>51227</v>
      </c>
      <c r="D634" s="7" t="s">
        <v>700</v>
      </c>
      <c r="E634" s="8" t="s">
        <v>770</v>
      </c>
      <c r="G634" s="10">
        <v>0.5</v>
      </c>
    </row>
    <row r="635" spans="1:7">
      <c r="A635" s="5">
        <v>44204</v>
      </c>
      <c r="B635" s="6">
        <v>51227</v>
      </c>
      <c r="D635" s="7" t="s">
        <v>700</v>
      </c>
      <c r="E635" s="8" t="s">
        <v>771</v>
      </c>
      <c r="G635" s="10">
        <v>0.25</v>
      </c>
    </row>
    <row r="636" spans="1:7">
      <c r="A636" s="5">
        <v>44238</v>
      </c>
      <c r="B636" s="6">
        <v>51227</v>
      </c>
      <c r="D636" s="7" t="s">
        <v>700</v>
      </c>
      <c r="E636" s="8" t="s">
        <v>772</v>
      </c>
      <c r="G636" s="10">
        <v>0.25</v>
      </c>
    </row>
    <row r="637" spans="1:7">
      <c r="A637" s="5">
        <v>44252</v>
      </c>
      <c r="B637" s="6">
        <v>51227</v>
      </c>
      <c r="D637" s="7" t="s">
        <v>700</v>
      </c>
      <c r="E637" s="8" t="s">
        <v>773</v>
      </c>
      <c r="G637" s="10">
        <v>0.25</v>
      </c>
    </row>
    <row r="638" spans="1:7">
      <c r="A638" s="5">
        <v>44314</v>
      </c>
      <c r="B638" s="6">
        <v>51227</v>
      </c>
      <c r="D638" s="7" t="s">
        <v>700</v>
      </c>
      <c r="E638" s="8" t="s">
        <v>774</v>
      </c>
      <c r="G638" s="10">
        <v>0.25</v>
      </c>
    </row>
    <row r="639" spans="1:7">
      <c r="A639" s="5">
        <v>44533</v>
      </c>
      <c r="B639" s="6">
        <v>51227</v>
      </c>
      <c r="D639" s="7" t="s">
        <v>700</v>
      </c>
      <c r="E639" s="8" t="s">
        <v>775</v>
      </c>
      <c r="G639" s="10">
        <v>0.25</v>
      </c>
    </row>
    <row r="640" spans="1:7">
      <c r="A640" s="5">
        <v>44509</v>
      </c>
      <c r="B640" s="6">
        <v>51230</v>
      </c>
      <c r="D640" s="7" t="s">
        <v>762</v>
      </c>
      <c r="E640" s="8" t="s">
        <v>776</v>
      </c>
      <c r="G640" s="10">
        <v>0.25</v>
      </c>
    </row>
    <row r="641" spans="1:8">
      <c r="A641" s="5">
        <v>45146</v>
      </c>
      <c r="B641" s="6">
        <v>51230</v>
      </c>
      <c r="D641" s="7" t="s">
        <v>762</v>
      </c>
      <c r="E641" s="8" t="s">
        <v>777</v>
      </c>
      <c r="G641" s="10">
        <v>0.25</v>
      </c>
    </row>
    <row r="642" spans="1:8">
      <c r="A642" s="5">
        <v>44058</v>
      </c>
      <c r="B642" s="6">
        <v>51273</v>
      </c>
      <c r="D642" s="7" t="s">
        <v>778</v>
      </c>
      <c r="E642" s="8" t="s">
        <v>779</v>
      </c>
      <c r="G642" s="10">
        <v>0.75</v>
      </c>
    </row>
    <row r="643" spans="1:8">
      <c r="A643" s="5">
        <v>45252</v>
      </c>
      <c r="B643" s="6">
        <v>51273</v>
      </c>
      <c r="D643" s="7" t="s">
        <v>778</v>
      </c>
      <c r="E643" s="8" t="s">
        <v>780</v>
      </c>
      <c r="G643" s="10">
        <v>0.5</v>
      </c>
    </row>
    <row r="644" spans="1:8">
      <c r="A644" s="5">
        <v>45253</v>
      </c>
      <c r="B644" s="6">
        <v>51273</v>
      </c>
      <c r="D644" s="7" t="s">
        <v>778</v>
      </c>
      <c r="E644" s="8" t="s">
        <v>781</v>
      </c>
      <c r="G644" s="10">
        <v>0.75</v>
      </c>
    </row>
    <row r="645" spans="1:8">
      <c r="A645" s="5">
        <v>45264</v>
      </c>
      <c r="B645" s="6">
        <v>51273</v>
      </c>
      <c r="D645" s="7" t="s">
        <v>778</v>
      </c>
      <c r="E645" s="8" t="s">
        <v>782</v>
      </c>
      <c r="G645" s="10">
        <v>0.5</v>
      </c>
    </row>
    <row r="646" spans="1:8">
      <c r="A646" s="5">
        <v>45695</v>
      </c>
      <c r="B646" s="6">
        <v>51286</v>
      </c>
      <c r="D646" s="7" t="s">
        <v>783</v>
      </c>
      <c r="E646" s="8" t="s">
        <v>724</v>
      </c>
      <c r="F646" s="9">
        <f>690-415.77</f>
        <v>274.23</v>
      </c>
    </row>
    <row r="647" spans="1:8">
      <c r="A647" s="5">
        <v>45695</v>
      </c>
      <c r="B647" s="6">
        <v>51286</v>
      </c>
      <c r="D647" s="7" t="s">
        <v>783</v>
      </c>
      <c r="E647" s="8" t="s">
        <v>784</v>
      </c>
      <c r="G647" s="10">
        <v>1.5</v>
      </c>
      <c r="H647" s="19" t="s">
        <v>15</v>
      </c>
    </row>
    <row r="648" spans="1:8">
      <c r="A648" s="5">
        <v>45702</v>
      </c>
      <c r="B648" s="6">
        <v>51286</v>
      </c>
      <c r="D648" s="7" t="s">
        <v>783</v>
      </c>
      <c r="E648" s="8" t="s">
        <v>785</v>
      </c>
      <c r="G648" s="10">
        <v>0.5</v>
      </c>
    </row>
    <row r="649" spans="1:8">
      <c r="A649" s="5">
        <v>45705</v>
      </c>
      <c r="B649" s="6">
        <v>51286</v>
      </c>
      <c r="D649" s="7" t="s">
        <v>783</v>
      </c>
      <c r="E649" s="8" t="s">
        <v>786</v>
      </c>
      <c r="G649" s="10">
        <v>0.5</v>
      </c>
    </row>
    <row r="650" spans="1:8">
      <c r="A650" s="5">
        <v>45706</v>
      </c>
      <c r="B650" s="6">
        <v>51286</v>
      </c>
      <c r="D650" s="7" t="s">
        <v>783</v>
      </c>
      <c r="E650" s="8" t="s">
        <v>787</v>
      </c>
      <c r="G650" s="10">
        <v>0.5</v>
      </c>
    </row>
    <row r="651" spans="1:8" ht="25.5">
      <c r="A651" s="5">
        <v>45707</v>
      </c>
      <c r="B651" s="6">
        <v>51286</v>
      </c>
      <c r="D651" s="7" t="s">
        <v>783</v>
      </c>
      <c r="E651" s="8" t="s">
        <v>788</v>
      </c>
      <c r="G651" s="10">
        <v>0.75</v>
      </c>
    </row>
    <row r="652" spans="1:8">
      <c r="A652" s="5">
        <v>45540</v>
      </c>
      <c r="B652" s="6">
        <v>51364</v>
      </c>
      <c r="D652" s="7" t="s">
        <v>789</v>
      </c>
      <c r="E652" s="8" t="s">
        <v>790</v>
      </c>
      <c r="G652" s="10">
        <v>0.75</v>
      </c>
    </row>
    <row r="653" spans="1:8">
      <c r="A653" s="5">
        <v>45649</v>
      </c>
      <c r="B653" s="6">
        <v>51374</v>
      </c>
      <c r="D653" s="7" t="s">
        <v>791</v>
      </c>
      <c r="E653" s="8" t="s">
        <v>792</v>
      </c>
      <c r="G653" s="10">
        <v>4</v>
      </c>
    </row>
    <row r="654" spans="1:8">
      <c r="A654" s="5">
        <v>44501</v>
      </c>
      <c r="B654" s="6">
        <v>51465</v>
      </c>
      <c r="D654" s="7" t="s">
        <v>793</v>
      </c>
      <c r="E654" s="8" t="s">
        <v>794</v>
      </c>
      <c r="G654" s="10">
        <v>0.5</v>
      </c>
    </row>
    <row r="655" spans="1:8">
      <c r="A655" s="5">
        <v>45495</v>
      </c>
      <c r="B655" s="6">
        <v>51503</v>
      </c>
      <c r="D655" s="7" t="s">
        <v>795</v>
      </c>
      <c r="E655" s="8" t="s">
        <v>796</v>
      </c>
      <c r="G655" s="10">
        <v>1</v>
      </c>
    </row>
    <row r="656" spans="1:8">
      <c r="A656" s="5">
        <v>45632</v>
      </c>
      <c r="B656" s="6">
        <v>51508</v>
      </c>
      <c r="D656" s="7" t="s">
        <v>797</v>
      </c>
      <c r="E656" s="8" t="s">
        <v>798</v>
      </c>
      <c r="G656" s="10">
        <v>0.75</v>
      </c>
    </row>
    <row r="657" spans="1:8" ht="25.5">
      <c r="A657" s="5">
        <v>45637</v>
      </c>
      <c r="B657" s="6">
        <v>51508</v>
      </c>
      <c r="D657" s="7" t="s">
        <v>797</v>
      </c>
      <c r="E657" s="8" t="s">
        <v>799</v>
      </c>
      <c r="G657" s="10">
        <v>0.5</v>
      </c>
    </row>
    <row r="658" spans="1:8">
      <c r="A658" s="5">
        <v>45695</v>
      </c>
      <c r="B658" s="6">
        <v>51526</v>
      </c>
      <c r="D658" s="7" t="s">
        <v>800</v>
      </c>
      <c r="E658" s="8" t="s">
        <v>801</v>
      </c>
      <c r="G658" s="10">
        <v>1</v>
      </c>
      <c r="H658" s="19" t="s">
        <v>15</v>
      </c>
    </row>
    <row r="659" spans="1:8">
      <c r="A659" s="5">
        <v>45190</v>
      </c>
      <c r="B659" s="6">
        <v>51621</v>
      </c>
      <c r="D659" s="7" t="s">
        <v>802</v>
      </c>
      <c r="E659" s="8" t="s">
        <v>803</v>
      </c>
      <c r="G659" s="10">
        <v>0.25</v>
      </c>
    </row>
    <row r="660" spans="1:8" ht="25.5">
      <c r="A660" s="5">
        <v>45252</v>
      </c>
      <c r="B660" s="6">
        <v>51621</v>
      </c>
      <c r="D660" s="7" t="s">
        <v>804</v>
      </c>
      <c r="E660" s="8" t="s">
        <v>805</v>
      </c>
      <c r="G660" s="10">
        <v>0.75</v>
      </c>
    </row>
    <row r="661" spans="1:8">
      <c r="A661" s="5">
        <v>44435</v>
      </c>
      <c r="B661" s="6">
        <v>51623</v>
      </c>
      <c r="D661" s="7" t="s">
        <v>806</v>
      </c>
      <c r="E661" s="8" t="s">
        <v>807</v>
      </c>
      <c r="F661" s="9">
        <f>1160-821.03</f>
        <v>338.97</v>
      </c>
      <c r="G661" s="10">
        <f>+F661/80</f>
        <v>4.2371250000000007</v>
      </c>
      <c r="H661" s="5"/>
    </row>
    <row r="662" spans="1:8">
      <c r="A662" s="5">
        <v>44489</v>
      </c>
      <c r="B662" s="6">
        <v>51623</v>
      </c>
      <c r="D662" s="7" t="s">
        <v>808</v>
      </c>
      <c r="E662" s="8" t="s">
        <v>809</v>
      </c>
      <c r="G662" s="10">
        <v>1</v>
      </c>
    </row>
    <row r="663" spans="1:8">
      <c r="A663" s="5">
        <v>44567</v>
      </c>
      <c r="B663" s="6">
        <v>51623</v>
      </c>
      <c r="D663" s="7" t="s">
        <v>806</v>
      </c>
      <c r="E663" s="8" t="s">
        <v>810</v>
      </c>
      <c r="G663" s="10">
        <v>0.5</v>
      </c>
    </row>
    <row r="664" spans="1:8">
      <c r="A664" s="5">
        <v>44911</v>
      </c>
      <c r="B664" s="6">
        <v>51623</v>
      </c>
      <c r="D664" s="7" t="s">
        <v>811</v>
      </c>
      <c r="E664" s="8" t="s">
        <v>812</v>
      </c>
      <c r="G664" s="10">
        <v>0.25</v>
      </c>
    </row>
    <row r="665" spans="1:8">
      <c r="A665" s="5">
        <v>44914</v>
      </c>
      <c r="B665" s="6">
        <v>51623</v>
      </c>
      <c r="D665" s="7" t="s">
        <v>813</v>
      </c>
      <c r="E665" s="8" t="s">
        <v>814</v>
      </c>
      <c r="G665" s="10">
        <v>0.5</v>
      </c>
    </row>
    <row r="666" spans="1:8">
      <c r="A666" s="5">
        <v>44770</v>
      </c>
      <c r="B666" s="6">
        <v>51655</v>
      </c>
      <c r="D666" s="7" t="s">
        <v>815</v>
      </c>
      <c r="E666" s="8" t="s">
        <v>816</v>
      </c>
      <c r="G666" s="10">
        <v>0.25</v>
      </c>
    </row>
    <row r="667" spans="1:8">
      <c r="A667" s="5">
        <v>44825</v>
      </c>
      <c r="B667" s="6">
        <v>51655</v>
      </c>
      <c r="D667" s="7" t="s">
        <v>817</v>
      </c>
      <c r="E667" s="8" t="s">
        <v>818</v>
      </c>
      <c r="G667" s="10">
        <v>0.5</v>
      </c>
    </row>
    <row r="668" spans="1:8">
      <c r="A668" s="5">
        <v>44841</v>
      </c>
      <c r="B668" s="6">
        <v>51655</v>
      </c>
      <c r="D668" s="7" t="s">
        <v>819</v>
      </c>
      <c r="E668" s="8" t="s">
        <v>820</v>
      </c>
      <c r="G668" s="10">
        <v>0.5</v>
      </c>
    </row>
    <row r="669" spans="1:8">
      <c r="A669" s="5">
        <v>44230</v>
      </c>
      <c r="B669" s="6">
        <v>51780</v>
      </c>
      <c r="D669" s="7" t="s">
        <v>821</v>
      </c>
      <c r="E669" s="8" t="s">
        <v>822</v>
      </c>
      <c r="G669" s="10">
        <v>0.5</v>
      </c>
    </row>
    <row r="670" spans="1:8" ht="25.5">
      <c r="A670" s="5">
        <v>44231</v>
      </c>
      <c r="B670" s="6">
        <v>51780</v>
      </c>
      <c r="D670" s="7" t="s">
        <v>823</v>
      </c>
      <c r="E670" s="8" t="s">
        <v>824</v>
      </c>
      <c r="G670" s="10">
        <v>2</v>
      </c>
    </row>
    <row r="671" spans="1:8">
      <c r="A671" s="5">
        <v>44240</v>
      </c>
      <c r="B671" s="6">
        <v>51780</v>
      </c>
      <c r="D671" s="7" t="s">
        <v>821</v>
      </c>
      <c r="E671" s="8" t="s">
        <v>825</v>
      </c>
      <c r="G671" s="10">
        <v>0.5</v>
      </c>
    </row>
    <row r="672" spans="1:8" ht="25.5">
      <c r="A672" s="5">
        <v>44246</v>
      </c>
      <c r="B672" s="6">
        <v>51780</v>
      </c>
      <c r="D672" s="7" t="s">
        <v>821</v>
      </c>
      <c r="E672" s="8" t="s">
        <v>826</v>
      </c>
      <c r="G672" s="10">
        <v>0.5</v>
      </c>
    </row>
    <row r="673" spans="1:7">
      <c r="A673" s="5">
        <v>44273</v>
      </c>
      <c r="B673" s="6">
        <v>51780</v>
      </c>
      <c r="D673" s="7" t="s">
        <v>791</v>
      </c>
      <c r="E673" s="8" t="s">
        <v>827</v>
      </c>
      <c r="G673" s="10">
        <v>0.75</v>
      </c>
    </row>
    <row r="674" spans="1:7">
      <c r="A674" s="5">
        <v>44273</v>
      </c>
      <c r="B674" s="6">
        <v>51780</v>
      </c>
      <c r="D674" s="7" t="s">
        <v>791</v>
      </c>
      <c r="E674" s="8" t="s">
        <v>828</v>
      </c>
      <c r="G674" s="10">
        <v>0.5</v>
      </c>
    </row>
    <row r="675" spans="1:7">
      <c r="A675" s="5">
        <v>44273</v>
      </c>
      <c r="B675" s="6">
        <v>51780</v>
      </c>
      <c r="D675" s="7" t="s">
        <v>791</v>
      </c>
      <c r="E675" s="8" t="s">
        <v>829</v>
      </c>
      <c r="G675" s="10">
        <v>0.25</v>
      </c>
    </row>
    <row r="676" spans="1:7">
      <c r="A676" s="5">
        <v>44298</v>
      </c>
      <c r="B676" s="6">
        <v>51780</v>
      </c>
      <c r="D676" s="7" t="s">
        <v>821</v>
      </c>
      <c r="E676" s="8" t="s">
        <v>830</v>
      </c>
      <c r="G676" s="10">
        <v>0.25</v>
      </c>
    </row>
    <row r="677" spans="1:7" ht="25.5">
      <c r="A677" s="5">
        <v>44299</v>
      </c>
      <c r="B677" s="6">
        <v>51780</v>
      </c>
      <c r="D677" s="7" t="s">
        <v>821</v>
      </c>
      <c r="E677" s="8" t="s">
        <v>831</v>
      </c>
      <c r="G677" s="10">
        <v>1.25</v>
      </c>
    </row>
    <row r="678" spans="1:7">
      <c r="A678" s="5">
        <v>44303</v>
      </c>
      <c r="B678" s="6">
        <v>51780</v>
      </c>
      <c r="D678" s="7" t="s">
        <v>823</v>
      </c>
      <c r="E678" s="8" t="s">
        <v>832</v>
      </c>
      <c r="G678" s="10">
        <v>0.5</v>
      </c>
    </row>
    <row r="679" spans="1:7" ht="25.5">
      <c r="A679" s="5">
        <v>44307</v>
      </c>
      <c r="B679" s="6">
        <v>51780</v>
      </c>
      <c r="D679" s="7" t="s">
        <v>833</v>
      </c>
      <c r="E679" s="8" t="s">
        <v>834</v>
      </c>
      <c r="G679" s="10">
        <v>0.25</v>
      </c>
    </row>
    <row r="680" spans="1:7" ht="25.5">
      <c r="A680" s="5">
        <v>44312</v>
      </c>
      <c r="B680" s="6">
        <v>51780</v>
      </c>
      <c r="D680" s="7" t="s">
        <v>823</v>
      </c>
      <c r="E680" s="8" t="s">
        <v>835</v>
      </c>
      <c r="G680" s="10">
        <v>0.75</v>
      </c>
    </row>
    <row r="681" spans="1:7">
      <c r="A681" s="5">
        <v>44356</v>
      </c>
      <c r="B681" s="6">
        <v>51780</v>
      </c>
      <c r="D681" s="7" t="s">
        <v>833</v>
      </c>
      <c r="E681" s="8" t="s">
        <v>836</v>
      </c>
      <c r="G681" s="10">
        <v>0.25</v>
      </c>
    </row>
    <row r="682" spans="1:7">
      <c r="A682" s="5">
        <v>44362</v>
      </c>
      <c r="B682" s="6">
        <v>51780</v>
      </c>
      <c r="D682" s="7" t="s">
        <v>821</v>
      </c>
      <c r="E682" s="8" t="s">
        <v>837</v>
      </c>
      <c r="G682" s="10">
        <v>0.75</v>
      </c>
    </row>
    <row r="683" spans="1:7">
      <c r="A683" s="5">
        <v>44397</v>
      </c>
      <c r="B683" s="6">
        <v>51780</v>
      </c>
      <c r="D683" s="7" t="s">
        <v>821</v>
      </c>
      <c r="E683" s="8" t="s">
        <v>838</v>
      </c>
      <c r="G683" s="10">
        <v>0.25</v>
      </c>
    </row>
    <row r="684" spans="1:7">
      <c r="A684" s="5">
        <v>44413</v>
      </c>
      <c r="B684" s="6">
        <v>51780</v>
      </c>
      <c r="D684" s="7" t="s">
        <v>823</v>
      </c>
      <c r="E684" s="8" t="s">
        <v>839</v>
      </c>
      <c r="G684" s="10">
        <v>0.5</v>
      </c>
    </row>
    <row r="685" spans="1:7">
      <c r="A685" s="5">
        <v>44487</v>
      </c>
      <c r="B685" s="6">
        <v>51780</v>
      </c>
      <c r="D685" s="7" t="s">
        <v>823</v>
      </c>
      <c r="E685" s="8" t="s">
        <v>840</v>
      </c>
      <c r="G685" s="10">
        <v>0.25</v>
      </c>
    </row>
    <row r="686" spans="1:7">
      <c r="A686" s="5">
        <v>45593</v>
      </c>
      <c r="B686" s="6">
        <v>51782</v>
      </c>
      <c r="D686" s="7" t="s">
        <v>841</v>
      </c>
      <c r="E686" s="8" t="s">
        <v>842</v>
      </c>
      <c r="G686" s="10">
        <v>0.5</v>
      </c>
    </row>
    <row r="687" spans="1:7">
      <c r="A687" s="5">
        <v>45609</v>
      </c>
      <c r="B687" s="6">
        <v>51783</v>
      </c>
      <c r="D687" s="7" t="s">
        <v>736</v>
      </c>
      <c r="E687" s="8" t="s">
        <v>843</v>
      </c>
      <c r="G687" s="10">
        <v>0.5</v>
      </c>
    </row>
    <row r="688" spans="1:7">
      <c r="A688" s="5">
        <v>45618</v>
      </c>
      <c r="B688" s="6">
        <v>51783</v>
      </c>
      <c r="D688" s="7" t="s">
        <v>844</v>
      </c>
      <c r="E688" s="8" t="s">
        <v>845</v>
      </c>
      <c r="G688" s="10">
        <v>0.25</v>
      </c>
    </row>
    <row r="689" spans="1:13">
      <c r="A689" s="5">
        <v>45639</v>
      </c>
      <c r="B689" s="6">
        <v>51783</v>
      </c>
      <c r="D689" s="7" t="s">
        <v>844</v>
      </c>
      <c r="E689" s="8" t="s">
        <v>846</v>
      </c>
      <c r="G689" s="10">
        <v>0.25</v>
      </c>
    </row>
    <row r="690" spans="1:13">
      <c r="A690" s="5">
        <v>45666</v>
      </c>
      <c r="B690" s="6">
        <v>51783</v>
      </c>
      <c r="D690" s="7" t="s">
        <v>847</v>
      </c>
      <c r="E690" s="8" t="s">
        <v>848</v>
      </c>
      <c r="G690" s="10">
        <v>0.25</v>
      </c>
    </row>
    <row r="691" spans="1:13" s="19" customFormat="1">
      <c r="A691" s="5">
        <v>45688</v>
      </c>
      <c r="B691" s="6">
        <v>51783</v>
      </c>
      <c r="C691" s="6"/>
      <c r="D691" s="7" t="s">
        <v>844</v>
      </c>
      <c r="E691" s="8" t="s">
        <v>849</v>
      </c>
      <c r="F691" s="9"/>
      <c r="G691" s="10">
        <v>0.25</v>
      </c>
      <c r="I691" s="11"/>
      <c r="J691" s="11"/>
      <c r="K691" s="11"/>
      <c r="L691" s="11"/>
      <c r="M691" s="11"/>
    </row>
    <row r="692" spans="1:13" s="19" customFormat="1">
      <c r="A692" s="5">
        <v>45278</v>
      </c>
      <c r="B692" s="6">
        <v>51804</v>
      </c>
      <c r="C692" s="6"/>
      <c r="D692" s="7" t="s">
        <v>850</v>
      </c>
      <c r="E692" s="8" t="s">
        <v>851</v>
      </c>
      <c r="F692" s="9"/>
      <c r="G692" s="10">
        <v>3.5</v>
      </c>
      <c r="I692" s="11"/>
      <c r="J692" s="11"/>
      <c r="K692" s="11"/>
      <c r="L692" s="11"/>
      <c r="M692" s="11"/>
    </row>
    <row r="693" spans="1:13" s="19" customFormat="1">
      <c r="A693" s="5">
        <v>45279</v>
      </c>
      <c r="B693" s="6">
        <v>51804</v>
      </c>
      <c r="C693" s="6"/>
      <c r="D693" s="7" t="s">
        <v>850</v>
      </c>
      <c r="E693" s="8" t="s">
        <v>852</v>
      </c>
      <c r="F693" s="9"/>
      <c r="G693" s="10">
        <v>1.5</v>
      </c>
      <c r="I693" s="11"/>
      <c r="J693" s="11"/>
      <c r="K693" s="11"/>
      <c r="L693" s="11"/>
      <c r="M693" s="11"/>
    </row>
    <row r="694" spans="1:13" s="19" customFormat="1">
      <c r="A694" s="5">
        <v>45427</v>
      </c>
      <c r="B694" s="6">
        <v>51804</v>
      </c>
      <c r="C694" s="6"/>
      <c r="D694" s="7" t="s">
        <v>748</v>
      </c>
      <c r="E694" s="8" t="s">
        <v>853</v>
      </c>
      <c r="F694" s="9"/>
      <c r="G694" s="10">
        <v>0.5</v>
      </c>
      <c r="I694" s="11"/>
      <c r="J694" s="11"/>
      <c r="K694" s="11"/>
      <c r="L694" s="11"/>
      <c r="M694" s="11"/>
    </row>
    <row r="695" spans="1:13" s="19" customFormat="1" ht="25.5">
      <c r="A695" s="5">
        <v>45713</v>
      </c>
      <c r="B695" s="6">
        <v>51804</v>
      </c>
      <c r="C695" s="6"/>
      <c r="D695" s="7" t="s">
        <v>748</v>
      </c>
      <c r="E695" s="8" t="s">
        <v>854</v>
      </c>
      <c r="F695" s="9"/>
      <c r="G695" s="10">
        <f>16.5-9.5</f>
        <v>7</v>
      </c>
      <c r="H695" s="10"/>
      <c r="I695" s="11"/>
      <c r="J695" s="11"/>
      <c r="K695" s="11"/>
      <c r="L695" s="11"/>
      <c r="M695" s="11"/>
    </row>
    <row r="696" spans="1:13" s="19" customFormat="1">
      <c r="A696" s="5">
        <v>43962</v>
      </c>
      <c r="B696" s="6">
        <v>51816</v>
      </c>
      <c r="C696" s="6"/>
      <c r="D696" s="7" t="s">
        <v>855</v>
      </c>
      <c r="E696" s="8" t="s">
        <v>856</v>
      </c>
      <c r="F696" s="9"/>
      <c r="G696" s="10">
        <v>0.75</v>
      </c>
      <c r="I696" s="11"/>
      <c r="J696" s="11"/>
      <c r="K696" s="11"/>
      <c r="L696" s="11"/>
      <c r="M696" s="11"/>
    </row>
    <row r="697" spans="1:13" s="19" customFormat="1">
      <c r="A697" s="5">
        <v>44453</v>
      </c>
      <c r="B697" s="6">
        <v>51836</v>
      </c>
      <c r="C697" s="6"/>
      <c r="D697" s="7" t="s">
        <v>857</v>
      </c>
      <c r="E697" s="8" t="s">
        <v>858</v>
      </c>
      <c r="F697" s="9"/>
      <c r="G697" s="10">
        <v>0.5</v>
      </c>
      <c r="I697" s="11"/>
      <c r="J697" s="11"/>
      <c r="K697" s="11"/>
      <c r="L697" s="11"/>
      <c r="M697" s="11"/>
    </row>
    <row r="698" spans="1:13" s="19" customFormat="1">
      <c r="A698" s="5">
        <v>44456</v>
      </c>
      <c r="B698" s="6">
        <v>51836</v>
      </c>
      <c r="C698" s="6"/>
      <c r="D698" s="7" t="s">
        <v>857</v>
      </c>
      <c r="E698" s="8" t="s">
        <v>859</v>
      </c>
      <c r="F698" s="9"/>
      <c r="G698" s="10">
        <v>0.25</v>
      </c>
      <c r="I698" s="11"/>
      <c r="J698" s="11"/>
      <c r="K698" s="11"/>
      <c r="L698" s="11"/>
      <c r="M698" s="11"/>
    </row>
    <row r="699" spans="1:13" s="19" customFormat="1">
      <c r="A699" s="5">
        <v>44525</v>
      </c>
      <c r="B699" s="6">
        <v>51836</v>
      </c>
      <c r="C699" s="6"/>
      <c r="D699" s="7" t="s">
        <v>857</v>
      </c>
      <c r="E699" s="8" t="s">
        <v>680</v>
      </c>
      <c r="F699" s="9"/>
      <c r="G699" s="10">
        <v>0.25</v>
      </c>
      <c r="I699" s="11"/>
      <c r="J699" s="11"/>
      <c r="K699" s="11"/>
      <c r="L699" s="11"/>
      <c r="M699" s="11"/>
    </row>
    <row r="700" spans="1:13" s="19" customFormat="1">
      <c r="A700" s="5">
        <v>44886</v>
      </c>
      <c r="B700" s="6">
        <v>51843</v>
      </c>
      <c r="C700" s="6"/>
      <c r="D700" s="7" t="s">
        <v>736</v>
      </c>
      <c r="E700" s="8" t="s">
        <v>860</v>
      </c>
      <c r="F700" s="9"/>
      <c r="G700" s="10">
        <v>0.25</v>
      </c>
      <c r="I700" s="11"/>
      <c r="J700" s="11"/>
    </row>
    <row r="701" spans="1:13" s="19" customFormat="1">
      <c r="A701" s="5">
        <v>44153</v>
      </c>
      <c r="B701" s="6">
        <v>51873</v>
      </c>
      <c r="C701" s="6"/>
      <c r="D701" s="7" t="s">
        <v>861</v>
      </c>
      <c r="E701" s="8" t="s">
        <v>862</v>
      </c>
      <c r="F701" s="9"/>
      <c r="G701" s="10">
        <v>0.25</v>
      </c>
      <c r="I701" s="11"/>
      <c r="J701" s="11"/>
    </row>
    <row r="702" spans="1:13" s="19" customFormat="1">
      <c r="A702" s="5">
        <v>44979</v>
      </c>
      <c r="B702" s="6">
        <v>51873</v>
      </c>
      <c r="C702" s="6"/>
      <c r="D702" s="7" t="s">
        <v>844</v>
      </c>
      <c r="E702" s="8" t="s">
        <v>863</v>
      </c>
      <c r="F702" s="9"/>
      <c r="G702" s="10">
        <v>0.5</v>
      </c>
      <c r="I702" s="11"/>
      <c r="J702" s="11"/>
    </row>
    <row r="703" spans="1:13" s="19" customFormat="1">
      <c r="A703" s="5">
        <v>44263</v>
      </c>
      <c r="B703" s="6">
        <v>51891</v>
      </c>
      <c r="C703" s="6"/>
      <c r="D703" s="7" t="s">
        <v>864</v>
      </c>
      <c r="E703" s="8" t="s">
        <v>865</v>
      </c>
      <c r="F703" s="9"/>
      <c r="G703" s="10">
        <v>0.75</v>
      </c>
      <c r="I703" s="11"/>
      <c r="J703" s="11"/>
    </row>
    <row r="704" spans="1:13" s="19" customFormat="1">
      <c r="A704" s="5">
        <v>44292</v>
      </c>
      <c r="B704" s="6">
        <v>51891</v>
      </c>
      <c r="C704" s="6"/>
      <c r="D704" s="7" t="s">
        <v>866</v>
      </c>
      <c r="E704" s="8" t="s">
        <v>867</v>
      </c>
      <c r="F704" s="9"/>
      <c r="G704" s="10">
        <v>1</v>
      </c>
      <c r="I704" s="11"/>
      <c r="J704" s="11"/>
    </row>
    <row r="705" spans="1:13" s="19" customFormat="1">
      <c r="A705" s="5">
        <v>44341</v>
      </c>
      <c r="B705" s="6">
        <v>51891</v>
      </c>
      <c r="C705" s="6"/>
      <c r="D705" s="7" t="s">
        <v>864</v>
      </c>
      <c r="E705" s="8" t="s">
        <v>868</v>
      </c>
      <c r="F705" s="9"/>
      <c r="G705" s="10">
        <v>0.25</v>
      </c>
      <c r="I705" s="11"/>
      <c r="J705" s="11"/>
    </row>
    <row r="706" spans="1:13" s="19" customFormat="1">
      <c r="A706" s="5">
        <v>45637</v>
      </c>
      <c r="B706" s="6">
        <v>51894</v>
      </c>
      <c r="C706" s="6"/>
      <c r="D706" s="7" t="s">
        <v>869</v>
      </c>
      <c r="E706" s="8" t="s">
        <v>590</v>
      </c>
      <c r="F706" s="9"/>
      <c r="G706" s="10">
        <v>0.5</v>
      </c>
      <c r="I706" s="11"/>
      <c r="J706" s="11"/>
    </row>
    <row r="707" spans="1:13">
      <c r="A707" s="5">
        <v>44326</v>
      </c>
      <c r="B707" s="6">
        <v>51896</v>
      </c>
      <c r="D707" s="7" t="s">
        <v>866</v>
      </c>
      <c r="E707" s="8" t="s">
        <v>870</v>
      </c>
      <c r="G707" s="10">
        <v>0.5</v>
      </c>
      <c r="K707" s="19"/>
      <c r="L707" s="19"/>
      <c r="M707" s="19"/>
    </row>
    <row r="708" spans="1:13">
      <c r="A708" s="5">
        <v>44160</v>
      </c>
      <c r="B708" s="6">
        <v>51912</v>
      </c>
      <c r="D708" s="7" t="s">
        <v>871</v>
      </c>
      <c r="E708" s="8" t="s">
        <v>872</v>
      </c>
      <c r="G708" s="10">
        <v>0.75</v>
      </c>
      <c r="K708" s="19"/>
      <c r="L708" s="19"/>
      <c r="M708" s="19"/>
    </row>
    <row r="709" spans="1:13">
      <c r="A709" s="5">
        <v>44180</v>
      </c>
      <c r="B709" s="6">
        <v>51912</v>
      </c>
      <c r="D709" s="7" t="s">
        <v>873</v>
      </c>
      <c r="E709" s="8" t="s">
        <v>874</v>
      </c>
      <c r="G709" s="10">
        <v>1.5</v>
      </c>
      <c r="K709" s="19"/>
      <c r="L709" s="19"/>
      <c r="M709" s="19"/>
    </row>
    <row r="710" spans="1:13">
      <c r="A710" s="5">
        <v>44181</v>
      </c>
      <c r="B710" s="6">
        <v>51912</v>
      </c>
      <c r="D710" s="7" t="s">
        <v>873</v>
      </c>
      <c r="E710" s="8" t="s">
        <v>875</v>
      </c>
      <c r="G710" s="10">
        <v>0.75</v>
      </c>
      <c r="K710" s="19"/>
      <c r="L710" s="19"/>
      <c r="M710" s="19"/>
    </row>
    <row r="711" spans="1:13">
      <c r="A711" s="5">
        <v>44209</v>
      </c>
      <c r="B711" s="6">
        <v>51912</v>
      </c>
      <c r="D711" s="7" t="s">
        <v>873</v>
      </c>
      <c r="E711" s="8" t="s">
        <v>876</v>
      </c>
      <c r="G711" s="10">
        <v>0.25</v>
      </c>
      <c r="K711" s="19"/>
      <c r="L711" s="19"/>
      <c r="M711" s="19"/>
    </row>
    <row r="712" spans="1:13">
      <c r="A712" s="5">
        <v>44369</v>
      </c>
      <c r="B712" s="6">
        <v>51912</v>
      </c>
      <c r="D712" s="7" t="s">
        <v>873</v>
      </c>
      <c r="E712" s="8" t="s">
        <v>877</v>
      </c>
      <c r="G712" s="10">
        <v>0.5</v>
      </c>
      <c r="K712" s="19"/>
      <c r="L712" s="19"/>
      <c r="M712" s="19"/>
    </row>
    <row r="713" spans="1:13">
      <c r="A713" s="5">
        <v>44397</v>
      </c>
      <c r="B713" s="6">
        <v>51912</v>
      </c>
      <c r="D713" s="7" t="s">
        <v>873</v>
      </c>
      <c r="E713" s="8" t="s">
        <v>878</v>
      </c>
      <c r="G713" s="10">
        <v>0.25</v>
      </c>
      <c r="K713" s="19"/>
      <c r="L713" s="19"/>
      <c r="M713" s="19"/>
    </row>
    <row r="714" spans="1:13">
      <c r="A714" s="5">
        <v>44431</v>
      </c>
      <c r="B714" s="6">
        <v>51912</v>
      </c>
      <c r="D714" s="7" t="s">
        <v>873</v>
      </c>
      <c r="E714" s="8" t="s">
        <v>705</v>
      </c>
      <c r="G714" s="10">
        <v>0.5</v>
      </c>
      <c r="K714" s="19"/>
      <c r="L714" s="19"/>
      <c r="M714" s="19"/>
    </row>
    <row r="715" spans="1:13">
      <c r="A715" s="5">
        <v>44462</v>
      </c>
      <c r="B715" s="6">
        <v>51912</v>
      </c>
      <c r="D715" s="7" t="s">
        <v>871</v>
      </c>
      <c r="E715" s="8" t="s">
        <v>879</v>
      </c>
      <c r="G715" s="10">
        <v>0.5</v>
      </c>
      <c r="K715" s="19"/>
      <c r="L715" s="19"/>
      <c r="M715" s="19"/>
    </row>
    <row r="716" spans="1:13">
      <c r="A716" s="5">
        <v>44630</v>
      </c>
      <c r="B716" s="6">
        <v>51912</v>
      </c>
      <c r="D716" s="7" t="s">
        <v>873</v>
      </c>
      <c r="E716" s="8" t="s">
        <v>880</v>
      </c>
      <c r="G716" s="10">
        <v>0.25</v>
      </c>
    </row>
    <row r="717" spans="1:13">
      <c r="A717" s="5">
        <v>44694</v>
      </c>
      <c r="B717" s="6">
        <v>51916</v>
      </c>
      <c r="D717" s="7" t="s">
        <v>881</v>
      </c>
      <c r="E717" s="8" t="s">
        <v>882</v>
      </c>
      <c r="G717" s="10">
        <v>0.25</v>
      </c>
    </row>
    <row r="718" spans="1:13">
      <c r="A718" s="5">
        <v>44774</v>
      </c>
      <c r="B718" s="6">
        <v>51916</v>
      </c>
      <c r="D718" s="7" t="s">
        <v>881</v>
      </c>
      <c r="E718" s="8" t="s">
        <v>705</v>
      </c>
      <c r="G718" s="10">
        <v>0.5</v>
      </c>
    </row>
    <row r="719" spans="1:13" ht="25.5">
      <c r="A719" s="5">
        <v>45551</v>
      </c>
      <c r="B719" s="6">
        <v>52007</v>
      </c>
      <c r="D719" s="7" t="s">
        <v>883</v>
      </c>
      <c r="E719" s="8" t="s">
        <v>884</v>
      </c>
      <c r="G719" s="10">
        <v>0.5</v>
      </c>
    </row>
    <row r="720" spans="1:13">
      <c r="A720" s="5">
        <v>45260</v>
      </c>
      <c r="B720" s="6">
        <v>52022</v>
      </c>
      <c r="D720" s="7" t="s">
        <v>885</v>
      </c>
      <c r="E720" s="8" t="s">
        <v>886</v>
      </c>
      <c r="G720" s="10">
        <v>0.25</v>
      </c>
    </row>
    <row r="721" spans="1:7">
      <c r="A721" s="5">
        <v>45454</v>
      </c>
      <c r="B721" s="6">
        <v>52022</v>
      </c>
      <c r="D721" s="7" t="s">
        <v>885</v>
      </c>
      <c r="E721" s="8" t="s">
        <v>887</v>
      </c>
      <c r="G721" s="10">
        <v>0.75</v>
      </c>
    </row>
    <row r="722" spans="1:7">
      <c r="A722" s="5">
        <v>45384</v>
      </c>
      <c r="B722" s="6">
        <v>52083</v>
      </c>
      <c r="D722" s="7" t="s">
        <v>888</v>
      </c>
      <c r="E722" s="8" t="s">
        <v>889</v>
      </c>
      <c r="G722" s="10">
        <v>0.25</v>
      </c>
    </row>
    <row r="723" spans="1:7">
      <c r="A723" s="5">
        <v>45334</v>
      </c>
      <c r="B723" s="6">
        <v>52130</v>
      </c>
      <c r="D723" s="7" t="s">
        <v>762</v>
      </c>
      <c r="E723" s="8" t="s">
        <v>890</v>
      </c>
      <c r="G723" s="10">
        <v>0.25</v>
      </c>
    </row>
    <row r="724" spans="1:7">
      <c r="A724" s="5">
        <v>45342</v>
      </c>
      <c r="B724" s="6">
        <v>52130</v>
      </c>
      <c r="D724" s="7" t="s">
        <v>762</v>
      </c>
      <c r="E724" s="8" t="s">
        <v>891</v>
      </c>
      <c r="G724" s="10">
        <v>0.5</v>
      </c>
    </row>
    <row r="725" spans="1:7">
      <c r="A725" s="5">
        <v>45544</v>
      </c>
      <c r="B725" s="6">
        <v>52130</v>
      </c>
      <c r="D725" s="7" t="s">
        <v>892</v>
      </c>
      <c r="E725" s="8" t="s">
        <v>893</v>
      </c>
      <c r="G725" s="10">
        <v>0.5</v>
      </c>
    </row>
    <row r="726" spans="1:7">
      <c r="A726" s="5">
        <v>45548</v>
      </c>
      <c r="B726" s="6">
        <v>52216</v>
      </c>
      <c r="D726" s="7" t="s">
        <v>894</v>
      </c>
      <c r="E726" s="8" t="s">
        <v>895</v>
      </c>
      <c r="F726" s="9">
        <f>1200-544.5</f>
        <v>655.5</v>
      </c>
    </row>
    <row r="727" spans="1:7" ht="25.5">
      <c r="A727" s="5">
        <v>45548</v>
      </c>
      <c r="B727" s="6">
        <v>52216</v>
      </c>
      <c r="D727" s="7" t="s">
        <v>894</v>
      </c>
      <c r="E727" s="8" t="s">
        <v>896</v>
      </c>
      <c r="G727" s="10">
        <v>3</v>
      </c>
    </row>
    <row r="728" spans="1:7">
      <c r="A728" s="5">
        <v>45551</v>
      </c>
      <c r="B728" s="6">
        <v>52216</v>
      </c>
      <c r="D728" s="7" t="s">
        <v>894</v>
      </c>
      <c r="E728" s="8" t="s">
        <v>897</v>
      </c>
      <c r="G728" s="10">
        <v>0.25</v>
      </c>
    </row>
    <row r="729" spans="1:7">
      <c r="A729" s="5">
        <v>45607</v>
      </c>
      <c r="B729" s="6">
        <v>52216</v>
      </c>
      <c r="D729" s="7" t="s">
        <v>894</v>
      </c>
      <c r="E729" s="8" t="s">
        <v>898</v>
      </c>
      <c r="G729" s="10">
        <v>1.5</v>
      </c>
    </row>
    <row r="730" spans="1:7">
      <c r="A730" s="5">
        <v>45621</v>
      </c>
      <c r="B730" s="6">
        <v>52216</v>
      </c>
      <c r="D730" s="7" t="s">
        <v>894</v>
      </c>
      <c r="E730" s="8" t="s">
        <v>899</v>
      </c>
      <c r="G730" s="10">
        <v>0.5</v>
      </c>
    </row>
    <row r="731" spans="1:7" ht="25.5">
      <c r="A731" s="5">
        <v>45673</v>
      </c>
      <c r="B731" s="6">
        <v>52216</v>
      </c>
      <c r="D731" s="7" t="s">
        <v>894</v>
      </c>
      <c r="E731" s="8" t="s">
        <v>900</v>
      </c>
      <c r="G731" s="10">
        <v>0.5</v>
      </c>
    </row>
    <row r="732" spans="1:7">
      <c r="A732" s="5">
        <v>45398</v>
      </c>
      <c r="B732" s="6">
        <v>52236</v>
      </c>
      <c r="D732" s="7" t="s">
        <v>901</v>
      </c>
      <c r="E732" s="8" t="s">
        <v>902</v>
      </c>
      <c r="G732" s="10">
        <v>1.25</v>
      </c>
    </row>
    <row r="733" spans="1:7">
      <c r="A733" s="5">
        <v>45398</v>
      </c>
      <c r="B733" s="6">
        <v>52236</v>
      </c>
      <c r="D733" s="7" t="s">
        <v>901</v>
      </c>
      <c r="E733" s="8" t="s">
        <v>903</v>
      </c>
      <c r="G733" s="10">
        <v>0.5</v>
      </c>
    </row>
    <row r="734" spans="1:7">
      <c r="A734" s="5">
        <v>45420</v>
      </c>
      <c r="B734" s="6">
        <v>52236</v>
      </c>
      <c r="D734" s="7" t="s">
        <v>901</v>
      </c>
      <c r="E734" s="8" t="s">
        <v>904</v>
      </c>
      <c r="G734" s="10">
        <v>1.25</v>
      </c>
    </row>
    <row r="735" spans="1:7">
      <c r="A735" s="5">
        <v>45565</v>
      </c>
      <c r="B735" s="6">
        <v>52236</v>
      </c>
      <c r="D735" s="7" t="s">
        <v>901</v>
      </c>
      <c r="E735" s="8" t="s">
        <v>101</v>
      </c>
      <c r="G735" s="10">
        <v>0.5</v>
      </c>
    </row>
    <row r="736" spans="1:7">
      <c r="A736" s="5">
        <v>45570</v>
      </c>
      <c r="B736" s="6">
        <v>52236</v>
      </c>
      <c r="D736" s="7" t="s">
        <v>901</v>
      </c>
      <c r="E736" s="8" t="s">
        <v>905</v>
      </c>
      <c r="G736" s="10">
        <v>0.5</v>
      </c>
    </row>
    <row r="737" spans="1:13">
      <c r="A737" s="5">
        <v>45589</v>
      </c>
      <c r="B737" s="6">
        <v>52236</v>
      </c>
      <c r="D737" s="7" t="s">
        <v>901</v>
      </c>
      <c r="E737" s="8" t="s">
        <v>906</v>
      </c>
      <c r="G737" s="10">
        <v>0.75</v>
      </c>
    </row>
    <row r="738" spans="1:13">
      <c r="A738" s="5">
        <v>45691</v>
      </c>
      <c r="B738" s="6">
        <v>52236</v>
      </c>
      <c r="D738" s="7" t="s">
        <v>901</v>
      </c>
      <c r="E738" s="8" t="s">
        <v>907</v>
      </c>
      <c r="G738" s="10">
        <v>0.25</v>
      </c>
    </row>
    <row r="739" spans="1:13" s="19" customFormat="1">
      <c r="A739" s="5">
        <v>44356</v>
      </c>
      <c r="B739" s="6">
        <v>60001</v>
      </c>
      <c r="C739" s="6"/>
      <c r="D739" s="7" t="s">
        <v>908</v>
      </c>
      <c r="E739" s="8" t="s">
        <v>909</v>
      </c>
      <c r="F739" s="9"/>
      <c r="G739" s="10">
        <v>0.25</v>
      </c>
      <c r="I739" s="11"/>
      <c r="J739" s="11"/>
      <c r="K739" s="11"/>
      <c r="L739" s="11"/>
      <c r="M739" s="11"/>
    </row>
    <row r="740" spans="1:13" s="19" customFormat="1">
      <c r="A740" s="5">
        <v>43900</v>
      </c>
      <c r="B740" s="6">
        <v>60002</v>
      </c>
      <c r="C740" s="6"/>
      <c r="D740" s="7" t="s">
        <v>908</v>
      </c>
      <c r="E740" s="8" t="s">
        <v>910</v>
      </c>
      <c r="F740" s="9"/>
      <c r="G740" s="10">
        <v>0.75</v>
      </c>
      <c r="I740" s="11"/>
      <c r="J740" s="11"/>
      <c r="K740" s="11"/>
      <c r="L740" s="11"/>
      <c r="M740" s="11"/>
    </row>
    <row r="741" spans="1:13" s="19" customFormat="1" ht="25.5">
      <c r="A741" s="5">
        <v>43967</v>
      </c>
      <c r="B741" s="6">
        <v>60002</v>
      </c>
      <c r="C741" s="6"/>
      <c r="D741" s="7" t="s">
        <v>908</v>
      </c>
      <c r="E741" s="8" t="s">
        <v>911</v>
      </c>
      <c r="F741" s="9"/>
      <c r="G741" s="10">
        <v>3.5</v>
      </c>
      <c r="K741" s="11"/>
      <c r="L741" s="11"/>
      <c r="M741" s="11"/>
    </row>
    <row r="742" spans="1:13" s="19" customFormat="1">
      <c r="A742" s="5">
        <v>43994</v>
      </c>
      <c r="B742" s="6">
        <v>60002</v>
      </c>
      <c r="C742" s="6"/>
      <c r="D742" s="7" t="s">
        <v>908</v>
      </c>
      <c r="E742" s="8" t="s">
        <v>912</v>
      </c>
      <c r="F742" s="9"/>
      <c r="G742" s="10">
        <v>0.5</v>
      </c>
      <c r="K742" s="11"/>
      <c r="L742" s="11"/>
      <c r="M742" s="11"/>
    </row>
    <row r="743" spans="1:13" s="19" customFormat="1">
      <c r="A743" s="5">
        <v>43997</v>
      </c>
      <c r="B743" s="6">
        <v>60002</v>
      </c>
      <c r="C743" s="6"/>
      <c r="D743" s="7" t="s">
        <v>908</v>
      </c>
      <c r="E743" s="8" t="s">
        <v>913</v>
      </c>
      <c r="F743" s="9"/>
      <c r="G743" s="10">
        <v>0.75</v>
      </c>
      <c r="K743" s="11"/>
      <c r="L743" s="11"/>
      <c r="M743" s="11"/>
    </row>
    <row r="744" spans="1:13" s="19" customFormat="1">
      <c r="A744" s="5">
        <v>44006</v>
      </c>
      <c r="B744" s="6">
        <v>60002</v>
      </c>
      <c r="C744" s="6"/>
      <c r="D744" s="7" t="s">
        <v>908</v>
      </c>
      <c r="E744" s="8" t="s">
        <v>914</v>
      </c>
      <c r="F744" s="9"/>
      <c r="G744" s="10">
        <v>0.5</v>
      </c>
      <c r="K744" s="11"/>
      <c r="L744" s="11"/>
      <c r="M744" s="11"/>
    </row>
    <row r="745" spans="1:13" s="19" customFormat="1">
      <c r="A745" s="5">
        <v>44480</v>
      </c>
      <c r="B745" s="6">
        <v>60002</v>
      </c>
      <c r="C745" s="6"/>
      <c r="D745" s="7" t="s">
        <v>908</v>
      </c>
      <c r="E745" s="8" t="s">
        <v>915</v>
      </c>
      <c r="F745" s="9"/>
      <c r="G745" s="10">
        <v>0.25</v>
      </c>
      <c r="K745" s="11"/>
      <c r="L745" s="11"/>
      <c r="M745" s="11"/>
    </row>
    <row r="746" spans="1:13" s="19" customFormat="1">
      <c r="A746" s="5">
        <v>44719</v>
      </c>
      <c r="B746" s="6">
        <v>60002</v>
      </c>
      <c r="C746" s="6"/>
      <c r="D746" s="7" t="s">
        <v>908</v>
      </c>
      <c r="E746" s="8" t="s">
        <v>916</v>
      </c>
      <c r="F746" s="9"/>
      <c r="G746" s="10">
        <v>0.25</v>
      </c>
      <c r="K746" s="11"/>
      <c r="L746" s="11"/>
      <c r="M746" s="11"/>
    </row>
    <row r="747" spans="1:13" s="19" customFormat="1">
      <c r="A747" s="5">
        <v>44722</v>
      </c>
      <c r="B747" s="6">
        <v>60002</v>
      </c>
      <c r="C747" s="6"/>
      <c r="D747" s="7" t="s">
        <v>908</v>
      </c>
      <c r="E747" s="8" t="s">
        <v>917</v>
      </c>
      <c r="F747" s="9"/>
      <c r="G747" s="10">
        <v>1.5</v>
      </c>
      <c r="K747" s="11"/>
      <c r="L747" s="11"/>
      <c r="M747" s="11"/>
    </row>
    <row r="748" spans="1:13" s="19" customFormat="1">
      <c r="A748" s="5">
        <v>45063</v>
      </c>
      <c r="B748" s="6">
        <v>60002</v>
      </c>
      <c r="C748" s="6"/>
      <c r="D748" s="7" t="s">
        <v>908</v>
      </c>
      <c r="E748" s="8" t="s">
        <v>918</v>
      </c>
      <c r="F748" s="9"/>
      <c r="G748" s="10">
        <v>0.5</v>
      </c>
    </row>
    <row r="749" spans="1:13" s="19" customFormat="1" ht="25.5">
      <c r="A749" s="5">
        <v>45222</v>
      </c>
      <c r="B749" s="6">
        <v>60002</v>
      </c>
      <c r="C749" s="6"/>
      <c r="D749" s="7" t="s">
        <v>908</v>
      </c>
      <c r="E749" s="8" t="s">
        <v>919</v>
      </c>
      <c r="F749" s="9"/>
      <c r="G749" s="10">
        <v>0.5</v>
      </c>
    </row>
    <row r="750" spans="1:13" s="19" customFormat="1">
      <c r="A750" s="5">
        <v>45274</v>
      </c>
      <c r="B750" s="6">
        <v>60002</v>
      </c>
      <c r="C750" s="6"/>
      <c r="D750" s="7" t="s">
        <v>908</v>
      </c>
      <c r="E750" s="8" t="s">
        <v>920</v>
      </c>
      <c r="F750" s="9"/>
      <c r="G750" s="10">
        <v>0.75</v>
      </c>
    </row>
    <row r="751" spans="1:13" s="19" customFormat="1">
      <c r="A751" s="5">
        <v>45322</v>
      </c>
      <c r="B751" s="6">
        <v>60002</v>
      </c>
      <c r="C751" s="6"/>
      <c r="D751" s="7" t="s">
        <v>908</v>
      </c>
      <c r="E751" s="8" t="s">
        <v>921</v>
      </c>
      <c r="F751" s="9"/>
      <c r="G751" s="10">
        <v>0.25</v>
      </c>
    </row>
    <row r="752" spans="1:13" s="19" customFormat="1">
      <c r="A752" s="5">
        <v>45419</v>
      </c>
      <c r="B752" s="6">
        <v>60002</v>
      </c>
      <c r="C752" s="6"/>
      <c r="D752" s="7" t="s">
        <v>908</v>
      </c>
      <c r="E752" s="8" t="s">
        <v>922</v>
      </c>
      <c r="F752" s="9"/>
      <c r="G752" s="10">
        <v>0.25</v>
      </c>
    </row>
    <row r="753" spans="1:13">
      <c r="A753" s="5">
        <v>45673</v>
      </c>
      <c r="B753" s="6">
        <v>60007</v>
      </c>
      <c r="D753" s="7" t="s">
        <v>923</v>
      </c>
      <c r="E753" s="8" t="s">
        <v>924</v>
      </c>
      <c r="G753" s="10">
        <v>1.5</v>
      </c>
      <c r="I753" s="19"/>
      <c r="J753" s="19"/>
      <c r="K753" s="19"/>
      <c r="L753" s="19"/>
      <c r="M753" s="19"/>
    </row>
    <row r="754" spans="1:13" s="19" customFormat="1">
      <c r="A754" s="5">
        <v>44992</v>
      </c>
      <c r="B754" s="6">
        <v>60011</v>
      </c>
      <c r="C754" s="6"/>
      <c r="D754" s="7" t="s">
        <v>925</v>
      </c>
      <c r="E754" s="8" t="s">
        <v>342</v>
      </c>
      <c r="F754" s="9">
        <f>3530-1124.45</f>
        <v>2405.5500000000002</v>
      </c>
      <c r="G754" s="10">
        <f>+F754/100</f>
        <v>24.055500000000002</v>
      </c>
    </row>
    <row r="755" spans="1:13" s="19" customFormat="1">
      <c r="A755" s="5">
        <v>45100</v>
      </c>
      <c r="B755" s="6">
        <v>60011</v>
      </c>
      <c r="C755" s="6"/>
      <c r="D755" s="7" t="s">
        <v>926</v>
      </c>
      <c r="E755" s="8" t="s">
        <v>927</v>
      </c>
      <c r="F755" s="9"/>
      <c r="G755" s="10">
        <v>0.25</v>
      </c>
    </row>
    <row r="756" spans="1:13">
      <c r="A756" s="5">
        <v>45121</v>
      </c>
      <c r="B756" s="6">
        <v>60011</v>
      </c>
      <c r="D756" s="7" t="s">
        <v>928</v>
      </c>
      <c r="E756" s="8" t="s">
        <v>820</v>
      </c>
      <c r="G756" s="10">
        <v>0.5</v>
      </c>
      <c r="I756" s="19"/>
      <c r="J756" s="19"/>
      <c r="K756" s="19"/>
      <c r="L756" s="19"/>
      <c r="M756" s="19"/>
    </row>
    <row r="757" spans="1:13">
      <c r="A757" s="5">
        <v>45203</v>
      </c>
      <c r="B757" s="6">
        <v>60011</v>
      </c>
      <c r="D757" s="7" t="s">
        <v>925</v>
      </c>
      <c r="E757" s="8" t="s">
        <v>929</v>
      </c>
      <c r="G757" s="10">
        <v>0.25</v>
      </c>
      <c r="K757" s="19"/>
      <c r="L757" s="19"/>
      <c r="M757" s="19"/>
    </row>
    <row r="758" spans="1:13">
      <c r="A758" s="5">
        <v>45306</v>
      </c>
      <c r="B758" s="6">
        <v>60011</v>
      </c>
      <c r="D758" s="7" t="s">
        <v>928</v>
      </c>
      <c r="E758" s="8" t="s">
        <v>930</v>
      </c>
      <c r="G758" s="10">
        <v>0.25</v>
      </c>
      <c r="K758" s="19"/>
      <c r="L758" s="19"/>
      <c r="M758" s="19"/>
    </row>
    <row r="759" spans="1:13">
      <c r="A759" s="5">
        <v>45377</v>
      </c>
      <c r="B759" s="6">
        <v>60011</v>
      </c>
      <c r="D759" s="7" t="s">
        <v>928</v>
      </c>
      <c r="E759" s="8" t="s">
        <v>931</v>
      </c>
      <c r="G759" s="10">
        <v>0.25</v>
      </c>
      <c r="K759" s="19"/>
      <c r="L759" s="19"/>
      <c r="M759" s="19"/>
    </row>
    <row r="760" spans="1:13">
      <c r="A760" s="5">
        <v>45386</v>
      </c>
      <c r="B760" s="6">
        <v>60011</v>
      </c>
      <c r="D760" s="7" t="s">
        <v>928</v>
      </c>
      <c r="E760" s="8" t="s">
        <v>932</v>
      </c>
      <c r="G760" s="10">
        <v>0.75</v>
      </c>
      <c r="K760" s="19"/>
      <c r="L760" s="19"/>
      <c r="M760" s="19"/>
    </row>
    <row r="761" spans="1:13" ht="25.5">
      <c r="A761" s="5">
        <v>45313</v>
      </c>
      <c r="B761" s="6">
        <v>60016</v>
      </c>
      <c r="D761" s="7" t="s">
        <v>933</v>
      </c>
      <c r="E761" s="8" t="s">
        <v>934</v>
      </c>
      <c r="G761" s="10">
        <v>1.5</v>
      </c>
      <c r="K761" s="19"/>
      <c r="L761" s="19"/>
      <c r="M761" s="19"/>
    </row>
    <row r="762" spans="1:13">
      <c r="A762" s="5">
        <v>45393</v>
      </c>
      <c r="B762" s="6">
        <v>60016</v>
      </c>
      <c r="D762" s="7" t="s">
        <v>933</v>
      </c>
      <c r="E762" s="8" t="s">
        <v>935</v>
      </c>
      <c r="G762" s="10">
        <v>0.25</v>
      </c>
    </row>
    <row r="763" spans="1:13">
      <c r="A763" s="5">
        <v>45397</v>
      </c>
      <c r="B763" s="6">
        <v>60016</v>
      </c>
      <c r="D763" s="7" t="s">
        <v>933</v>
      </c>
      <c r="E763" s="8" t="s">
        <v>936</v>
      </c>
      <c r="G763" s="10">
        <v>0.75</v>
      </c>
      <c r="K763" s="19"/>
      <c r="L763" s="19"/>
      <c r="M763" s="19"/>
    </row>
    <row r="764" spans="1:13">
      <c r="A764" s="5">
        <v>45435</v>
      </c>
      <c r="B764" s="6">
        <v>60016</v>
      </c>
      <c r="D764" s="7" t="s">
        <v>933</v>
      </c>
      <c r="E764" s="8" t="s">
        <v>937</v>
      </c>
      <c r="G764" s="10">
        <v>0.5</v>
      </c>
      <c r="K764" s="19"/>
      <c r="L764" s="19"/>
      <c r="M764" s="19"/>
    </row>
    <row r="765" spans="1:13" ht="25.5">
      <c r="A765" s="5">
        <v>45671</v>
      </c>
      <c r="B765" s="6">
        <v>60016</v>
      </c>
      <c r="D765" s="7" t="s">
        <v>933</v>
      </c>
      <c r="E765" s="8" t="s">
        <v>938</v>
      </c>
      <c r="G765" s="10">
        <v>0.5</v>
      </c>
    </row>
    <row r="766" spans="1:13">
      <c r="A766" s="5">
        <v>44061</v>
      </c>
      <c r="B766" s="6">
        <v>60021</v>
      </c>
      <c r="D766" s="7" t="s">
        <v>939</v>
      </c>
      <c r="E766" s="8" t="s">
        <v>940</v>
      </c>
      <c r="G766" s="10">
        <v>1.25</v>
      </c>
    </row>
    <row r="767" spans="1:13">
      <c r="A767" s="5">
        <v>44063</v>
      </c>
      <c r="B767" s="6">
        <v>60021</v>
      </c>
      <c r="D767" s="7" t="s">
        <v>939</v>
      </c>
      <c r="E767" s="8" t="s">
        <v>941</v>
      </c>
      <c r="G767" s="10">
        <v>0.75</v>
      </c>
    </row>
    <row r="768" spans="1:13">
      <c r="A768" s="5">
        <v>44073</v>
      </c>
      <c r="B768" s="6">
        <v>60021</v>
      </c>
      <c r="D768" s="7" t="s">
        <v>939</v>
      </c>
      <c r="E768" s="8" t="s">
        <v>942</v>
      </c>
      <c r="G768" s="10">
        <v>0.25</v>
      </c>
    </row>
    <row r="769" spans="1:7" ht="25.5">
      <c r="A769" s="5">
        <v>44075</v>
      </c>
      <c r="B769" s="6">
        <v>60021</v>
      </c>
      <c r="D769" s="7" t="s">
        <v>939</v>
      </c>
      <c r="E769" s="8" t="s">
        <v>943</v>
      </c>
      <c r="G769" s="10">
        <v>1.75</v>
      </c>
    </row>
    <row r="770" spans="1:7">
      <c r="A770" s="5">
        <v>44076</v>
      </c>
      <c r="B770" s="6">
        <v>60021</v>
      </c>
      <c r="D770" s="7" t="s">
        <v>939</v>
      </c>
      <c r="E770" s="8" t="s">
        <v>944</v>
      </c>
      <c r="G770" s="10">
        <v>0.25</v>
      </c>
    </row>
    <row r="771" spans="1:7">
      <c r="A771" s="5">
        <v>44091</v>
      </c>
      <c r="B771" s="6">
        <v>60021</v>
      </c>
      <c r="D771" s="7" t="s">
        <v>939</v>
      </c>
      <c r="E771" s="8" t="s">
        <v>945</v>
      </c>
      <c r="G771" s="10">
        <v>0.5</v>
      </c>
    </row>
    <row r="772" spans="1:7">
      <c r="A772" s="5">
        <v>44091</v>
      </c>
      <c r="B772" s="6">
        <v>60021</v>
      </c>
      <c r="D772" s="7" t="s">
        <v>939</v>
      </c>
      <c r="E772" s="8" t="s">
        <v>946</v>
      </c>
      <c r="G772" s="10">
        <v>1.5</v>
      </c>
    </row>
    <row r="773" spans="1:7" ht="25.5">
      <c r="A773" s="5">
        <v>44099</v>
      </c>
      <c r="B773" s="6">
        <v>60021</v>
      </c>
      <c r="D773" s="7" t="s">
        <v>939</v>
      </c>
      <c r="E773" s="8" t="s">
        <v>947</v>
      </c>
      <c r="G773" s="10">
        <v>1.75</v>
      </c>
    </row>
    <row r="774" spans="1:7">
      <c r="A774" s="5">
        <v>44102</v>
      </c>
      <c r="B774" s="6">
        <v>60021</v>
      </c>
      <c r="D774" s="7" t="s">
        <v>939</v>
      </c>
      <c r="E774" s="8" t="s">
        <v>948</v>
      </c>
      <c r="G774" s="10">
        <v>0.5</v>
      </c>
    </row>
    <row r="775" spans="1:7" ht="25.5">
      <c r="A775" s="5">
        <v>44139</v>
      </c>
      <c r="B775" s="6">
        <v>60021</v>
      </c>
      <c r="D775" s="7" t="s">
        <v>939</v>
      </c>
      <c r="E775" s="8" t="s">
        <v>949</v>
      </c>
      <c r="G775" s="10">
        <v>1.5</v>
      </c>
    </row>
    <row r="776" spans="1:7">
      <c r="A776" s="5">
        <v>44141</v>
      </c>
      <c r="B776" s="6">
        <v>60021</v>
      </c>
      <c r="D776" s="7" t="s">
        <v>939</v>
      </c>
      <c r="E776" s="8" t="s">
        <v>950</v>
      </c>
      <c r="G776" s="10">
        <v>0.25</v>
      </c>
    </row>
    <row r="777" spans="1:7" ht="25.5">
      <c r="A777" s="5">
        <v>44154</v>
      </c>
      <c r="B777" s="6">
        <v>60021</v>
      </c>
      <c r="D777" s="7" t="s">
        <v>939</v>
      </c>
      <c r="E777" s="8" t="s">
        <v>951</v>
      </c>
      <c r="G777" s="10">
        <v>1.25</v>
      </c>
    </row>
    <row r="778" spans="1:7">
      <c r="A778" s="5">
        <v>44154</v>
      </c>
      <c r="B778" s="6">
        <v>60021</v>
      </c>
      <c r="D778" s="7" t="s">
        <v>939</v>
      </c>
      <c r="E778" s="8" t="s">
        <v>952</v>
      </c>
      <c r="G778" s="10">
        <v>0.5</v>
      </c>
    </row>
    <row r="779" spans="1:7">
      <c r="A779" s="5">
        <v>44176</v>
      </c>
      <c r="B779" s="6">
        <v>60021</v>
      </c>
      <c r="D779" s="6" t="s">
        <v>939</v>
      </c>
      <c r="E779" s="8" t="s">
        <v>953</v>
      </c>
      <c r="G779" s="10">
        <v>0.5</v>
      </c>
    </row>
    <row r="780" spans="1:7">
      <c r="A780" s="5">
        <v>44179</v>
      </c>
      <c r="B780" s="6">
        <v>60021</v>
      </c>
      <c r="D780" s="7" t="s">
        <v>939</v>
      </c>
      <c r="E780" s="8" t="s">
        <v>954</v>
      </c>
      <c r="G780" s="10">
        <v>0.5</v>
      </c>
    </row>
    <row r="781" spans="1:7">
      <c r="A781" s="5">
        <v>44180</v>
      </c>
      <c r="B781" s="6">
        <v>60021</v>
      </c>
      <c r="D781" s="7" t="s">
        <v>939</v>
      </c>
      <c r="E781" s="8" t="s">
        <v>955</v>
      </c>
      <c r="G781" s="10">
        <v>0.5</v>
      </c>
    </row>
    <row r="782" spans="1:7">
      <c r="A782" s="5">
        <v>44210</v>
      </c>
      <c r="B782" s="6">
        <v>60021</v>
      </c>
      <c r="D782" s="7" t="s">
        <v>939</v>
      </c>
      <c r="E782" s="8" t="s">
        <v>956</v>
      </c>
      <c r="G782" s="10">
        <v>0.25</v>
      </c>
    </row>
    <row r="783" spans="1:7">
      <c r="A783" s="5">
        <v>45310</v>
      </c>
      <c r="B783" s="6">
        <v>60039</v>
      </c>
      <c r="D783" s="7" t="s">
        <v>957</v>
      </c>
      <c r="E783" s="8" t="s">
        <v>958</v>
      </c>
      <c r="G783" s="10">
        <v>0.75</v>
      </c>
    </row>
    <row r="784" spans="1:7">
      <c r="A784" s="5">
        <v>45337</v>
      </c>
      <c r="B784" s="6">
        <v>60039</v>
      </c>
      <c r="D784" s="7" t="s">
        <v>957</v>
      </c>
      <c r="E784" s="8" t="s">
        <v>959</v>
      </c>
      <c r="G784" s="10">
        <v>0.5</v>
      </c>
    </row>
    <row r="785" spans="1:10">
      <c r="A785" s="5">
        <v>45358</v>
      </c>
      <c r="B785" s="6">
        <v>60039</v>
      </c>
      <c r="D785" s="7" t="s">
        <v>957</v>
      </c>
      <c r="E785" s="8" t="s">
        <v>960</v>
      </c>
      <c r="G785" s="10">
        <v>2.25</v>
      </c>
    </row>
    <row r="786" spans="1:10">
      <c r="A786" s="5">
        <v>45379</v>
      </c>
      <c r="B786" s="6">
        <v>60039</v>
      </c>
      <c r="D786" s="7" t="s">
        <v>957</v>
      </c>
      <c r="E786" s="8" t="s">
        <v>961</v>
      </c>
      <c r="G786" s="10">
        <v>0.5</v>
      </c>
    </row>
    <row r="787" spans="1:10">
      <c r="A787" s="5">
        <v>45482</v>
      </c>
      <c r="B787" s="6">
        <v>60039</v>
      </c>
      <c r="D787" s="7" t="s">
        <v>957</v>
      </c>
      <c r="E787" s="8" t="s">
        <v>153</v>
      </c>
      <c r="F787" s="9">
        <f>2528.75-2123.28+(240-207.5)</f>
        <v>437.9699999999998</v>
      </c>
      <c r="G787" s="10">
        <f>+F787/120</f>
        <v>3.6497499999999983</v>
      </c>
    </row>
    <row r="788" spans="1:10" ht="25.5">
      <c r="A788" s="5">
        <v>45483</v>
      </c>
      <c r="B788" s="6">
        <v>60039</v>
      </c>
      <c r="D788" s="7" t="s">
        <v>957</v>
      </c>
      <c r="E788" s="8" t="s">
        <v>962</v>
      </c>
      <c r="G788" s="10">
        <v>0.5</v>
      </c>
    </row>
    <row r="789" spans="1:10" ht="38.25">
      <c r="A789" s="5">
        <v>45489</v>
      </c>
      <c r="B789" s="6">
        <v>60039</v>
      </c>
      <c r="D789" s="7" t="s">
        <v>957</v>
      </c>
      <c r="E789" s="8" t="s">
        <v>963</v>
      </c>
      <c r="G789" s="10">
        <v>1.75</v>
      </c>
      <c r="I789" s="19"/>
      <c r="J789" s="19"/>
    </row>
    <row r="790" spans="1:10">
      <c r="A790" s="5">
        <v>45518</v>
      </c>
      <c r="B790" s="6">
        <v>60039</v>
      </c>
      <c r="D790" s="7" t="s">
        <v>957</v>
      </c>
      <c r="E790" s="8" t="s">
        <v>964</v>
      </c>
      <c r="G790" s="10">
        <v>0.5</v>
      </c>
      <c r="I790" s="19"/>
      <c r="J790" s="19"/>
    </row>
    <row r="791" spans="1:10">
      <c r="A791" s="5">
        <v>45559</v>
      </c>
      <c r="B791" s="6">
        <v>60039</v>
      </c>
      <c r="D791" s="7" t="s">
        <v>957</v>
      </c>
      <c r="E791" s="8" t="s">
        <v>965</v>
      </c>
      <c r="G791" s="10">
        <v>0.75</v>
      </c>
      <c r="I791" s="19"/>
      <c r="J791" s="19"/>
    </row>
    <row r="792" spans="1:10">
      <c r="A792" s="5">
        <v>45674</v>
      </c>
      <c r="B792" s="6">
        <v>60039</v>
      </c>
      <c r="D792" s="7" t="s">
        <v>957</v>
      </c>
      <c r="E792" s="8" t="s">
        <v>966</v>
      </c>
      <c r="G792" s="10">
        <v>1.5</v>
      </c>
      <c r="I792" s="19"/>
      <c r="J792" s="19"/>
    </row>
    <row r="793" spans="1:10" ht="17.25" customHeight="1">
      <c r="A793" s="5">
        <v>45693</v>
      </c>
      <c r="B793" s="6">
        <v>60039</v>
      </c>
      <c r="D793" s="7" t="s">
        <v>957</v>
      </c>
      <c r="E793" s="8" t="s">
        <v>967</v>
      </c>
      <c r="G793" s="10">
        <v>4</v>
      </c>
    </row>
    <row r="794" spans="1:10">
      <c r="A794" s="5">
        <v>45693</v>
      </c>
      <c r="B794" s="6">
        <v>60039</v>
      </c>
      <c r="D794" s="7" t="s">
        <v>957</v>
      </c>
      <c r="E794" s="8" t="s">
        <v>968</v>
      </c>
      <c r="G794" s="10">
        <v>0.5</v>
      </c>
    </row>
    <row r="795" spans="1:10">
      <c r="A795" s="5">
        <v>45694</v>
      </c>
      <c r="B795" s="6">
        <v>60039</v>
      </c>
      <c r="D795" s="7" t="s">
        <v>957</v>
      </c>
      <c r="E795" s="8" t="s">
        <v>969</v>
      </c>
      <c r="G795" s="10">
        <v>1.25</v>
      </c>
    </row>
    <row r="796" spans="1:10">
      <c r="A796" s="5">
        <v>45694</v>
      </c>
      <c r="B796" s="6">
        <v>60039</v>
      </c>
      <c r="D796" s="7" t="s">
        <v>957</v>
      </c>
      <c r="E796" s="8" t="s">
        <v>970</v>
      </c>
      <c r="G796" s="10">
        <v>0.5</v>
      </c>
    </row>
    <row r="797" spans="1:10">
      <c r="A797" s="5">
        <v>45700</v>
      </c>
      <c r="B797" s="6">
        <v>60039</v>
      </c>
      <c r="D797" s="7" t="s">
        <v>957</v>
      </c>
      <c r="E797" s="8" t="s">
        <v>971</v>
      </c>
      <c r="G797" s="10">
        <v>0.25</v>
      </c>
    </row>
    <row r="798" spans="1:10">
      <c r="A798" s="5">
        <v>45700</v>
      </c>
      <c r="B798" s="6">
        <v>60039</v>
      </c>
      <c r="D798" s="7" t="s">
        <v>957</v>
      </c>
      <c r="E798" s="8" t="s">
        <v>972</v>
      </c>
      <c r="G798" s="10">
        <v>0.25</v>
      </c>
    </row>
    <row r="799" spans="1:10">
      <c r="A799" s="5">
        <v>44454</v>
      </c>
      <c r="B799" s="6">
        <v>60046</v>
      </c>
      <c r="D799" s="7" t="s">
        <v>973</v>
      </c>
      <c r="E799" s="8" t="s">
        <v>974</v>
      </c>
      <c r="G799" s="10">
        <v>0.25</v>
      </c>
      <c r="I799" s="19"/>
      <c r="J799" s="19"/>
    </row>
    <row r="800" spans="1:10">
      <c r="A800" s="5">
        <v>44634</v>
      </c>
      <c r="B800" s="6">
        <v>60046</v>
      </c>
      <c r="D800" s="7" t="s">
        <v>973</v>
      </c>
      <c r="E800" s="8" t="s">
        <v>975</v>
      </c>
      <c r="G800" s="10">
        <v>0.25</v>
      </c>
      <c r="I800" s="19"/>
      <c r="J800" s="19"/>
    </row>
    <row r="801" spans="1:10">
      <c r="A801" s="5">
        <v>44706</v>
      </c>
      <c r="B801" s="6">
        <v>60046</v>
      </c>
      <c r="D801" s="7" t="s">
        <v>973</v>
      </c>
      <c r="E801" s="8" t="s">
        <v>820</v>
      </c>
      <c r="G801" s="10">
        <v>0.5</v>
      </c>
      <c r="I801" s="19"/>
      <c r="J801" s="19"/>
    </row>
    <row r="802" spans="1:10">
      <c r="A802" s="5">
        <v>45077</v>
      </c>
      <c r="B802" s="6">
        <v>60046</v>
      </c>
      <c r="D802" s="7" t="s">
        <v>973</v>
      </c>
      <c r="E802" s="8" t="s">
        <v>101</v>
      </c>
      <c r="G802" s="10">
        <v>0.5</v>
      </c>
      <c r="I802" s="19"/>
      <c r="J802" s="19"/>
    </row>
    <row r="803" spans="1:10">
      <c r="A803" s="5">
        <v>45559</v>
      </c>
      <c r="B803" s="6">
        <v>60046</v>
      </c>
      <c r="D803" s="7" t="s">
        <v>973</v>
      </c>
      <c r="E803" s="8" t="s">
        <v>976</v>
      </c>
      <c r="G803" s="10">
        <v>0.5</v>
      </c>
      <c r="I803" s="19"/>
      <c r="J803" s="19"/>
    </row>
    <row r="804" spans="1:10">
      <c r="A804" s="5">
        <v>45674</v>
      </c>
      <c r="B804" s="6">
        <v>60047</v>
      </c>
      <c r="D804" s="7" t="s">
        <v>977</v>
      </c>
      <c r="E804" s="8" t="s">
        <v>978</v>
      </c>
      <c r="G804" s="10">
        <v>1</v>
      </c>
      <c r="H804" s="19" t="s">
        <v>15</v>
      </c>
      <c r="I804" s="19"/>
      <c r="J804" s="19"/>
    </row>
    <row r="805" spans="1:10">
      <c r="A805" s="5">
        <v>45698</v>
      </c>
      <c r="B805" s="6">
        <v>60047</v>
      </c>
      <c r="D805" s="7" t="s">
        <v>979</v>
      </c>
      <c r="E805" s="8" t="s">
        <v>980</v>
      </c>
      <c r="G805" s="10">
        <v>0.5</v>
      </c>
    </row>
    <row r="806" spans="1:10">
      <c r="A806" s="5">
        <v>45607</v>
      </c>
      <c r="B806" s="6">
        <v>60049</v>
      </c>
      <c r="D806" s="7" t="s">
        <v>981</v>
      </c>
      <c r="E806" s="8" t="s">
        <v>982</v>
      </c>
      <c r="F806" s="9" t="e">
        <f>+#REF!-#REF!</f>
        <v>#REF!</v>
      </c>
      <c r="I806" s="19"/>
      <c r="J806" s="19"/>
    </row>
    <row r="807" spans="1:10">
      <c r="A807" s="5">
        <v>45673</v>
      </c>
      <c r="B807" s="6">
        <v>60057</v>
      </c>
      <c r="D807" s="2" t="s">
        <v>983</v>
      </c>
      <c r="E807" s="8" t="s">
        <v>984</v>
      </c>
      <c r="G807" s="10">
        <v>0.25</v>
      </c>
      <c r="I807" s="19"/>
      <c r="J807" s="19"/>
    </row>
    <row r="808" spans="1:10">
      <c r="A808" s="5">
        <v>45474</v>
      </c>
      <c r="B808" s="6">
        <v>60058</v>
      </c>
      <c r="D808" s="7" t="s">
        <v>985</v>
      </c>
      <c r="E808" s="8" t="s">
        <v>101</v>
      </c>
      <c r="G808" s="10">
        <v>0.5</v>
      </c>
      <c r="I808" s="19"/>
      <c r="J808" s="19"/>
    </row>
    <row r="809" spans="1:10">
      <c r="A809" s="5">
        <v>45301</v>
      </c>
      <c r="B809" s="6">
        <v>60059</v>
      </c>
      <c r="D809" s="7" t="s">
        <v>986</v>
      </c>
      <c r="E809" s="8" t="s">
        <v>987</v>
      </c>
      <c r="G809" s="10">
        <v>0.25</v>
      </c>
      <c r="I809" s="19"/>
      <c r="J809" s="19"/>
    </row>
    <row r="810" spans="1:10">
      <c r="A810" s="5">
        <v>45509</v>
      </c>
      <c r="B810" s="6">
        <v>60059</v>
      </c>
      <c r="D810" s="7" t="s">
        <v>986</v>
      </c>
      <c r="E810" s="8" t="s">
        <v>988</v>
      </c>
      <c r="G810" s="10">
        <v>0.25</v>
      </c>
    </row>
    <row r="811" spans="1:10">
      <c r="A811" s="5">
        <v>45624</v>
      </c>
      <c r="B811" s="6">
        <v>60059</v>
      </c>
      <c r="D811" s="7" t="s">
        <v>986</v>
      </c>
      <c r="E811" s="8" t="s">
        <v>989</v>
      </c>
      <c r="G811" s="10">
        <v>0.25</v>
      </c>
      <c r="I811" s="19"/>
      <c r="J811" s="19"/>
    </row>
    <row r="812" spans="1:10">
      <c r="A812" s="5">
        <v>45642</v>
      </c>
      <c r="B812" s="6">
        <v>60059</v>
      </c>
      <c r="D812" s="7" t="s">
        <v>986</v>
      </c>
      <c r="E812" s="8" t="s">
        <v>990</v>
      </c>
      <c r="G812" s="10">
        <v>0.5</v>
      </c>
      <c r="I812" s="19"/>
      <c r="J812" s="19"/>
    </row>
    <row r="813" spans="1:10">
      <c r="A813" s="5">
        <v>45642</v>
      </c>
      <c r="B813" s="6">
        <v>60059</v>
      </c>
      <c r="D813" s="7" t="s">
        <v>986</v>
      </c>
      <c r="E813" s="8" t="s">
        <v>991</v>
      </c>
      <c r="G813" s="10">
        <v>0.5</v>
      </c>
    </row>
    <row r="814" spans="1:10">
      <c r="A814" s="5">
        <v>45688</v>
      </c>
      <c r="B814" s="6">
        <v>60059</v>
      </c>
      <c r="D814" s="7" t="s">
        <v>986</v>
      </c>
      <c r="E814" s="8" t="s">
        <v>992</v>
      </c>
      <c r="G814" s="10">
        <v>0.25</v>
      </c>
    </row>
    <row r="815" spans="1:10" ht="25.5">
      <c r="A815" s="5">
        <v>45698</v>
      </c>
      <c r="B815" s="6">
        <v>60059</v>
      </c>
      <c r="D815" s="7" t="s">
        <v>986</v>
      </c>
      <c r="E815" s="8" t="s">
        <v>993</v>
      </c>
      <c r="G815" s="10">
        <v>0.5</v>
      </c>
    </row>
    <row r="816" spans="1:10">
      <c r="A816" s="5">
        <v>45702</v>
      </c>
      <c r="B816" s="6">
        <v>60059</v>
      </c>
      <c r="D816" s="7" t="s">
        <v>986</v>
      </c>
      <c r="E816" s="8" t="s">
        <v>994</v>
      </c>
      <c r="G816" s="10">
        <v>0.25</v>
      </c>
    </row>
    <row r="817" spans="1:7">
      <c r="A817" s="5">
        <v>45705</v>
      </c>
      <c r="B817" s="6">
        <v>60059</v>
      </c>
      <c r="D817" s="7" t="s">
        <v>986</v>
      </c>
      <c r="E817" s="8" t="s">
        <v>995</v>
      </c>
      <c r="G817" s="10">
        <v>0.25</v>
      </c>
    </row>
    <row r="818" spans="1:7">
      <c r="A818" s="5">
        <v>45713</v>
      </c>
      <c r="B818" s="6">
        <v>60059</v>
      </c>
      <c r="D818" s="7" t="s">
        <v>986</v>
      </c>
      <c r="E818" s="8" t="s">
        <v>575</v>
      </c>
      <c r="G818" s="10">
        <v>0.25</v>
      </c>
    </row>
    <row r="819" spans="1:7">
      <c r="A819" s="5">
        <v>44756</v>
      </c>
      <c r="B819" s="6">
        <v>60061</v>
      </c>
      <c r="D819" s="7" t="s">
        <v>996</v>
      </c>
      <c r="E819" s="8" t="s">
        <v>997</v>
      </c>
      <c r="F819" s="9">
        <f>880-199.95-289.85</f>
        <v>390.19999999999993</v>
      </c>
    </row>
    <row r="820" spans="1:7">
      <c r="A820" s="5">
        <v>45418</v>
      </c>
      <c r="B820" s="6">
        <v>60061</v>
      </c>
      <c r="D820" s="7" t="s">
        <v>998</v>
      </c>
      <c r="E820" s="8" t="s">
        <v>999</v>
      </c>
      <c r="G820" s="10">
        <v>0.25</v>
      </c>
    </row>
    <row r="821" spans="1:7">
      <c r="A821" s="5">
        <v>45455</v>
      </c>
      <c r="B821" s="6">
        <v>60061</v>
      </c>
      <c r="D821" s="7" t="s">
        <v>1000</v>
      </c>
      <c r="E821" s="8" t="s">
        <v>1001</v>
      </c>
      <c r="G821" s="10">
        <v>0.5</v>
      </c>
    </row>
    <row r="822" spans="1:7">
      <c r="A822" s="5">
        <v>45565</v>
      </c>
      <c r="B822" s="6">
        <v>60061</v>
      </c>
      <c r="D822" s="7" t="s">
        <v>1000</v>
      </c>
    </row>
    <row r="823" spans="1:7">
      <c r="A823" s="5">
        <v>45250</v>
      </c>
      <c r="B823" s="6">
        <v>60069</v>
      </c>
      <c r="D823" s="7" t="s">
        <v>957</v>
      </c>
      <c r="E823" s="8" t="s">
        <v>1002</v>
      </c>
      <c r="G823" s="10">
        <v>0.5</v>
      </c>
    </row>
    <row r="824" spans="1:7">
      <c r="A824" s="5">
        <v>44124</v>
      </c>
      <c r="B824" s="6">
        <v>60070</v>
      </c>
      <c r="D824" s="7" t="s">
        <v>1003</v>
      </c>
      <c r="E824" s="8" t="s">
        <v>1004</v>
      </c>
      <c r="G824" s="10">
        <v>0.5</v>
      </c>
    </row>
    <row r="825" spans="1:7">
      <c r="A825" s="5">
        <v>45301</v>
      </c>
      <c r="B825" s="6">
        <v>60091</v>
      </c>
      <c r="D825" s="7" t="s">
        <v>1005</v>
      </c>
      <c r="E825" s="8" t="s">
        <v>1006</v>
      </c>
      <c r="G825" s="10">
        <v>0.5</v>
      </c>
    </row>
    <row r="826" spans="1:7">
      <c r="A826" s="5">
        <v>45464</v>
      </c>
      <c r="B826" s="6">
        <v>60091</v>
      </c>
      <c r="D826" s="7" t="s">
        <v>1005</v>
      </c>
      <c r="E826" s="8" t="s">
        <v>1007</v>
      </c>
      <c r="G826" s="10">
        <v>0.75</v>
      </c>
    </row>
    <row r="827" spans="1:7">
      <c r="A827" s="5">
        <v>45397</v>
      </c>
      <c r="B827" s="6">
        <v>60093</v>
      </c>
      <c r="D827" s="7" t="s">
        <v>1008</v>
      </c>
      <c r="E827" s="8" t="s">
        <v>1009</v>
      </c>
      <c r="G827" s="10">
        <v>0.25</v>
      </c>
    </row>
    <row r="828" spans="1:7">
      <c r="A828" s="5">
        <v>45551</v>
      </c>
      <c r="B828" s="6">
        <v>60093</v>
      </c>
      <c r="D828" s="7" t="s">
        <v>1008</v>
      </c>
      <c r="E828" s="8" t="s">
        <v>1010</v>
      </c>
      <c r="G828" s="10">
        <v>0.5</v>
      </c>
    </row>
    <row r="829" spans="1:7">
      <c r="A829" s="5">
        <v>45702</v>
      </c>
      <c r="B829" s="6">
        <v>60095</v>
      </c>
      <c r="D829" s="7" t="s">
        <v>1011</v>
      </c>
      <c r="E829" s="8" t="s">
        <v>1012</v>
      </c>
      <c r="G829" s="10">
        <v>0.75</v>
      </c>
    </row>
    <row r="830" spans="1:7">
      <c r="A830" s="5">
        <v>45397</v>
      </c>
      <c r="B830" s="6">
        <v>60098</v>
      </c>
      <c r="D830" s="7" t="s">
        <v>1013</v>
      </c>
      <c r="E830" s="8" t="s">
        <v>1014</v>
      </c>
      <c r="G830" s="10">
        <v>0.25</v>
      </c>
    </row>
    <row r="831" spans="1:7">
      <c r="A831" s="5">
        <v>45404</v>
      </c>
      <c r="B831" s="6">
        <v>60098</v>
      </c>
      <c r="D831" s="7" t="s">
        <v>1013</v>
      </c>
      <c r="E831" s="8" t="s">
        <v>11</v>
      </c>
      <c r="G831" s="10">
        <v>0.25</v>
      </c>
    </row>
    <row r="832" spans="1:7">
      <c r="A832" s="5">
        <v>45419</v>
      </c>
      <c r="B832" s="6">
        <v>60098</v>
      </c>
      <c r="D832" s="7" t="s">
        <v>1013</v>
      </c>
      <c r="E832" s="8" t="s">
        <v>101</v>
      </c>
      <c r="G832" s="10">
        <v>0.5</v>
      </c>
    </row>
    <row r="833" spans="1:8">
      <c r="A833" s="5">
        <v>45443</v>
      </c>
      <c r="B833" s="6">
        <v>60104</v>
      </c>
      <c r="D833" s="7" t="s">
        <v>1015</v>
      </c>
      <c r="E833" s="8" t="s">
        <v>1016</v>
      </c>
      <c r="G833" s="10">
        <v>0.75</v>
      </c>
    </row>
    <row r="834" spans="1:8">
      <c r="A834" s="5">
        <v>45453</v>
      </c>
      <c r="B834" s="6">
        <v>60104</v>
      </c>
      <c r="D834" s="7" t="s">
        <v>1017</v>
      </c>
      <c r="E834" s="8" t="s">
        <v>74</v>
      </c>
      <c r="G834" s="10">
        <v>0.25</v>
      </c>
    </row>
    <row r="835" spans="1:8">
      <c r="A835" s="5">
        <v>45490</v>
      </c>
      <c r="B835" s="6">
        <v>60104</v>
      </c>
      <c r="D835" s="7" t="s">
        <v>1018</v>
      </c>
      <c r="E835" s="8" t="s">
        <v>1019</v>
      </c>
      <c r="G835" s="10">
        <v>0.25</v>
      </c>
    </row>
    <row r="836" spans="1:8">
      <c r="A836" s="5">
        <v>45516</v>
      </c>
      <c r="B836" s="6">
        <v>60109</v>
      </c>
      <c r="D836" s="7" t="s">
        <v>1020</v>
      </c>
      <c r="E836" s="8" t="s">
        <v>1021</v>
      </c>
      <c r="G836" s="10">
        <v>0.25</v>
      </c>
    </row>
    <row r="837" spans="1:8">
      <c r="A837" s="5">
        <v>45617</v>
      </c>
      <c r="B837" s="6">
        <v>60109</v>
      </c>
      <c r="D837" s="7" t="s">
        <v>1020</v>
      </c>
      <c r="E837" s="8" t="s">
        <v>1022</v>
      </c>
      <c r="G837" s="10">
        <v>0.25</v>
      </c>
    </row>
    <row r="838" spans="1:8">
      <c r="A838" s="5">
        <v>45435</v>
      </c>
      <c r="B838" s="6">
        <v>60112</v>
      </c>
      <c r="D838" s="7" t="s">
        <v>1023</v>
      </c>
      <c r="E838" s="8" t="s">
        <v>1024</v>
      </c>
      <c r="G838" s="10">
        <v>0.25</v>
      </c>
    </row>
    <row r="839" spans="1:8">
      <c r="A839" s="5">
        <v>44827</v>
      </c>
      <c r="B839" s="6">
        <v>60116</v>
      </c>
      <c r="D839" s="7" t="s">
        <v>1025</v>
      </c>
      <c r="E839" s="8" t="s">
        <v>1026</v>
      </c>
      <c r="F839" s="9">
        <f>1529.8-1220.25</f>
        <v>309.54999999999995</v>
      </c>
      <c r="G839" s="10">
        <f>+F839/100</f>
        <v>3.0954999999999995</v>
      </c>
      <c r="H839" s="5"/>
    </row>
    <row r="840" spans="1:8">
      <c r="A840" s="5">
        <v>44988</v>
      </c>
      <c r="B840" s="6">
        <v>60116</v>
      </c>
      <c r="D840" s="7" t="s">
        <v>1027</v>
      </c>
      <c r="E840" s="8" t="s">
        <v>1028</v>
      </c>
      <c r="F840" s="9">
        <f>1611.25-768.3</f>
        <v>842.95</v>
      </c>
      <c r="G840" s="10">
        <f>+F840/100</f>
        <v>8.4295000000000009</v>
      </c>
      <c r="H840" s="5"/>
    </row>
    <row r="841" spans="1:8">
      <c r="A841" s="5">
        <v>45203</v>
      </c>
      <c r="B841" s="6">
        <v>60116</v>
      </c>
      <c r="D841" s="7" t="s">
        <v>1025</v>
      </c>
      <c r="E841" s="8" t="s">
        <v>1029</v>
      </c>
      <c r="F841" s="9">
        <f>1411.25-960.3</f>
        <v>450.95000000000005</v>
      </c>
      <c r="G841" s="10">
        <f>+F841/120</f>
        <v>3.757916666666667</v>
      </c>
    </row>
    <row r="842" spans="1:8">
      <c r="A842" s="5">
        <v>45370</v>
      </c>
      <c r="B842" s="6">
        <v>60116</v>
      </c>
      <c r="D842" s="2" t="s">
        <v>1025</v>
      </c>
      <c r="E842" s="8" t="s">
        <v>618</v>
      </c>
      <c r="F842" s="9">
        <f>671.25-393.6</f>
        <v>277.64999999999998</v>
      </c>
      <c r="G842" s="10">
        <f>+F842/120</f>
        <v>2.3137499999999998</v>
      </c>
    </row>
    <row r="843" spans="1:8">
      <c r="A843" s="5">
        <v>45441</v>
      </c>
      <c r="B843" s="6">
        <v>60116</v>
      </c>
      <c r="D843" s="7" t="s">
        <v>1027</v>
      </c>
      <c r="E843" s="8" t="s">
        <v>1030</v>
      </c>
      <c r="F843" s="9">
        <f>2145-1391.85</f>
        <v>753.15000000000009</v>
      </c>
    </row>
    <row r="844" spans="1:8">
      <c r="A844" s="5">
        <v>45467</v>
      </c>
      <c r="B844" s="6">
        <v>60116</v>
      </c>
      <c r="D844" s="7" t="s">
        <v>1025</v>
      </c>
      <c r="E844" s="8" t="s">
        <v>1031</v>
      </c>
      <c r="G844" s="10">
        <v>0.25</v>
      </c>
    </row>
    <row r="845" spans="1:8" ht="25.5">
      <c r="A845" s="5">
        <v>45489</v>
      </c>
      <c r="B845" s="6">
        <v>60116</v>
      </c>
      <c r="D845" s="7" t="s">
        <v>1032</v>
      </c>
      <c r="E845" s="8" t="s">
        <v>1033</v>
      </c>
      <c r="G845" s="10">
        <v>0.75</v>
      </c>
    </row>
    <row r="846" spans="1:8">
      <c r="A846" s="5">
        <v>45540</v>
      </c>
      <c r="B846" s="6">
        <v>60116</v>
      </c>
      <c r="D846" s="7" t="s">
        <v>1027</v>
      </c>
      <c r="E846" s="8" t="s">
        <v>1034</v>
      </c>
      <c r="F846" s="9">
        <f>1007.5-716.85</f>
        <v>290.64999999999998</v>
      </c>
      <c r="G846" s="10">
        <f>+F846/120</f>
        <v>2.4220833333333331</v>
      </c>
      <c r="H846" s="5"/>
    </row>
    <row r="847" spans="1:8">
      <c r="A847" s="5">
        <v>45691</v>
      </c>
      <c r="B847" s="6">
        <v>60116</v>
      </c>
      <c r="D847" s="7" t="s">
        <v>1027</v>
      </c>
      <c r="E847" s="8" t="s">
        <v>1035</v>
      </c>
      <c r="F847" s="9">
        <f>607.5-358.43</f>
        <v>249.07</v>
      </c>
      <c r="G847" s="10">
        <f>+F847/120</f>
        <v>2.0755833333333333</v>
      </c>
    </row>
    <row r="848" spans="1:8">
      <c r="A848" s="5">
        <v>45691</v>
      </c>
      <c r="B848" s="6">
        <v>60116</v>
      </c>
      <c r="D848" s="7" t="s">
        <v>1027</v>
      </c>
      <c r="E848" s="8" t="s">
        <v>1036</v>
      </c>
      <c r="G848" s="10">
        <v>0.5</v>
      </c>
      <c r="H848" s="19" t="s">
        <v>15</v>
      </c>
    </row>
    <row r="849" spans="1:7">
      <c r="A849" s="5">
        <v>44742</v>
      </c>
      <c r="B849" s="6">
        <v>60132</v>
      </c>
      <c r="D849" s="7" t="s">
        <v>1037</v>
      </c>
      <c r="E849" s="8" t="s">
        <v>1038</v>
      </c>
      <c r="F849" s="9">
        <f>1807.5-350.3</f>
        <v>1457.2</v>
      </c>
      <c r="G849" s="10">
        <f>+F849/100</f>
        <v>14.572000000000001</v>
      </c>
    </row>
    <row r="850" spans="1:7">
      <c r="A850" s="5">
        <v>44902</v>
      </c>
      <c r="B850" s="6">
        <v>60132</v>
      </c>
      <c r="D850" s="7" t="s">
        <v>1037</v>
      </c>
      <c r="E850" s="8" t="s">
        <v>1039</v>
      </c>
      <c r="G850" s="10">
        <v>1</v>
      </c>
    </row>
    <row r="851" spans="1:7" ht="25.5">
      <c r="A851" s="5">
        <v>44918</v>
      </c>
      <c r="B851" s="6">
        <v>60132</v>
      </c>
      <c r="D851" s="7" t="s">
        <v>1037</v>
      </c>
      <c r="E851" s="8" t="s">
        <v>1040</v>
      </c>
      <c r="G851" s="10">
        <v>1.5</v>
      </c>
    </row>
    <row r="852" spans="1:7">
      <c r="A852" s="5">
        <v>45139</v>
      </c>
      <c r="B852" s="6">
        <v>60132</v>
      </c>
      <c r="D852" s="7" t="s">
        <v>1037</v>
      </c>
      <c r="E852" s="8" t="s">
        <v>1041</v>
      </c>
    </row>
    <row r="853" spans="1:7">
      <c r="A853" s="5">
        <v>45148</v>
      </c>
      <c r="B853" s="6">
        <v>60132</v>
      </c>
      <c r="D853" s="7" t="s">
        <v>1037</v>
      </c>
      <c r="E853" s="8" t="s">
        <v>1042</v>
      </c>
      <c r="G853" s="10">
        <v>0.5</v>
      </c>
    </row>
    <row r="854" spans="1:7" ht="12" customHeight="1">
      <c r="A854" s="5">
        <v>45254</v>
      </c>
      <c r="B854" s="6">
        <v>60132</v>
      </c>
      <c r="D854" s="7" t="s">
        <v>1037</v>
      </c>
      <c r="E854" s="8" t="s">
        <v>699</v>
      </c>
      <c r="G854" s="10">
        <v>0.5</v>
      </c>
    </row>
    <row r="855" spans="1:7" ht="12" customHeight="1">
      <c r="A855" s="5">
        <v>45267</v>
      </c>
      <c r="B855" s="6">
        <v>60132</v>
      </c>
      <c r="D855" s="7" t="s">
        <v>1037</v>
      </c>
      <c r="E855" s="8" t="s">
        <v>1043</v>
      </c>
      <c r="G855" s="10">
        <v>0.25</v>
      </c>
    </row>
    <row r="856" spans="1:7" ht="12" customHeight="1">
      <c r="A856" s="5">
        <v>45603</v>
      </c>
      <c r="B856" s="6">
        <v>60136</v>
      </c>
      <c r="D856" s="7" t="s">
        <v>1044</v>
      </c>
      <c r="E856" s="8" t="s">
        <v>1045</v>
      </c>
      <c r="G856" s="10">
        <v>0.25</v>
      </c>
    </row>
    <row r="857" spans="1:7" ht="12" customHeight="1">
      <c r="A857" s="5">
        <v>45618</v>
      </c>
      <c r="B857" s="6">
        <v>60136</v>
      </c>
      <c r="D857" s="7" t="s">
        <v>979</v>
      </c>
      <c r="E857" s="8" t="s">
        <v>1046</v>
      </c>
      <c r="G857" s="10">
        <v>0.25</v>
      </c>
    </row>
    <row r="858" spans="1:7" ht="25.5">
      <c r="A858" s="5">
        <v>45611</v>
      </c>
      <c r="B858" s="6">
        <v>60137</v>
      </c>
      <c r="D858" s="7" t="s">
        <v>1047</v>
      </c>
      <c r="E858" s="8" t="s">
        <v>1048</v>
      </c>
      <c r="G858" s="10">
        <v>0.5</v>
      </c>
    </row>
    <row r="859" spans="1:7">
      <c r="A859" s="5">
        <v>45638</v>
      </c>
      <c r="B859" s="6">
        <v>60141</v>
      </c>
      <c r="D859" s="7" t="s">
        <v>1049</v>
      </c>
      <c r="E859" s="8" t="s">
        <v>1050</v>
      </c>
      <c r="G859" s="10">
        <v>0.25</v>
      </c>
    </row>
    <row r="860" spans="1:7">
      <c r="A860" s="5">
        <v>45678</v>
      </c>
      <c r="B860" s="6">
        <v>60141</v>
      </c>
      <c r="D860" s="7" t="s">
        <v>1049</v>
      </c>
      <c r="E860" s="8" t="s">
        <v>1051</v>
      </c>
      <c r="G860" s="10">
        <v>0.25</v>
      </c>
    </row>
    <row r="861" spans="1:7">
      <c r="A861" s="5">
        <v>45324</v>
      </c>
      <c r="B861" s="6">
        <v>60146</v>
      </c>
      <c r="D861" s="7" t="s">
        <v>1052</v>
      </c>
      <c r="E861" s="8" t="s">
        <v>1053</v>
      </c>
      <c r="G861" s="10">
        <v>0.5</v>
      </c>
    </row>
    <row r="862" spans="1:7">
      <c r="A862" s="5">
        <v>45419</v>
      </c>
      <c r="B862" s="6">
        <v>60147</v>
      </c>
      <c r="D862" s="7" t="s">
        <v>1054</v>
      </c>
      <c r="E862" s="8" t="s">
        <v>11</v>
      </c>
      <c r="G862" s="10">
        <v>0.25</v>
      </c>
    </row>
    <row r="863" spans="1:7">
      <c r="A863" s="5">
        <v>45464</v>
      </c>
      <c r="B863" s="6">
        <v>60147</v>
      </c>
      <c r="D863" s="7" t="s">
        <v>1055</v>
      </c>
      <c r="E863" s="8" t="s">
        <v>101</v>
      </c>
      <c r="G863" s="10">
        <v>0.5</v>
      </c>
    </row>
    <row r="864" spans="1:7">
      <c r="A864" s="5">
        <v>45698</v>
      </c>
      <c r="B864" s="6">
        <v>60147</v>
      </c>
      <c r="D864" s="7" t="s">
        <v>1054</v>
      </c>
      <c r="E864" s="8" t="s">
        <v>1056</v>
      </c>
      <c r="G864" s="10">
        <v>0.75</v>
      </c>
    </row>
    <row r="865" spans="1:7">
      <c r="A865" s="5">
        <v>45700</v>
      </c>
      <c r="B865" s="6">
        <v>60147</v>
      </c>
      <c r="D865" s="7" t="s">
        <v>1054</v>
      </c>
      <c r="E865" s="8" t="s">
        <v>1057</v>
      </c>
      <c r="G865" s="10">
        <v>1.25</v>
      </c>
    </row>
    <row r="866" spans="1:7">
      <c r="A866" s="5">
        <v>45303</v>
      </c>
      <c r="B866" s="6">
        <v>60149</v>
      </c>
      <c r="D866" s="7" t="s">
        <v>1058</v>
      </c>
      <c r="E866" s="8" t="s">
        <v>1059</v>
      </c>
      <c r="G866" s="10">
        <v>0.5</v>
      </c>
    </row>
    <row r="867" spans="1:7" ht="63.75">
      <c r="A867" s="5">
        <v>45307</v>
      </c>
      <c r="B867" s="6">
        <v>60149</v>
      </c>
      <c r="D867" s="7" t="s">
        <v>1058</v>
      </c>
      <c r="E867" s="8" t="s">
        <v>1060</v>
      </c>
      <c r="G867" s="10">
        <f>16.75-15.5</f>
        <v>1.25</v>
      </c>
    </row>
    <row r="868" spans="1:7">
      <c r="A868" s="5">
        <v>45597</v>
      </c>
      <c r="B868" s="6">
        <v>60154</v>
      </c>
      <c r="D868" s="7" t="s">
        <v>1061</v>
      </c>
      <c r="E868" s="8" t="s">
        <v>1062</v>
      </c>
      <c r="G868" s="10">
        <v>0.25</v>
      </c>
    </row>
    <row r="869" spans="1:7">
      <c r="A869" s="5">
        <v>45621</v>
      </c>
      <c r="B869" s="6">
        <v>60154</v>
      </c>
      <c r="D869" s="7" t="s">
        <v>1063</v>
      </c>
      <c r="E869" s="8" t="s">
        <v>1064</v>
      </c>
      <c r="G869" s="10">
        <v>0.5</v>
      </c>
    </row>
    <row r="876" spans="1:7">
      <c r="A876" s="5">
        <v>45595</v>
      </c>
      <c r="B876" s="6">
        <v>60160</v>
      </c>
      <c r="D876" s="7" t="s">
        <v>1065</v>
      </c>
      <c r="E876" s="8" t="s">
        <v>1066</v>
      </c>
      <c r="G876" s="10">
        <v>0.25</v>
      </c>
    </row>
    <row r="877" spans="1:7">
      <c r="A877" s="5">
        <v>45618</v>
      </c>
      <c r="B877" s="6">
        <v>60160</v>
      </c>
      <c r="D877" s="7" t="s">
        <v>1065</v>
      </c>
      <c r="E877" s="8" t="s">
        <v>1067</v>
      </c>
      <c r="G877" s="10">
        <v>0.5</v>
      </c>
    </row>
    <row r="878" spans="1:7">
      <c r="A878" s="5">
        <v>45474</v>
      </c>
      <c r="B878" s="6">
        <v>60164</v>
      </c>
      <c r="D878" s="7" t="s">
        <v>144</v>
      </c>
      <c r="E878" s="8" t="s">
        <v>1068</v>
      </c>
      <c r="G878" s="10">
        <v>0.25</v>
      </c>
    </row>
    <row r="879" spans="1:7">
      <c r="A879" s="5">
        <v>45495</v>
      </c>
      <c r="B879" s="6">
        <v>60164</v>
      </c>
      <c r="D879" s="7" t="s">
        <v>144</v>
      </c>
      <c r="E879" s="8" t="s">
        <v>1069</v>
      </c>
      <c r="G879" s="10">
        <v>1</v>
      </c>
    </row>
    <row r="880" spans="1:7">
      <c r="A880" s="5">
        <v>45496</v>
      </c>
      <c r="B880" s="6">
        <v>60164</v>
      </c>
      <c r="D880" s="7" t="s">
        <v>144</v>
      </c>
      <c r="E880" s="8" t="s">
        <v>1070</v>
      </c>
      <c r="G880" s="10">
        <v>0.25</v>
      </c>
    </row>
    <row r="881" spans="1:7">
      <c r="A881" s="5">
        <v>45517</v>
      </c>
      <c r="B881" s="6">
        <v>60164</v>
      </c>
      <c r="D881" s="7" t="s">
        <v>144</v>
      </c>
      <c r="E881" s="8" t="s">
        <v>1071</v>
      </c>
      <c r="G881" s="10">
        <v>0.5</v>
      </c>
    </row>
    <row r="882" spans="1:7" ht="25.5">
      <c r="A882" s="5">
        <v>43857</v>
      </c>
      <c r="B882" s="6">
        <v>60168</v>
      </c>
      <c r="D882" s="7" t="s">
        <v>1072</v>
      </c>
      <c r="E882" s="8" t="s">
        <v>1073</v>
      </c>
      <c r="G882" s="10">
        <v>0.25</v>
      </c>
    </row>
    <row r="883" spans="1:7" ht="25.5">
      <c r="A883" s="5">
        <v>45345</v>
      </c>
      <c r="B883" s="6">
        <v>60173</v>
      </c>
      <c r="D883" s="7" t="s">
        <v>1074</v>
      </c>
      <c r="E883" s="8" t="s">
        <v>1075</v>
      </c>
      <c r="G883" s="10">
        <v>4</v>
      </c>
    </row>
    <row r="884" spans="1:7">
      <c r="A884" s="5">
        <v>45348</v>
      </c>
      <c r="B884" s="6">
        <v>60173</v>
      </c>
      <c r="D884" s="7" t="s">
        <v>1074</v>
      </c>
      <c r="E884" s="8" t="s">
        <v>1076</v>
      </c>
      <c r="G884" s="10">
        <v>1</v>
      </c>
    </row>
    <row r="885" spans="1:7">
      <c r="A885" s="5">
        <v>45356</v>
      </c>
      <c r="B885" s="6">
        <v>60173</v>
      </c>
      <c r="D885" s="7" t="s">
        <v>1074</v>
      </c>
      <c r="E885" s="8" t="s">
        <v>1077</v>
      </c>
      <c r="G885" s="10">
        <v>0.25</v>
      </c>
    </row>
    <row r="886" spans="1:7" ht="25.5">
      <c r="A886" s="5">
        <v>45391</v>
      </c>
      <c r="B886" s="6">
        <v>60173</v>
      </c>
      <c r="D886" s="7" t="s">
        <v>1074</v>
      </c>
      <c r="E886" s="8" t="s">
        <v>1078</v>
      </c>
      <c r="G886" s="10">
        <v>0.75</v>
      </c>
    </row>
    <row r="887" spans="1:7">
      <c r="A887" s="5">
        <v>45391</v>
      </c>
      <c r="B887" s="6">
        <v>60173</v>
      </c>
      <c r="D887" s="7" t="s">
        <v>1074</v>
      </c>
      <c r="E887" s="8" t="s">
        <v>1079</v>
      </c>
      <c r="G887" s="10">
        <v>0.25</v>
      </c>
    </row>
    <row r="888" spans="1:7">
      <c r="A888" s="5">
        <v>45391</v>
      </c>
      <c r="B888" s="6">
        <v>60173</v>
      </c>
      <c r="D888" s="7" t="s">
        <v>1074</v>
      </c>
      <c r="E888" s="8" t="s">
        <v>1080</v>
      </c>
      <c r="G888" s="10">
        <v>2</v>
      </c>
    </row>
    <row r="889" spans="1:7">
      <c r="A889" s="5">
        <v>45392</v>
      </c>
      <c r="B889" s="6">
        <v>60173</v>
      </c>
      <c r="D889" s="7" t="s">
        <v>1074</v>
      </c>
      <c r="E889" s="8" t="s">
        <v>1081</v>
      </c>
      <c r="G889" s="10">
        <v>0.75</v>
      </c>
    </row>
    <row r="890" spans="1:7">
      <c r="A890" s="5">
        <v>45401</v>
      </c>
      <c r="B890" s="6">
        <v>60173</v>
      </c>
      <c r="D890" s="7" t="s">
        <v>1074</v>
      </c>
      <c r="E890" s="8" t="s">
        <v>1082</v>
      </c>
      <c r="G890" s="10">
        <v>0.25</v>
      </c>
    </row>
    <row r="891" spans="1:7">
      <c r="A891" s="5">
        <v>45407</v>
      </c>
      <c r="B891" s="6">
        <v>60173</v>
      </c>
      <c r="D891" s="7" t="s">
        <v>1074</v>
      </c>
      <c r="E891" s="8" t="s">
        <v>1083</v>
      </c>
      <c r="G891" s="10">
        <v>0.25</v>
      </c>
    </row>
    <row r="892" spans="1:7">
      <c r="A892" s="5">
        <v>45419</v>
      </c>
      <c r="B892" s="6">
        <v>60173</v>
      </c>
      <c r="D892" s="7" t="s">
        <v>1074</v>
      </c>
      <c r="E892" s="8" t="s">
        <v>1084</v>
      </c>
      <c r="G892" s="10">
        <v>0.75</v>
      </c>
    </row>
    <row r="893" spans="1:7" ht="25.5">
      <c r="A893" s="5">
        <v>45454</v>
      </c>
      <c r="B893" s="6">
        <v>60173</v>
      </c>
      <c r="D893" s="7" t="s">
        <v>1074</v>
      </c>
      <c r="E893" s="8" t="s">
        <v>1085</v>
      </c>
      <c r="G893" s="10">
        <v>1</v>
      </c>
    </row>
    <row r="894" spans="1:7">
      <c r="A894" s="5">
        <v>45673</v>
      </c>
      <c r="B894" s="6">
        <v>60173</v>
      </c>
      <c r="D894" s="7" t="s">
        <v>1074</v>
      </c>
      <c r="E894" s="8" t="s">
        <v>1086</v>
      </c>
      <c r="G894" s="10">
        <v>0.25</v>
      </c>
    </row>
    <row r="895" spans="1:7">
      <c r="A895" s="5">
        <v>45685</v>
      </c>
      <c r="B895" s="6">
        <v>60173</v>
      </c>
      <c r="D895" s="7" t="s">
        <v>1074</v>
      </c>
      <c r="E895" s="8" t="s">
        <v>1087</v>
      </c>
      <c r="G895" s="10">
        <v>0.5</v>
      </c>
    </row>
    <row r="896" spans="1:7" ht="25.5">
      <c r="A896" s="5">
        <v>45688</v>
      </c>
      <c r="B896" s="6">
        <v>60173</v>
      </c>
      <c r="D896" s="7" t="s">
        <v>1074</v>
      </c>
      <c r="E896" s="8" t="s">
        <v>1088</v>
      </c>
      <c r="G896" s="10">
        <v>0.5</v>
      </c>
    </row>
    <row r="897" spans="1:7">
      <c r="A897" s="5">
        <v>45484</v>
      </c>
      <c r="B897" s="6">
        <v>60179</v>
      </c>
      <c r="D897" s="7" t="s">
        <v>1089</v>
      </c>
      <c r="E897" s="8" t="s">
        <v>1090</v>
      </c>
      <c r="G897" s="10">
        <v>0.25</v>
      </c>
    </row>
    <row r="898" spans="1:7">
      <c r="A898" s="5">
        <v>45516</v>
      </c>
      <c r="B898" s="6">
        <v>60179</v>
      </c>
      <c r="D898" s="7" t="s">
        <v>1091</v>
      </c>
      <c r="E898" s="8" t="s">
        <v>1092</v>
      </c>
      <c r="G898" s="10">
        <v>0.5</v>
      </c>
    </row>
    <row r="899" spans="1:7">
      <c r="A899" s="5">
        <v>45484</v>
      </c>
      <c r="B899" s="6">
        <v>60181</v>
      </c>
      <c r="D899" s="7" t="s">
        <v>1093</v>
      </c>
      <c r="E899" s="8" t="s">
        <v>11</v>
      </c>
      <c r="G899" s="10">
        <v>0.25</v>
      </c>
    </row>
    <row r="900" spans="1:7">
      <c r="A900" s="5">
        <v>45506</v>
      </c>
      <c r="B900" s="6">
        <v>60181</v>
      </c>
      <c r="D900" s="7" t="s">
        <v>1093</v>
      </c>
      <c r="E900" s="8" t="s">
        <v>1094</v>
      </c>
      <c r="G900" s="10">
        <v>0.5</v>
      </c>
    </row>
    <row r="901" spans="1:7">
      <c r="A901" s="5">
        <v>45539</v>
      </c>
      <c r="B901" s="6">
        <v>60181</v>
      </c>
      <c r="D901" s="7" t="s">
        <v>1093</v>
      </c>
      <c r="E901" s="8" t="s">
        <v>1095</v>
      </c>
      <c r="G901" s="10">
        <v>0.5</v>
      </c>
    </row>
    <row r="902" spans="1:7">
      <c r="A902" s="5">
        <v>45566</v>
      </c>
      <c r="B902" s="6">
        <v>60181</v>
      </c>
      <c r="D902" s="7" t="s">
        <v>1096</v>
      </c>
      <c r="E902" s="8" t="s">
        <v>1097</v>
      </c>
      <c r="G902" s="10">
        <v>0.25</v>
      </c>
    </row>
    <row r="903" spans="1:7">
      <c r="A903" s="5">
        <v>45595</v>
      </c>
      <c r="B903" s="6">
        <v>60181</v>
      </c>
      <c r="D903" s="7" t="s">
        <v>1093</v>
      </c>
      <c r="E903" s="8" t="s">
        <v>1098</v>
      </c>
      <c r="G903" s="10">
        <v>0.25</v>
      </c>
    </row>
    <row r="904" spans="1:7">
      <c r="A904" s="5">
        <v>45601</v>
      </c>
      <c r="B904" s="6">
        <v>60181</v>
      </c>
      <c r="D904" s="7" t="s">
        <v>1099</v>
      </c>
      <c r="E904" s="8" t="s">
        <v>1100</v>
      </c>
      <c r="G904" s="10">
        <v>0.25</v>
      </c>
    </row>
    <row r="905" spans="1:7">
      <c r="A905" s="5">
        <v>45397</v>
      </c>
      <c r="B905" s="6">
        <v>60182</v>
      </c>
      <c r="D905" s="7" t="s">
        <v>1101</v>
      </c>
      <c r="E905" s="8" t="s">
        <v>1102</v>
      </c>
      <c r="G905" s="10">
        <v>0.25</v>
      </c>
    </row>
    <row r="906" spans="1:7">
      <c r="A906" s="5">
        <v>45678</v>
      </c>
      <c r="B906" s="6">
        <v>60182</v>
      </c>
      <c r="D906" s="7" t="s">
        <v>1103</v>
      </c>
      <c r="E906" s="8" t="s">
        <v>1104</v>
      </c>
      <c r="G906" s="10">
        <v>0.5</v>
      </c>
    </row>
    <row r="907" spans="1:7">
      <c r="A907" s="5">
        <v>45706</v>
      </c>
      <c r="B907" s="6">
        <v>60182</v>
      </c>
      <c r="D907" s="7" t="s">
        <v>1103</v>
      </c>
      <c r="E907" s="8" t="s">
        <v>1105</v>
      </c>
      <c r="G907" s="10">
        <v>0.5</v>
      </c>
    </row>
    <row r="908" spans="1:7">
      <c r="A908" s="5">
        <v>45384</v>
      </c>
      <c r="B908" s="6">
        <v>60183</v>
      </c>
      <c r="D908" s="7" t="s">
        <v>1106</v>
      </c>
      <c r="E908" s="8" t="s">
        <v>1107</v>
      </c>
      <c r="G908" s="10">
        <v>0.25</v>
      </c>
    </row>
    <row r="909" spans="1:7">
      <c r="A909" s="5">
        <v>45490</v>
      </c>
      <c r="B909" s="6">
        <v>60183</v>
      </c>
      <c r="D909" s="7" t="s">
        <v>1106</v>
      </c>
      <c r="E909" s="8" t="s">
        <v>101</v>
      </c>
      <c r="G909" s="10">
        <v>0.5</v>
      </c>
    </row>
    <row r="910" spans="1:7" ht="25.5">
      <c r="A910" s="5">
        <v>45456</v>
      </c>
      <c r="B910" s="6">
        <v>60184</v>
      </c>
      <c r="D910" s="7" t="s">
        <v>1108</v>
      </c>
      <c r="E910" s="8" t="s">
        <v>1109</v>
      </c>
      <c r="G910" s="10">
        <v>3</v>
      </c>
    </row>
    <row r="911" spans="1:7">
      <c r="A911" s="5">
        <v>45460</v>
      </c>
      <c r="B911" s="6">
        <v>60184</v>
      </c>
      <c r="D911" s="7" t="s">
        <v>1110</v>
      </c>
      <c r="E911" s="8" t="s">
        <v>1111</v>
      </c>
      <c r="G911" s="10">
        <v>0.5</v>
      </c>
    </row>
    <row r="912" spans="1:7">
      <c r="A912" s="5">
        <v>45505</v>
      </c>
      <c r="B912" s="6">
        <v>60184</v>
      </c>
      <c r="D912" s="7" t="s">
        <v>1108</v>
      </c>
      <c r="E912" s="8" t="s">
        <v>1112</v>
      </c>
      <c r="G912" s="10">
        <v>0.5</v>
      </c>
    </row>
    <row r="921" spans="1:8">
      <c r="A921" s="5">
        <v>45673</v>
      </c>
      <c r="B921" s="6">
        <v>60195</v>
      </c>
      <c r="D921" s="7" t="s">
        <v>373</v>
      </c>
      <c r="E921" s="8" t="s">
        <v>1113</v>
      </c>
      <c r="G921" s="10">
        <v>0.25</v>
      </c>
    </row>
    <row r="922" spans="1:8">
      <c r="A922" s="5">
        <v>45698</v>
      </c>
      <c r="B922" s="6">
        <v>60195</v>
      </c>
      <c r="D922" s="7" t="s">
        <v>373</v>
      </c>
      <c r="E922" s="8" t="s">
        <v>1114</v>
      </c>
      <c r="G922" s="10">
        <v>0.5</v>
      </c>
    </row>
    <row r="923" spans="1:8">
      <c r="A923" s="5">
        <v>45702</v>
      </c>
      <c r="B923" s="6">
        <v>60195</v>
      </c>
      <c r="D923" s="7" t="s">
        <v>373</v>
      </c>
      <c r="E923" s="8" t="s">
        <v>1115</v>
      </c>
      <c r="G923" s="10">
        <v>0.25</v>
      </c>
    </row>
    <row r="924" spans="1:8">
      <c r="A924" s="5">
        <v>45630</v>
      </c>
      <c r="B924" s="6">
        <v>60199</v>
      </c>
      <c r="D924" s="7" t="s">
        <v>1116</v>
      </c>
      <c r="E924" s="8" t="s">
        <v>1050</v>
      </c>
      <c r="G924" s="10">
        <v>0.25</v>
      </c>
    </row>
    <row r="925" spans="1:8">
      <c r="A925" s="5">
        <v>45664</v>
      </c>
      <c r="B925" s="6">
        <v>60199</v>
      </c>
      <c r="D925" s="7" t="s">
        <v>1116</v>
      </c>
      <c r="E925" s="8" t="s">
        <v>1117</v>
      </c>
      <c r="G925" s="10">
        <v>0.75</v>
      </c>
      <c r="H925" s="5"/>
    </row>
    <row r="926" spans="1:8">
      <c r="A926" s="5">
        <v>45678</v>
      </c>
      <c r="B926" s="6">
        <v>60199</v>
      </c>
      <c r="D926" s="7" t="s">
        <v>1116</v>
      </c>
      <c r="E926" s="8" t="s">
        <v>1118</v>
      </c>
      <c r="G926" s="10">
        <v>0.5</v>
      </c>
    </row>
    <row r="927" spans="1:8" ht="25.5">
      <c r="A927" s="5">
        <v>45601</v>
      </c>
      <c r="B927" s="6">
        <v>60205</v>
      </c>
      <c r="D927" s="7" t="s">
        <v>1119</v>
      </c>
      <c r="E927" s="8" t="s">
        <v>1120</v>
      </c>
      <c r="G927" s="10">
        <v>0.75</v>
      </c>
    </row>
    <row r="928" spans="1:8">
      <c r="A928" s="5">
        <v>45502</v>
      </c>
      <c r="B928" s="6">
        <v>60206</v>
      </c>
      <c r="D928" s="7" t="s">
        <v>1121</v>
      </c>
      <c r="E928" s="8" t="s">
        <v>1122</v>
      </c>
      <c r="G928" s="10">
        <v>0.5</v>
      </c>
    </row>
    <row r="929" spans="1:8">
      <c r="A929" s="5">
        <v>45502</v>
      </c>
      <c r="B929" s="6">
        <v>60206</v>
      </c>
      <c r="D929" s="7" t="s">
        <v>1121</v>
      </c>
      <c r="E929" s="8" t="s">
        <v>1123</v>
      </c>
      <c r="G929" s="10">
        <v>0.25</v>
      </c>
    </row>
    <row r="930" spans="1:8">
      <c r="A930" s="5">
        <v>45594</v>
      </c>
      <c r="B930" s="6">
        <v>60206</v>
      </c>
      <c r="D930" s="7" t="s">
        <v>1121</v>
      </c>
      <c r="E930" s="8" t="s">
        <v>1124</v>
      </c>
      <c r="G930" s="10">
        <v>1</v>
      </c>
    </row>
    <row r="931" spans="1:8" ht="25.5">
      <c r="A931" s="5">
        <v>45609</v>
      </c>
      <c r="B931" s="6">
        <v>60206</v>
      </c>
      <c r="D931" s="7" t="s">
        <v>1121</v>
      </c>
      <c r="E931" s="8" t="s">
        <v>1125</v>
      </c>
      <c r="G931" s="10">
        <v>0.5</v>
      </c>
    </row>
    <row r="932" spans="1:8">
      <c r="A932" s="5">
        <v>45617</v>
      </c>
      <c r="B932" s="6">
        <v>60206</v>
      </c>
      <c r="D932" s="7" t="s">
        <v>1126</v>
      </c>
      <c r="E932" s="8" t="s">
        <v>1127</v>
      </c>
      <c r="G932" s="10">
        <v>0.25</v>
      </c>
    </row>
    <row r="933" spans="1:8">
      <c r="A933" s="5">
        <v>44785</v>
      </c>
      <c r="B933" s="6">
        <v>60207</v>
      </c>
      <c r="D933" s="7" t="s">
        <v>1128</v>
      </c>
      <c r="E933" s="8" t="s">
        <v>1129</v>
      </c>
      <c r="G933" s="10">
        <v>0.5</v>
      </c>
    </row>
    <row r="934" spans="1:8" ht="25.5">
      <c r="A934" s="5">
        <v>44907</v>
      </c>
      <c r="B934" s="6">
        <v>60207</v>
      </c>
      <c r="D934" s="7" t="s">
        <v>1130</v>
      </c>
      <c r="E934" s="8" t="s">
        <v>1131</v>
      </c>
      <c r="G934" s="10">
        <v>1.5</v>
      </c>
    </row>
    <row r="935" spans="1:8">
      <c r="A935" s="5">
        <v>44931</v>
      </c>
      <c r="B935" s="6">
        <v>60207</v>
      </c>
      <c r="D935" s="7" t="s">
        <v>1130</v>
      </c>
      <c r="E935" s="8" t="s">
        <v>1132</v>
      </c>
      <c r="G935" s="10">
        <v>0.25</v>
      </c>
    </row>
    <row r="936" spans="1:8" ht="25.5">
      <c r="A936" s="5">
        <v>45544</v>
      </c>
      <c r="B936" s="6">
        <v>60210</v>
      </c>
      <c r="D936" s="7" t="s">
        <v>1133</v>
      </c>
      <c r="E936" s="8" t="s">
        <v>1134</v>
      </c>
      <c r="G936" s="10">
        <v>0.5</v>
      </c>
    </row>
    <row r="937" spans="1:8">
      <c r="A937" s="5">
        <v>45544</v>
      </c>
      <c r="B937" s="6">
        <v>60210</v>
      </c>
      <c r="D937" s="7" t="s">
        <v>1133</v>
      </c>
      <c r="E937" s="8" t="s">
        <v>1135</v>
      </c>
      <c r="G937" s="10">
        <v>0.25</v>
      </c>
    </row>
    <row r="938" spans="1:8">
      <c r="A938" s="5">
        <v>45545</v>
      </c>
      <c r="B938" s="6">
        <v>60210</v>
      </c>
      <c r="D938" s="7" t="s">
        <v>1133</v>
      </c>
      <c r="E938" s="8" t="s">
        <v>1136</v>
      </c>
      <c r="G938" s="10">
        <v>3</v>
      </c>
    </row>
    <row r="939" spans="1:8">
      <c r="A939" s="5">
        <v>45570</v>
      </c>
      <c r="B939" s="6">
        <v>60210</v>
      </c>
      <c r="D939" s="7" t="s">
        <v>1133</v>
      </c>
      <c r="E939" s="8" t="s">
        <v>1137</v>
      </c>
      <c r="G939" s="10">
        <v>0.5</v>
      </c>
    </row>
    <row r="940" spans="1:8">
      <c r="A940" s="5">
        <v>45706</v>
      </c>
      <c r="B940" s="6">
        <v>60210</v>
      </c>
      <c r="D940" s="7" t="s">
        <v>1133</v>
      </c>
      <c r="E940" s="8" t="s">
        <v>1138</v>
      </c>
      <c r="G940" s="10">
        <v>0.5</v>
      </c>
      <c r="H940" s="19" t="s">
        <v>15</v>
      </c>
    </row>
    <row r="941" spans="1:8">
      <c r="A941" s="5">
        <v>45197</v>
      </c>
      <c r="B941" s="6">
        <v>60211</v>
      </c>
      <c r="D941" s="7" t="s">
        <v>1139</v>
      </c>
      <c r="E941" s="8" t="s">
        <v>1140</v>
      </c>
      <c r="G941" s="10">
        <v>1.5</v>
      </c>
    </row>
    <row r="942" spans="1:8">
      <c r="A942" s="5">
        <v>45273</v>
      </c>
      <c r="B942" s="6">
        <v>60213</v>
      </c>
      <c r="D942" s="7" t="s">
        <v>1141</v>
      </c>
      <c r="E942" s="8" t="s">
        <v>724</v>
      </c>
      <c r="F942" s="9">
        <f>600-488.3</f>
        <v>111.69999999999999</v>
      </c>
    </row>
    <row r="943" spans="1:8">
      <c r="A943" s="5">
        <v>45301</v>
      </c>
      <c r="B943" s="6">
        <v>60213</v>
      </c>
      <c r="D943" s="7" t="s">
        <v>1141</v>
      </c>
      <c r="E943" s="8" t="s">
        <v>1142</v>
      </c>
      <c r="G943" s="10">
        <v>0.5</v>
      </c>
    </row>
    <row r="944" spans="1:8">
      <c r="A944" s="5">
        <v>45419</v>
      </c>
      <c r="B944" s="6">
        <v>60213</v>
      </c>
      <c r="D944" s="7" t="s">
        <v>1141</v>
      </c>
      <c r="E944" s="8" t="s">
        <v>1143</v>
      </c>
      <c r="G944" s="10">
        <v>0.25</v>
      </c>
    </row>
    <row r="945" spans="1:8">
      <c r="A945" s="5">
        <v>45455</v>
      </c>
      <c r="B945" s="6">
        <v>60213</v>
      </c>
      <c r="D945" s="7" t="s">
        <v>1141</v>
      </c>
      <c r="E945" s="8" t="s">
        <v>1144</v>
      </c>
      <c r="G945" s="10">
        <v>0.5</v>
      </c>
    </row>
    <row r="946" spans="1:8">
      <c r="A946" s="5">
        <v>44292</v>
      </c>
      <c r="B946" s="6">
        <v>60217</v>
      </c>
      <c r="D946" s="7" t="s">
        <v>1145</v>
      </c>
      <c r="E946" s="8" t="s">
        <v>705</v>
      </c>
      <c r="G946" s="10">
        <v>0.25</v>
      </c>
    </row>
    <row r="947" spans="1:8">
      <c r="A947" s="5">
        <v>44480</v>
      </c>
      <c r="B947" s="6">
        <v>60217</v>
      </c>
      <c r="D947" s="7" t="s">
        <v>1146</v>
      </c>
      <c r="E947" s="8" t="s">
        <v>1147</v>
      </c>
      <c r="G947" s="10">
        <v>0.5</v>
      </c>
    </row>
    <row r="948" spans="1:8">
      <c r="A948" s="5">
        <v>44483</v>
      </c>
      <c r="B948" s="6">
        <v>60217</v>
      </c>
      <c r="D948" s="7" t="s">
        <v>1146</v>
      </c>
      <c r="E948" s="8" t="s">
        <v>1148</v>
      </c>
      <c r="G948" s="10">
        <v>0.25</v>
      </c>
    </row>
    <row r="949" spans="1:8">
      <c r="A949" s="5">
        <v>45264</v>
      </c>
      <c r="B949" s="6">
        <v>60221</v>
      </c>
      <c r="D949" s="7" t="s">
        <v>1149</v>
      </c>
      <c r="E949" s="8" t="s">
        <v>820</v>
      </c>
      <c r="G949" s="10">
        <v>0.5</v>
      </c>
    </row>
    <row r="950" spans="1:8">
      <c r="A950" s="5">
        <v>45266</v>
      </c>
      <c r="B950" s="6">
        <v>60221</v>
      </c>
      <c r="D950" s="7" t="s">
        <v>1139</v>
      </c>
      <c r="E950" s="8" t="s">
        <v>1150</v>
      </c>
      <c r="G950" s="10">
        <v>0.25</v>
      </c>
    </row>
    <row r="951" spans="1:8">
      <c r="A951" s="5">
        <v>45296</v>
      </c>
      <c r="B951" s="6">
        <v>60221</v>
      </c>
      <c r="D951" s="7" t="s">
        <v>1139</v>
      </c>
      <c r="E951" s="8" t="s">
        <v>343</v>
      </c>
      <c r="G951" s="10">
        <v>0.5</v>
      </c>
    </row>
    <row r="952" spans="1:8">
      <c r="A952" s="5">
        <v>45372</v>
      </c>
      <c r="B952" s="6">
        <v>60227</v>
      </c>
      <c r="D952" s="7" t="s">
        <v>1151</v>
      </c>
      <c r="E952" s="8" t="s">
        <v>1152</v>
      </c>
      <c r="F952" s="9">
        <f>5236.82-1632.9-958.1</f>
        <v>2645.8199999999997</v>
      </c>
      <c r="G952" s="10">
        <f>+F952/120</f>
        <v>22.048499999999997</v>
      </c>
    </row>
    <row r="953" spans="1:8">
      <c r="A953" s="5">
        <v>45372</v>
      </c>
      <c r="B953" s="6">
        <v>60227</v>
      </c>
      <c r="D953" s="7" t="s">
        <v>1153</v>
      </c>
      <c r="E953" s="8" t="s">
        <v>1154</v>
      </c>
      <c r="G953" s="10">
        <v>0.25</v>
      </c>
    </row>
    <row r="954" spans="1:8">
      <c r="A954" s="5">
        <v>45401</v>
      </c>
      <c r="B954" s="6">
        <v>60227</v>
      </c>
      <c r="D954" s="7" t="s">
        <v>1151</v>
      </c>
      <c r="E954" s="8" t="s">
        <v>1155</v>
      </c>
      <c r="G954" s="10">
        <v>0.25</v>
      </c>
    </row>
    <row r="955" spans="1:8">
      <c r="A955" s="5">
        <v>45439</v>
      </c>
      <c r="B955" s="6">
        <v>60227</v>
      </c>
      <c r="D955" s="7" t="s">
        <v>1153</v>
      </c>
      <c r="E955" s="8" t="s">
        <v>1156</v>
      </c>
      <c r="G955" s="10">
        <v>1.5</v>
      </c>
    </row>
    <row r="956" spans="1:8">
      <c r="A956" s="5">
        <v>45443</v>
      </c>
      <c r="B956" s="6">
        <v>60227</v>
      </c>
      <c r="D956" s="7" t="s">
        <v>1157</v>
      </c>
      <c r="E956" s="8" t="s">
        <v>1158</v>
      </c>
      <c r="G956" s="10">
        <v>0.5</v>
      </c>
    </row>
    <row r="957" spans="1:8">
      <c r="A957" s="5">
        <v>45446</v>
      </c>
      <c r="B957" s="6">
        <v>60227</v>
      </c>
      <c r="D957" s="7" t="s">
        <v>1153</v>
      </c>
      <c r="E957" s="8" t="s">
        <v>1159</v>
      </c>
      <c r="G957" s="10">
        <v>0.25</v>
      </c>
    </row>
    <row r="958" spans="1:8">
      <c r="A958" s="5">
        <v>45448</v>
      </c>
      <c r="B958" s="6">
        <v>60227</v>
      </c>
      <c r="D958" s="7" t="s">
        <v>1151</v>
      </c>
      <c r="E958" s="8" t="s">
        <v>1160</v>
      </c>
      <c r="G958" s="10">
        <v>0.25</v>
      </c>
    </row>
    <row r="959" spans="1:8">
      <c r="A959" s="5">
        <v>45467</v>
      </c>
      <c r="B959" s="6">
        <v>60227</v>
      </c>
      <c r="D959" s="7" t="s">
        <v>1151</v>
      </c>
      <c r="E959" s="8" t="s">
        <v>421</v>
      </c>
      <c r="G959" s="10">
        <v>0.25</v>
      </c>
    </row>
    <row r="960" spans="1:8">
      <c r="A960" s="5">
        <v>45540</v>
      </c>
      <c r="B960" s="6">
        <v>60227</v>
      </c>
      <c r="D960" s="7" t="s">
        <v>1151</v>
      </c>
      <c r="E960" s="8" t="s">
        <v>587</v>
      </c>
      <c r="F960" s="9">
        <f>1045-810.3</f>
        <v>234.70000000000005</v>
      </c>
      <c r="G960" s="10">
        <f>+F960/120</f>
        <v>1.9558333333333338</v>
      </c>
      <c r="H960" s="5"/>
    </row>
    <row r="961" spans="1:8">
      <c r="A961" s="5">
        <v>45372</v>
      </c>
      <c r="B961" s="6">
        <v>60228</v>
      </c>
      <c r="D961" s="7" t="s">
        <v>1153</v>
      </c>
      <c r="E961" s="8" t="s">
        <v>1154</v>
      </c>
      <c r="G961" s="10">
        <v>0.25</v>
      </c>
    </row>
    <row r="962" spans="1:8">
      <c r="A962" s="5">
        <v>45540</v>
      </c>
      <c r="B962" s="6">
        <v>60228</v>
      </c>
      <c r="D962" s="7" t="s">
        <v>1161</v>
      </c>
      <c r="E962" s="8" t="s">
        <v>587</v>
      </c>
      <c r="F962" s="9">
        <f>1227.5-777.6</f>
        <v>449.9</v>
      </c>
      <c r="G962" s="10">
        <f>+F962/120</f>
        <v>3.7491666666666665</v>
      </c>
      <c r="H962" s="5"/>
    </row>
    <row r="963" spans="1:8">
      <c r="A963" s="5">
        <v>44918</v>
      </c>
      <c r="B963" s="6">
        <v>60230</v>
      </c>
      <c r="D963" s="7" t="s">
        <v>152</v>
      </c>
      <c r="E963" s="8" t="s">
        <v>1162</v>
      </c>
      <c r="F963" s="9">
        <f>570-459.9+(247.5+20-231.65)</f>
        <v>145.95000000000002</v>
      </c>
      <c r="G963" s="10">
        <f>+F963/120</f>
        <v>1.2162500000000001</v>
      </c>
      <c r="H963" s="5"/>
    </row>
    <row r="972" spans="1:8">
      <c r="A972" s="5">
        <v>45526</v>
      </c>
      <c r="B972" s="6">
        <v>60234</v>
      </c>
      <c r="D972" s="7" t="s">
        <v>269</v>
      </c>
      <c r="E972" s="8" t="s">
        <v>1163</v>
      </c>
      <c r="G972" s="10">
        <v>0.5</v>
      </c>
    </row>
    <row r="973" spans="1:8">
      <c r="A973" s="5">
        <v>45540</v>
      </c>
      <c r="B973" s="6">
        <v>60234</v>
      </c>
      <c r="D973" s="7" t="s">
        <v>269</v>
      </c>
      <c r="E973" s="8" t="s">
        <v>1164</v>
      </c>
      <c r="G973" s="10">
        <v>0.5</v>
      </c>
    </row>
    <row r="974" spans="1:8">
      <c r="A974" s="5">
        <v>45624</v>
      </c>
      <c r="B974" s="6">
        <v>60234</v>
      </c>
      <c r="D974" s="7" t="s">
        <v>269</v>
      </c>
      <c r="E974" s="8" t="s">
        <v>1165</v>
      </c>
      <c r="G974" s="10">
        <v>1</v>
      </c>
    </row>
    <row r="975" spans="1:8">
      <c r="A975" s="5">
        <v>45646</v>
      </c>
      <c r="B975" s="6">
        <v>60234</v>
      </c>
      <c r="D975" s="7" t="s">
        <v>269</v>
      </c>
      <c r="E975" s="8" t="s">
        <v>1166</v>
      </c>
      <c r="G975" s="10">
        <v>0.5</v>
      </c>
    </row>
    <row r="976" spans="1:8">
      <c r="A976" s="5">
        <v>45646</v>
      </c>
      <c r="B976" s="6">
        <v>60234</v>
      </c>
      <c r="D976" s="7" t="s">
        <v>269</v>
      </c>
      <c r="E976" s="8" t="s">
        <v>1167</v>
      </c>
      <c r="G976" s="10">
        <v>0.25</v>
      </c>
    </row>
    <row r="977" spans="1:7" ht="25.5">
      <c r="A977" s="5">
        <v>45677</v>
      </c>
      <c r="B977" s="6">
        <v>60234</v>
      </c>
      <c r="D977" s="7" t="s">
        <v>269</v>
      </c>
      <c r="E977" s="8" t="s">
        <v>1168</v>
      </c>
      <c r="G977" s="10">
        <v>1.25</v>
      </c>
    </row>
    <row r="978" spans="1:7">
      <c r="A978" s="5">
        <v>45688</v>
      </c>
      <c r="B978" s="6">
        <v>60234</v>
      </c>
      <c r="D978" s="7" t="s">
        <v>269</v>
      </c>
      <c r="E978" s="8" t="s">
        <v>1169</v>
      </c>
      <c r="G978" s="10">
        <v>0.25</v>
      </c>
    </row>
    <row r="979" spans="1:7">
      <c r="A979" s="5">
        <v>45603</v>
      </c>
      <c r="B979" s="6">
        <v>60235</v>
      </c>
      <c r="D979" s="7" t="s">
        <v>1170</v>
      </c>
      <c r="E979" s="8" t="s">
        <v>1171</v>
      </c>
      <c r="G979" s="10">
        <v>0.25</v>
      </c>
    </row>
    <row r="980" spans="1:7">
      <c r="A980" s="5">
        <v>45624</v>
      </c>
      <c r="B980" s="6">
        <v>60235</v>
      </c>
      <c r="D980" s="7" t="s">
        <v>1170</v>
      </c>
      <c r="E980" s="8" t="s">
        <v>1172</v>
      </c>
      <c r="G980" s="10">
        <v>0.25</v>
      </c>
    </row>
    <row r="981" spans="1:7">
      <c r="A981" s="5">
        <v>45646</v>
      </c>
      <c r="B981" s="6">
        <v>60235</v>
      </c>
      <c r="D981" s="7" t="s">
        <v>1170</v>
      </c>
      <c r="E981" s="8" t="s">
        <v>1173</v>
      </c>
      <c r="G981" s="10">
        <v>0.5</v>
      </c>
    </row>
    <row r="982" spans="1:7">
      <c r="A982" s="5">
        <v>45666</v>
      </c>
      <c r="B982" s="6">
        <v>60235</v>
      </c>
      <c r="D982" s="7" t="s">
        <v>1170</v>
      </c>
      <c r="E982" s="8" t="s">
        <v>1174</v>
      </c>
      <c r="G982" s="10">
        <v>0.25</v>
      </c>
    </row>
    <row r="983" spans="1:7">
      <c r="A983" s="5">
        <v>45684</v>
      </c>
      <c r="B983" s="6">
        <v>60235</v>
      </c>
      <c r="D983" s="7" t="s">
        <v>1170</v>
      </c>
      <c r="E983" s="8" t="s">
        <v>1175</v>
      </c>
      <c r="G983" s="10">
        <v>0.25</v>
      </c>
    </row>
    <row r="984" spans="1:7">
      <c r="A984" s="5">
        <v>45506</v>
      </c>
      <c r="B984" s="6">
        <v>60236</v>
      </c>
      <c r="D984" s="7" t="s">
        <v>1176</v>
      </c>
      <c r="E984" s="8" t="s">
        <v>1177</v>
      </c>
      <c r="G984" s="10">
        <v>0.25</v>
      </c>
    </row>
    <row r="985" spans="1:7" ht="25.5">
      <c r="A985" s="5">
        <v>45646</v>
      </c>
      <c r="B985" s="6">
        <v>60236</v>
      </c>
      <c r="D985" s="7" t="s">
        <v>1178</v>
      </c>
      <c r="E985" s="8" t="s">
        <v>1179</v>
      </c>
      <c r="G985" s="10">
        <v>1</v>
      </c>
    </row>
    <row r="986" spans="1:7">
      <c r="A986" s="5">
        <v>45649</v>
      </c>
      <c r="B986" s="6">
        <v>60236</v>
      </c>
      <c r="D986" s="7" t="s">
        <v>1176</v>
      </c>
      <c r="E986" s="8" t="s">
        <v>1180</v>
      </c>
      <c r="G986" s="10">
        <v>0.5</v>
      </c>
    </row>
    <row r="987" spans="1:7" ht="25.5">
      <c r="A987" s="5">
        <v>45166</v>
      </c>
      <c r="B987" s="6">
        <v>60237</v>
      </c>
      <c r="D987" s="7" t="s">
        <v>1181</v>
      </c>
      <c r="E987" s="8" t="s">
        <v>1182</v>
      </c>
      <c r="G987" s="10">
        <v>0.5</v>
      </c>
    </row>
    <row r="988" spans="1:7">
      <c r="A988" s="5">
        <v>45187</v>
      </c>
      <c r="B988" s="6">
        <v>60237</v>
      </c>
      <c r="D988" s="7" t="s">
        <v>1183</v>
      </c>
      <c r="E988" s="8" t="s">
        <v>1184</v>
      </c>
      <c r="G988" s="10">
        <v>0.25</v>
      </c>
    </row>
    <row r="989" spans="1:7">
      <c r="A989" s="5">
        <v>45188</v>
      </c>
      <c r="B989" s="6">
        <v>60237</v>
      </c>
      <c r="D989" s="7" t="s">
        <v>1185</v>
      </c>
      <c r="E989" s="8" t="s">
        <v>1186</v>
      </c>
      <c r="G989" s="10">
        <v>1</v>
      </c>
    </row>
    <row r="990" spans="1:7">
      <c r="A990" s="5">
        <v>45188</v>
      </c>
      <c r="B990" s="6">
        <v>60237</v>
      </c>
      <c r="D990" s="7" t="s">
        <v>1047</v>
      </c>
      <c r="E990" s="8" t="s">
        <v>1187</v>
      </c>
      <c r="G990" s="10">
        <v>0.5</v>
      </c>
    </row>
    <row r="991" spans="1:7">
      <c r="A991" s="5">
        <v>45239</v>
      </c>
      <c r="B991" s="6">
        <v>60237</v>
      </c>
      <c r="D991" s="7" t="s">
        <v>1185</v>
      </c>
      <c r="E991" s="8" t="s">
        <v>1188</v>
      </c>
      <c r="G991" s="10">
        <v>0.5</v>
      </c>
    </row>
    <row r="992" spans="1:7">
      <c r="A992" s="5">
        <v>45264</v>
      </c>
      <c r="B992" s="6">
        <v>60237</v>
      </c>
      <c r="D992" s="7" t="s">
        <v>1183</v>
      </c>
      <c r="E992" s="8" t="s">
        <v>1189</v>
      </c>
      <c r="G992" s="10">
        <v>0.5</v>
      </c>
    </row>
    <row r="993" spans="1:7">
      <c r="A993" s="5">
        <v>45313</v>
      </c>
      <c r="B993" s="6">
        <v>60237</v>
      </c>
      <c r="D993" s="7" t="s">
        <v>1183</v>
      </c>
      <c r="E993" s="8" t="s">
        <v>1190</v>
      </c>
      <c r="G993" s="10">
        <v>0.25</v>
      </c>
    </row>
    <row r="994" spans="1:7" ht="25.5">
      <c r="A994" s="5">
        <v>45366</v>
      </c>
      <c r="B994" s="6">
        <v>60237</v>
      </c>
      <c r="D994" s="7" t="s">
        <v>1185</v>
      </c>
      <c r="E994" s="8" t="s">
        <v>1191</v>
      </c>
      <c r="G994" s="10">
        <v>3.25</v>
      </c>
    </row>
    <row r="995" spans="1:7">
      <c r="A995" s="5">
        <v>45370</v>
      </c>
      <c r="B995" s="6">
        <v>60237</v>
      </c>
      <c r="D995" s="7" t="s">
        <v>1183</v>
      </c>
      <c r="E995" s="8" t="s">
        <v>1192</v>
      </c>
      <c r="G995" s="10">
        <v>5</v>
      </c>
    </row>
    <row r="996" spans="1:7" ht="25.5">
      <c r="A996" s="5">
        <v>45490</v>
      </c>
      <c r="B996" s="6">
        <v>60237</v>
      </c>
      <c r="D996" s="7" t="s">
        <v>1183</v>
      </c>
      <c r="E996" s="8" t="s">
        <v>1193</v>
      </c>
      <c r="G996" s="10">
        <v>0.5</v>
      </c>
    </row>
    <row r="997" spans="1:7">
      <c r="A997" s="5">
        <v>45504</v>
      </c>
      <c r="B997" s="6">
        <v>60237</v>
      </c>
      <c r="D997" s="7" t="s">
        <v>1194</v>
      </c>
      <c r="E997" s="8" t="s">
        <v>1195</v>
      </c>
      <c r="G997" s="10">
        <v>1.5</v>
      </c>
    </row>
    <row r="998" spans="1:7">
      <c r="A998" s="5">
        <v>45519</v>
      </c>
      <c r="B998" s="6">
        <v>60237</v>
      </c>
      <c r="D998" s="7" t="s">
        <v>1047</v>
      </c>
      <c r="E998" s="8" t="s">
        <v>1196</v>
      </c>
      <c r="G998" s="10">
        <v>0.5</v>
      </c>
    </row>
    <row r="999" spans="1:7">
      <c r="A999" s="5">
        <v>45531</v>
      </c>
      <c r="B999" s="6">
        <v>60237</v>
      </c>
      <c r="D999" s="7" t="s">
        <v>1185</v>
      </c>
      <c r="E999" s="8" t="s">
        <v>1197</v>
      </c>
      <c r="G999" s="10">
        <v>0.25</v>
      </c>
    </row>
    <row r="1000" spans="1:7" ht="25.5">
      <c r="A1000" s="5">
        <v>45540</v>
      </c>
      <c r="B1000" s="6">
        <v>60237</v>
      </c>
      <c r="D1000" s="7" t="s">
        <v>1047</v>
      </c>
      <c r="E1000" s="8" t="s">
        <v>1198</v>
      </c>
      <c r="G1000" s="10">
        <v>1.25</v>
      </c>
    </row>
    <row r="1001" spans="1:7">
      <c r="A1001" s="5">
        <v>45546</v>
      </c>
      <c r="B1001" s="6">
        <v>60237</v>
      </c>
      <c r="D1001" s="7" t="s">
        <v>1183</v>
      </c>
      <c r="E1001" s="8" t="s">
        <v>1199</v>
      </c>
      <c r="G1001" s="10">
        <v>0.5</v>
      </c>
    </row>
    <row r="1002" spans="1:7">
      <c r="A1002" s="5">
        <v>45548</v>
      </c>
      <c r="B1002" s="6">
        <v>60237</v>
      </c>
      <c r="D1002" s="7" t="s">
        <v>1183</v>
      </c>
      <c r="E1002" s="8" t="s">
        <v>1200</v>
      </c>
      <c r="G1002" s="10">
        <v>0.25</v>
      </c>
    </row>
    <row r="1003" spans="1:7">
      <c r="A1003" s="5">
        <v>45562</v>
      </c>
      <c r="B1003" s="6">
        <v>60237</v>
      </c>
      <c r="D1003" s="7" t="s">
        <v>1047</v>
      </c>
      <c r="E1003" s="8" t="s">
        <v>1201</v>
      </c>
      <c r="G1003" s="10">
        <v>0.5</v>
      </c>
    </row>
    <row r="1004" spans="1:7">
      <c r="A1004" s="5">
        <v>45570</v>
      </c>
      <c r="B1004" s="6">
        <v>60237</v>
      </c>
      <c r="D1004" s="7" t="s">
        <v>1047</v>
      </c>
      <c r="E1004" s="8" t="s">
        <v>1202</v>
      </c>
      <c r="G1004" s="10">
        <v>0.5</v>
      </c>
    </row>
    <row r="1005" spans="1:7" ht="25.5">
      <c r="A1005" s="5">
        <v>45029</v>
      </c>
      <c r="B1005" s="6">
        <v>60242</v>
      </c>
      <c r="D1005" s="7" t="s">
        <v>1203</v>
      </c>
      <c r="E1005" s="8" t="s">
        <v>1204</v>
      </c>
      <c r="G1005" s="10">
        <v>0.75</v>
      </c>
    </row>
    <row r="1006" spans="1:7">
      <c r="A1006" s="5">
        <v>45334</v>
      </c>
      <c r="B1006" s="6">
        <v>60243</v>
      </c>
      <c r="D1006" s="7" t="s">
        <v>1205</v>
      </c>
      <c r="E1006" s="8" t="s">
        <v>153</v>
      </c>
      <c r="F1006" s="9">
        <f>2365-1887.5</f>
        <v>477.5</v>
      </c>
    </row>
    <row r="1007" spans="1:7">
      <c r="A1007" s="5">
        <v>45427</v>
      </c>
      <c r="B1007" s="6">
        <v>60243</v>
      </c>
      <c r="D1007" s="7" t="s">
        <v>1205</v>
      </c>
      <c r="E1007" s="8" t="s">
        <v>1206</v>
      </c>
      <c r="G1007" s="10">
        <v>0.75</v>
      </c>
    </row>
    <row r="1008" spans="1:7">
      <c r="A1008" s="5">
        <v>45449</v>
      </c>
      <c r="B1008" s="6">
        <v>60243</v>
      </c>
      <c r="D1008" s="7" t="s">
        <v>1205</v>
      </c>
      <c r="E1008" s="8" t="s">
        <v>1207</v>
      </c>
      <c r="G1008" s="10">
        <v>0.75</v>
      </c>
    </row>
    <row r="1009" spans="1:13">
      <c r="A1009" s="5">
        <v>45476</v>
      </c>
      <c r="B1009" s="6">
        <v>60243</v>
      </c>
      <c r="D1009" s="7" t="s">
        <v>1205</v>
      </c>
      <c r="E1009" s="8" t="s">
        <v>1208</v>
      </c>
      <c r="G1009" s="10">
        <v>0.5</v>
      </c>
    </row>
    <row r="1010" spans="1:13">
      <c r="A1010" s="5">
        <v>45624</v>
      </c>
      <c r="B1010" s="6">
        <v>60243</v>
      </c>
      <c r="D1010" s="7" t="s">
        <v>1205</v>
      </c>
      <c r="E1010" s="8" t="s">
        <v>1209</v>
      </c>
      <c r="G1010" s="10">
        <v>0.25</v>
      </c>
    </row>
    <row r="1011" spans="1:13">
      <c r="A1011" s="5">
        <v>45688</v>
      </c>
      <c r="B1011" s="6">
        <v>60243</v>
      </c>
      <c r="D1011" s="7" t="s">
        <v>1205</v>
      </c>
      <c r="E1011" s="8" t="s">
        <v>276</v>
      </c>
      <c r="G1011" s="10">
        <v>0.5</v>
      </c>
    </row>
    <row r="1012" spans="1:13">
      <c r="A1012" s="5">
        <v>45688</v>
      </c>
      <c r="B1012" s="6">
        <v>60243</v>
      </c>
      <c r="D1012" s="7" t="s">
        <v>1205</v>
      </c>
      <c r="E1012" s="8" t="s">
        <v>104</v>
      </c>
      <c r="G1012" s="10">
        <v>0.25</v>
      </c>
      <c r="H1012" s="19" t="s">
        <v>15</v>
      </c>
    </row>
    <row r="1013" spans="1:13">
      <c r="A1013" s="5">
        <v>45698</v>
      </c>
      <c r="B1013" s="6">
        <v>60243</v>
      </c>
      <c r="D1013" s="7" t="s">
        <v>1210</v>
      </c>
      <c r="E1013" s="8" t="s">
        <v>1211</v>
      </c>
      <c r="G1013" s="10">
        <v>1</v>
      </c>
    </row>
    <row r="1014" spans="1:13" s="19" customFormat="1">
      <c r="A1014" s="5">
        <v>45589</v>
      </c>
      <c r="B1014" s="6">
        <v>60245</v>
      </c>
      <c r="C1014" s="6"/>
      <c r="D1014" s="7" t="s">
        <v>1212</v>
      </c>
      <c r="E1014" s="8" t="s">
        <v>1213</v>
      </c>
      <c r="F1014" s="9">
        <f>3468.3-2932.65</f>
        <v>535.65000000000009</v>
      </c>
      <c r="G1014" s="10"/>
      <c r="H1014" s="5"/>
      <c r="I1014" s="11"/>
      <c r="J1014" s="11"/>
      <c r="K1014" s="11"/>
      <c r="L1014" s="11"/>
      <c r="M1014" s="11"/>
    </row>
    <row r="1015" spans="1:13" s="19" customFormat="1">
      <c r="A1015" s="5">
        <v>45593</v>
      </c>
      <c r="B1015" s="6">
        <v>60245</v>
      </c>
      <c r="C1015" s="6"/>
      <c r="D1015" s="7" t="s">
        <v>1212</v>
      </c>
      <c r="E1015" s="8" t="s">
        <v>1214</v>
      </c>
      <c r="F1015" s="9"/>
      <c r="G1015" s="10">
        <v>0.25</v>
      </c>
      <c r="I1015" s="11"/>
      <c r="J1015" s="11"/>
      <c r="K1015" s="11"/>
      <c r="L1015" s="11"/>
      <c r="M1015" s="11"/>
    </row>
    <row r="1016" spans="1:13" s="19" customFormat="1">
      <c r="A1016" s="5">
        <v>45609</v>
      </c>
      <c r="B1016" s="6">
        <v>60245</v>
      </c>
      <c r="C1016" s="6"/>
      <c r="D1016" s="7" t="s">
        <v>1212</v>
      </c>
      <c r="E1016" s="8" t="s">
        <v>1215</v>
      </c>
      <c r="F1016" s="9"/>
      <c r="G1016" s="10">
        <v>0.5</v>
      </c>
      <c r="I1016" s="11"/>
      <c r="J1016" s="11"/>
      <c r="K1016" s="11"/>
      <c r="L1016" s="11"/>
      <c r="M1016" s="11"/>
    </row>
    <row r="1017" spans="1:13" s="19" customFormat="1">
      <c r="A1017" s="5">
        <v>45615</v>
      </c>
      <c r="B1017" s="6">
        <v>60245</v>
      </c>
      <c r="C1017" s="6"/>
      <c r="D1017" s="7" t="s">
        <v>1216</v>
      </c>
      <c r="E1017" s="8" t="s">
        <v>1217</v>
      </c>
      <c r="F1017" s="9"/>
      <c r="G1017" s="10">
        <v>0.75</v>
      </c>
      <c r="I1017" s="11"/>
      <c r="J1017" s="11"/>
      <c r="K1017" s="11"/>
      <c r="L1017" s="11"/>
      <c r="M1017" s="11"/>
    </row>
    <row r="1018" spans="1:13" s="19" customFormat="1">
      <c r="A1018" s="5">
        <v>45618</v>
      </c>
      <c r="B1018" s="6">
        <v>60245</v>
      </c>
      <c r="C1018" s="6"/>
      <c r="D1018" s="7" t="s">
        <v>1212</v>
      </c>
      <c r="E1018" s="8" t="s">
        <v>1218</v>
      </c>
      <c r="F1018" s="9"/>
      <c r="G1018" s="10">
        <v>0.5</v>
      </c>
      <c r="I1018" s="11"/>
      <c r="J1018" s="11"/>
      <c r="K1018" s="11"/>
      <c r="L1018" s="11"/>
      <c r="M1018" s="11"/>
    </row>
    <row r="1019" spans="1:13" s="19" customFormat="1">
      <c r="A1019" s="5">
        <v>45629</v>
      </c>
      <c r="B1019" s="6">
        <v>60245</v>
      </c>
      <c r="C1019" s="6"/>
      <c r="D1019" s="7" t="s">
        <v>1212</v>
      </c>
      <c r="E1019" s="8" t="s">
        <v>1219</v>
      </c>
      <c r="F1019" s="9"/>
      <c r="G1019" s="10">
        <v>0.5</v>
      </c>
      <c r="I1019" s="11"/>
      <c r="J1019" s="11"/>
      <c r="K1019" s="11"/>
      <c r="L1019" s="11"/>
      <c r="M1019" s="11"/>
    </row>
    <row r="1020" spans="1:13" s="19" customFormat="1">
      <c r="A1020" s="5">
        <v>45631</v>
      </c>
      <c r="B1020" s="6">
        <v>60245</v>
      </c>
      <c r="C1020" s="6"/>
      <c r="D1020" s="7" t="s">
        <v>1216</v>
      </c>
      <c r="E1020" s="8" t="s">
        <v>1220</v>
      </c>
      <c r="F1020" s="9"/>
      <c r="G1020" s="10">
        <v>0.5</v>
      </c>
      <c r="I1020" s="11"/>
      <c r="J1020" s="11"/>
      <c r="K1020" s="11"/>
      <c r="L1020" s="11"/>
      <c r="M1020" s="11"/>
    </row>
    <row r="1021" spans="1:13" s="19" customFormat="1">
      <c r="A1021" s="5">
        <v>45678</v>
      </c>
      <c r="B1021" s="6">
        <v>60245</v>
      </c>
      <c r="C1021" s="6"/>
      <c r="D1021" s="7" t="s">
        <v>1221</v>
      </c>
      <c r="E1021" s="8" t="s">
        <v>1222</v>
      </c>
      <c r="F1021" s="9"/>
      <c r="G1021" s="10">
        <v>0.5</v>
      </c>
      <c r="I1021" s="11"/>
      <c r="J1021" s="11"/>
      <c r="K1021" s="11"/>
      <c r="L1021" s="11"/>
      <c r="M1021" s="11"/>
    </row>
    <row r="1022" spans="1:13" s="19" customFormat="1">
      <c r="A1022" s="5">
        <v>43886</v>
      </c>
      <c r="B1022" s="6">
        <v>60246</v>
      </c>
      <c r="C1022" s="6"/>
      <c r="D1022" s="7" t="s">
        <v>1052</v>
      </c>
      <c r="E1022" s="8" t="s">
        <v>1223</v>
      </c>
      <c r="F1022" s="9"/>
      <c r="G1022" s="10">
        <v>0.5</v>
      </c>
      <c r="I1022" s="11"/>
      <c r="J1022" s="11"/>
      <c r="K1022" s="11"/>
      <c r="L1022" s="11"/>
      <c r="M1022" s="11"/>
    </row>
    <row r="1023" spans="1:13" s="19" customFormat="1">
      <c r="A1023" s="5">
        <v>43927</v>
      </c>
      <c r="B1023" s="6">
        <v>60246</v>
      </c>
      <c r="C1023" s="6"/>
      <c r="D1023" s="7" t="s">
        <v>1052</v>
      </c>
      <c r="E1023" s="8" t="s">
        <v>1224</v>
      </c>
      <c r="F1023" s="9"/>
      <c r="G1023" s="10">
        <v>0.5</v>
      </c>
      <c r="I1023" s="11"/>
      <c r="J1023" s="11"/>
      <c r="K1023" s="11"/>
      <c r="L1023" s="11"/>
      <c r="M1023" s="11"/>
    </row>
    <row r="1024" spans="1:13" s="19" customFormat="1" ht="25.5">
      <c r="A1024" s="5">
        <v>44746</v>
      </c>
      <c r="B1024" s="6">
        <v>60246</v>
      </c>
      <c r="C1024" s="6"/>
      <c r="D1024" s="7" t="s">
        <v>1052</v>
      </c>
      <c r="E1024" s="8" t="s">
        <v>1225</v>
      </c>
      <c r="F1024" s="9"/>
      <c r="G1024" s="10">
        <v>0.5</v>
      </c>
      <c r="I1024" s="11"/>
      <c r="J1024" s="11"/>
      <c r="K1024" s="11"/>
      <c r="L1024" s="11"/>
      <c r="M1024" s="11"/>
    </row>
    <row r="1025" spans="1:13" s="19" customFormat="1">
      <c r="A1025" s="5">
        <v>45314</v>
      </c>
      <c r="B1025" s="6">
        <v>60246</v>
      </c>
      <c r="C1025" s="6"/>
      <c r="D1025" s="7" t="s">
        <v>1052</v>
      </c>
      <c r="E1025" s="8" t="s">
        <v>1226</v>
      </c>
      <c r="F1025" s="9"/>
      <c r="G1025" s="10">
        <v>0.5</v>
      </c>
      <c r="I1025" s="11"/>
      <c r="J1025" s="11"/>
      <c r="K1025" s="11"/>
      <c r="L1025" s="11"/>
      <c r="M1025" s="11"/>
    </row>
    <row r="1026" spans="1:13" s="19" customFormat="1">
      <c r="A1026" s="5">
        <v>45321</v>
      </c>
      <c r="B1026" s="6">
        <v>60246</v>
      </c>
      <c r="C1026" s="6"/>
      <c r="D1026" s="7" t="s">
        <v>1052</v>
      </c>
      <c r="E1026" s="8" t="s">
        <v>1227</v>
      </c>
      <c r="F1026" s="9"/>
      <c r="G1026" s="10">
        <v>0.75</v>
      </c>
      <c r="I1026" s="11"/>
      <c r="J1026" s="11"/>
    </row>
    <row r="1027" spans="1:13" s="19" customFormat="1">
      <c r="A1027" s="5">
        <v>45404</v>
      </c>
      <c r="B1027" s="6">
        <v>60246</v>
      </c>
      <c r="C1027" s="6"/>
      <c r="D1027" s="7" t="s">
        <v>1052</v>
      </c>
      <c r="E1027" s="8" t="s">
        <v>1228</v>
      </c>
      <c r="F1027" s="9"/>
      <c r="G1027" s="10">
        <v>0.5</v>
      </c>
      <c r="I1027" s="11"/>
      <c r="J1027" s="11"/>
    </row>
    <row r="1028" spans="1:13" s="19" customFormat="1" ht="25.5">
      <c r="A1028" s="5">
        <v>45420</v>
      </c>
      <c r="B1028" s="6">
        <v>60246</v>
      </c>
      <c r="C1028" s="6"/>
      <c r="D1028" s="7" t="s">
        <v>1052</v>
      </c>
      <c r="E1028" s="8" t="s">
        <v>1229</v>
      </c>
      <c r="F1028" s="9"/>
      <c r="G1028" s="10">
        <v>0.5</v>
      </c>
      <c r="I1028" s="11"/>
      <c r="J1028" s="11"/>
    </row>
    <row r="1029" spans="1:13" s="19" customFormat="1">
      <c r="A1029" s="5">
        <v>45439</v>
      </c>
      <c r="B1029" s="6">
        <v>60246</v>
      </c>
      <c r="C1029" s="6"/>
      <c r="D1029" s="7" t="s">
        <v>1052</v>
      </c>
      <c r="E1029" s="8" t="s">
        <v>1230</v>
      </c>
      <c r="F1029" s="9"/>
      <c r="G1029" s="10">
        <v>0.75</v>
      </c>
      <c r="I1029" s="11"/>
      <c r="J1029" s="11"/>
    </row>
    <row r="1030" spans="1:13">
      <c r="A1030" s="5">
        <v>45579</v>
      </c>
      <c r="B1030" s="6">
        <v>60246</v>
      </c>
      <c r="D1030" s="7" t="s">
        <v>1052</v>
      </c>
      <c r="E1030" s="8" t="s">
        <v>1231</v>
      </c>
      <c r="G1030" s="10">
        <v>0.75</v>
      </c>
      <c r="K1030" s="19"/>
      <c r="L1030" s="19"/>
      <c r="M1030" s="19"/>
    </row>
    <row r="1031" spans="1:13">
      <c r="A1031" s="5">
        <v>45643</v>
      </c>
      <c r="B1031" s="6">
        <v>60246</v>
      </c>
      <c r="D1031" s="7" t="s">
        <v>1052</v>
      </c>
      <c r="E1031" s="8" t="s">
        <v>1232</v>
      </c>
      <c r="G1031" s="10">
        <v>2.5</v>
      </c>
      <c r="K1031" s="19"/>
      <c r="L1031" s="19"/>
      <c r="M1031" s="19"/>
    </row>
    <row r="1032" spans="1:13">
      <c r="A1032" s="5">
        <v>45538</v>
      </c>
      <c r="B1032" s="6">
        <v>60247</v>
      </c>
      <c r="D1032" s="7" t="s">
        <v>1233</v>
      </c>
      <c r="E1032" s="8" t="s">
        <v>1234</v>
      </c>
      <c r="G1032" s="10">
        <v>0.25</v>
      </c>
      <c r="K1032" s="19"/>
      <c r="L1032" s="19"/>
      <c r="M1032" s="19"/>
    </row>
    <row r="1033" spans="1:13">
      <c r="A1033" s="5">
        <v>45637</v>
      </c>
      <c r="B1033" s="6">
        <v>60247</v>
      </c>
      <c r="D1033" s="7" t="s">
        <v>1233</v>
      </c>
      <c r="E1033" s="8" t="s">
        <v>1235</v>
      </c>
      <c r="G1033" s="10">
        <v>0.25</v>
      </c>
      <c r="K1033" s="19"/>
      <c r="L1033" s="19"/>
      <c r="M1033" s="19"/>
    </row>
    <row r="1035" spans="1:13">
      <c r="A1035" s="5">
        <v>45595</v>
      </c>
      <c r="B1035" s="6">
        <v>60254</v>
      </c>
      <c r="D1035" s="7" t="s">
        <v>1236</v>
      </c>
      <c r="E1035" s="8" t="s">
        <v>1237</v>
      </c>
      <c r="G1035" s="10">
        <v>0.5</v>
      </c>
      <c r="K1035" s="19"/>
      <c r="L1035" s="19"/>
      <c r="M1035" s="19"/>
    </row>
    <row r="1036" spans="1:13">
      <c r="A1036" s="5">
        <v>45208</v>
      </c>
      <c r="B1036" s="6">
        <v>60261</v>
      </c>
      <c r="D1036" s="7" t="s">
        <v>1238</v>
      </c>
      <c r="E1036" s="8" t="s">
        <v>1239</v>
      </c>
      <c r="G1036" s="10">
        <v>0.25</v>
      </c>
      <c r="K1036" s="19"/>
      <c r="L1036" s="19"/>
      <c r="M1036" s="19"/>
    </row>
    <row r="1037" spans="1:13" ht="25.5">
      <c r="A1037" s="5">
        <v>45404</v>
      </c>
      <c r="B1037" s="6">
        <v>60261</v>
      </c>
      <c r="D1037" s="7" t="s">
        <v>16</v>
      </c>
      <c r="E1037" s="8" t="s">
        <v>1240</v>
      </c>
      <c r="G1037" s="10">
        <v>0.75</v>
      </c>
      <c r="K1037" s="19"/>
      <c r="L1037" s="19"/>
      <c r="M1037" s="19"/>
    </row>
    <row r="1038" spans="1:13">
      <c r="A1038" s="5">
        <v>45429</v>
      </c>
      <c r="B1038" s="6">
        <v>60261</v>
      </c>
      <c r="D1038" s="7" t="s">
        <v>1238</v>
      </c>
      <c r="E1038" s="8" t="s">
        <v>1241</v>
      </c>
      <c r="F1038" s="10"/>
      <c r="G1038" s="10">
        <v>0.25</v>
      </c>
      <c r="K1038" s="19"/>
      <c r="L1038" s="19"/>
      <c r="M1038" s="19"/>
    </row>
    <row r="1039" spans="1:13">
      <c r="A1039" s="5">
        <v>45481</v>
      </c>
      <c r="B1039" s="6">
        <v>60261</v>
      </c>
      <c r="D1039" s="7" t="s">
        <v>1238</v>
      </c>
      <c r="E1039" s="8" t="s">
        <v>1242</v>
      </c>
      <c r="G1039" s="10">
        <v>0.25</v>
      </c>
      <c r="K1039" s="19"/>
      <c r="L1039" s="19"/>
      <c r="M1039" s="19"/>
    </row>
    <row r="1040" spans="1:13">
      <c r="A1040" s="5">
        <v>45482</v>
      </c>
      <c r="B1040" s="6">
        <v>60261</v>
      </c>
      <c r="D1040" s="7" t="s">
        <v>1238</v>
      </c>
      <c r="E1040" s="8" t="s">
        <v>1243</v>
      </c>
      <c r="G1040" s="10">
        <v>1.75</v>
      </c>
      <c r="K1040" s="19"/>
      <c r="L1040" s="19"/>
      <c r="M1040" s="19"/>
    </row>
    <row r="1041" spans="1:13">
      <c r="A1041" s="5">
        <v>45495</v>
      </c>
      <c r="B1041" s="6">
        <v>60261</v>
      </c>
      <c r="D1041" s="7" t="s">
        <v>1238</v>
      </c>
      <c r="E1041" s="8" t="s">
        <v>1244</v>
      </c>
      <c r="G1041" s="10">
        <v>0.5</v>
      </c>
      <c r="K1041" s="19"/>
      <c r="L1041" s="19"/>
      <c r="M1041" s="19"/>
    </row>
    <row r="1042" spans="1:13">
      <c r="A1042" s="5">
        <v>45562</v>
      </c>
      <c r="B1042" s="6">
        <v>60261</v>
      </c>
      <c r="D1042" s="7" t="s">
        <v>16</v>
      </c>
      <c r="E1042" s="8" t="s">
        <v>1245</v>
      </c>
      <c r="G1042" s="10">
        <v>0.5</v>
      </c>
    </row>
    <row r="1043" spans="1:13">
      <c r="A1043" s="5">
        <v>45589</v>
      </c>
      <c r="B1043" s="6">
        <v>60261</v>
      </c>
      <c r="D1043" s="7" t="s">
        <v>16</v>
      </c>
      <c r="E1043" s="8" t="s">
        <v>1246</v>
      </c>
      <c r="G1043" s="10">
        <v>0.25</v>
      </c>
    </row>
    <row r="1044" spans="1:13">
      <c r="A1044" s="5">
        <v>45708</v>
      </c>
      <c r="B1044" s="6">
        <v>60261</v>
      </c>
      <c r="D1044" s="7" t="s">
        <v>1238</v>
      </c>
      <c r="E1044" s="8" t="s">
        <v>1247</v>
      </c>
      <c r="G1044" s="10">
        <v>0.5</v>
      </c>
    </row>
    <row r="1045" spans="1:13">
      <c r="A1045" s="5">
        <v>45713</v>
      </c>
      <c r="B1045" s="6">
        <v>60261</v>
      </c>
      <c r="D1045" s="7" t="s">
        <v>1238</v>
      </c>
      <c r="E1045" s="8" t="s">
        <v>1248</v>
      </c>
      <c r="G1045" s="10">
        <v>1</v>
      </c>
    </row>
    <row r="1046" spans="1:13" s="19" customFormat="1" ht="38.25">
      <c r="A1046" s="5">
        <v>45378</v>
      </c>
      <c r="B1046" s="6">
        <v>60262</v>
      </c>
      <c r="C1046" s="6"/>
      <c r="D1046" s="7" t="s">
        <v>1249</v>
      </c>
      <c r="E1046" s="8" t="s">
        <v>1250</v>
      </c>
      <c r="F1046" s="9"/>
      <c r="G1046" s="10">
        <v>3.75</v>
      </c>
      <c r="I1046" s="11"/>
      <c r="J1046" s="11"/>
      <c r="K1046" s="11"/>
      <c r="L1046" s="11"/>
      <c r="M1046" s="11"/>
    </row>
    <row r="1047" spans="1:13" s="19" customFormat="1">
      <c r="A1047" s="5">
        <v>45379</v>
      </c>
      <c r="B1047" s="6">
        <v>60262</v>
      </c>
      <c r="C1047" s="6"/>
      <c r="D1047" s="7" t="s">
        <v>1249</v>
      </c>
      <c r="E1047" s="8" t="s">
        <v>1251</v>
      </c>
      <c r="F1047" s="9"/>
      <c r="G1047" s="10">
        <v>3</v>
      </c>
      <c r="I1047" s="11"/>
      <c r="J1047" s="11"/>
      <c r="K1047" s="11"/>
      <c r="L1047" s="11"/>
      <c r="M1047" s="11"/>
    </row>
    <row r="1048" spans="1:13" s="19" customFormat="1">
      <c r="A1048" s="5">
        <v>45384</v>
      </c>
      <c r="B1048" s="6">
        <v>60262</v>
      </c>
      <c r="C1048" s="6"/>
      <c r="D1048" s="7" t="s">
        <v>1249</v>
      </c>
      <c r="E1048" s="8" t="s">
        <v>1252</v>
      </c>
      <c r="F1048" s="9"/>
      <c r="G1048" s="10">
        <v>0.25</v>
      </c>
      <c r="I1048" s="11"/>
      <c r="J1048" s="11"/>
      <c r="K1048" s="11"/>
      <c r="L1048" s="11"/>
      <c r="M1048" s="11"/>
    </row>
    <row r="1049" spans="1:13" s="19" customFormat="1">
      <c r="A1049" s="5">
        <v>45391</v>
      </c>
      <c r="B1049" s="6">
        <v>60262</v>
      </c>
      <c r="C1049" s="6"/>
      <c r="D1049" s="7" t="s">
        <v>1027</v>
      </c>
      <c r="E1049" s="8" t="s">
        <v>1253</v>
      </c>
      <c r="F1049" s="9"/>
      <c r="G1049" s="10">
        <v>0.5</v>
      </c>
      <c r="I1049" s="11"/>
      <c r="J1049" s="11"/>
      <c r="K1049" s="11"/>
      <c r="L1049" s="11"/>
      <c r="M1049" s="11"/>
    </row>
    <row r="1050" spans="1:13" s="19" customFormat="1">
      <c r="A1050" s="5">
        <v>45401</v>
      </c>
      <c r="B1050" s="6">
        <v>60262</v>
      </c>
      <c r="C1050" s="6"/>
      <c r="D1050" s="7" t="s">
        <v>1254</v>
      </c>
      <c r="E1050" s="8" t="s">
        <v>1255</v>
      </c>
      <c r="F1050" s="9"/>
      <c r="G1050" s="10">
        <v>0.25</v>
      </c>
      <c r="I1050" s="11"/>
      <c r="J1050" s="11"/>
      <c r="K1050" s="11"/>
      <c r="L1050" s="11"/>
      <c r="M1050" s="11"/>
    </row>
    <row r="1051" spans="1:13" s="19" customFormat="1">
      <c r="A1051" s="5">
        <v>45482</v>
      </c>
      <c r="B1051" s="6">
        <v>60262</v>
      </c>
      <c r="C1051" s="6"/>
      <c r="D1051" s="7" t="s">
        <v>1249</v>
      </c>
      <c r="E1051" s="8" t="s">
        <v>1256</v>
      </c>
      <c r="F1051" s="9"/>
      <c r="G1051" s="10">
        <v>0.5</v>
      </c>
      <c r="I1051" s="11"/>
      <c r="J1051" s="11"/>
      <c r="K1051" s="11"/>
      <c r="L1051" s="11"/>
      <c r="M1051" s="11"/>
    </row>
    <row r="1052" spans="1:13" s="19" customFormat="1">
      <c r="A1052" s="5">
        <v>45497</v>
      </c>
      <c r="B1052" s="6">
        <v>60262</v>
      </c>
      <c r="C1052" s="6"/>
      <c r="D1052" s="7" t="s">
        <v>1249</v>
      </c>
      <c r="E1052" s="8" t="s">
        <v>1257</v>
      </c>
      <c r="F1052" s="9"/>
      <c r="G1052" s="10">
        <v>0.25</v>
      </c>
      <c r="I1052" s="11"/>
      <c r="J1052" s="11"/>
      <c r="K1052" s="11"/>
      <c r="L1052" s="11"/>
      <c r="M1052" s="11"/>
    </row>
    <row r="1053" spans="1:13" s="19" customFormat="1">
      <c r="A1053" s="5">
        <v>45611</v>
      </c>
      <c r="B1053" s="6">
        <v>60262</v>
      </c>
      <c r="C1053" s="6"/>
      <c r="D1053" s="7" t="s">
        <v>1254</v>
      </c>
      <c r="E1053" s="8" t="s">
        <v>1258</v>
      </c>
      <c r="F1053" s="9"/>
      <c r="G1053" s="10">
        <v>0.25</v>
      </c>
      <c r="I1053" s="11"/>
      <c r="J1053" s="11"/>
      <c r="K1053" s="11"/>
      <c r="L1053" s="11"/>
      <c r="M1053" s="11"/>
    </row>
    <row r="1054" spans="1:13" s="19" customFormat="1">
      <c r="A1054" s="5">
        <v>45632</v>
      </c>
      <c r="B1054" s="6">
        <v>60262</v>
      </c>
      <c r="C1054" s="6"/>
      <c r="D1054" s="7" t="s">
        <v>16</v>
      </c>
      <c r="E1054" s="8" t="s">
        <v>1259</v>
      </c>
      <c r="F1054" s="9"/>
      <c r="G1054" s="10">
        <v>1</v>
      </c>
      <c r="I1054" s="11"/>
      <c r="J1054" s="11"/>
      <c r="K1054" s="11"/>
      <c r="L1054" s="11"/>
      <c r="M1054" s="11"/>
    </row>
    <row r="1055" spans="1:13" s="19" customFormat="1">
      <c r="A1055" s="5">
        <v>45644</v>
      </c>
      <c r="B1055" s="6">
        <v>60262</v>
      </c>
      <c r="C1055" s="6"/>
      <c r="D1055" s="7" t="s">
        <v>1254</v>
      </c>
      <c r="E1055" s="8" t="s">
        <v>1260</v>
      </c>
      <c r="F1055" s="9"/>
      <c r="G1055" s="10">
        <v>0.25</v>
      </c>
      <c r="I1055" s="11"/>
      <c r="J1055" s="11"/>
      <c r="K1055" s="11"/>
      <c r="L1055" s="11"/>
      <c r="M1055" s="11"/>
    </row>
    <row r="1056" spans="1:13" s="19" customFormat="1">
      <c r="A1056" s="5">
        <v>45687</v>
      </c>
      <c r="B1056" s="6">
        <v>60262</v>
      </c>
      <c r="C1056" s="6"/>
      <c r="D1056" s="7" t="s">
        <v>1027</v>
      </c>
      <c r="E1056" s="8" t="s">
        <v>1261</v>
      </c>
      <c r="F1056" s="9"/>
      <c r="G1056" s="10">
        <v>0.25</v>
      </c>
      <c r="I1056" s="11"/>
      <c r="J1056" s="11"/>
      <c r="K1056" s="11"/>
      <c r="L1056" s="11"/>
      <c r="M1056" s="11"/>
    </row>
    <row r="1057" spans="1:13" s="19" customFormat="1">
      <c r="A1057" s="5">
        <v>45241</v>
      </c>
      <c r="B1057" s="6">
        <v>60263</v>
      </c>
      <c r="C1057" s="6"/>
      <c r="D1057" s="7" t="s">
        <v>16</v>
      </c>
      <c r="E1057" s="8" t="s">
        <v>1262</v>
      </c>
      <c r="F1057" s="9"/>
      <c r="G1057" s="10">
        <v>0.5</v>
      </c>
      <c r="I1057" s="11"/>
      <c r="J1057" s="11"/>
      <c r="K1057" s="11"/>
      <c r="L1057" s="11"/>
      <c r="M1057" s="11"/>
    </row>
    <row r="1058" spans="1:13" s="19" customFormat="1">
      <c r="A1058" s="5">
        <v>45264</v>
      </c>
      <c r="B1058" s="6">
        <v>60263</v>
      </c>
      <c r="C1058" s="6"/>
      <c r="D1058" s="7" t="s">
        <v>16</v>
      </c>
      <c r="E1058" s="8" t="s">
        <v>1263</v>
      </c>
      <c r="F1058" s="9"/>
      <c r="G1058" s="10">
        <v>0.5</v>
      </c>
      <c r="I1058" s="11"/>
      <c r="J1058" s="11"/>
      <c r="K1058" s="11"/>
      <c r="L1058" s="11"/>
      <c r="M1058" s="11"/>
    </row>
    <row r="1059" spans="1:13" s="19" customFormat="1">
      <c r="A1059" s="5">
        <v>45264</v>
      </c>
      <c r="B1059" s="6">
        <v>60263</v>
      </c>
      <c r="C1059" s="6"/>
      <c r="D1059" s="7" t="s">
        <v>16</v>
      </c>
      <c r="E1059" s="8" t="s">
        <v>1264</v>
      </c>
      <c r="F1059" s="9"/>
      <c r="G1059" s="10">
        <v>1</v>
      </c>
      <c r="I1059" s="11"/>
      <c r="J1059" s="11"/>
      <c r="K1059" s="11"/>
      <c r="L1059" s="11"/>
      <c r="M1059" s="11"/>
    </row>
    <row r="1060" spans="1:13" s="19" customFormat="1">
      <c r="A1060" s="5">
        <v>45306</v>
      </c>
      <c r="B1060" s="6">
        <v>60263</v>
      </c>
      <c r="C1060" s="6"/>
      <c r="D1060" s="7" t="s">
        <v>16</v>
      </c>
      <c r="E1060" s="8" t="s">
        <v>1265</v>
      </c>
      <c r="F1060" s="9"/>
      <c r="G1060" s="10">
        <v>1</v>
      </c>
      <c r="I1060" s="11"/>
      <c r="J1060" s="11"/>
    </row>
    <row r="1061" spans="1:13" s="19" customFormat="1">
      <c r="A1061" s="5">
        <v>45307</v>
      </c>
      <c r="B1061" s="6">
        <v>60263</v>
      </c>
      <c r="C1061" s="6"/>
      <c r="D1061" s="7" t="s">
        <v>16</v>
      </c>
      <c r="E1061" s="8" t="s">
        <v>1266</v>
      </c>
      <c r="F1061" s="9"/>
      <c r="G1061" s="10">
        <v>0.5</v>
      </c>
      <c r="I1061" s="11"/>
      <c r="J1061" s="11"/>
    </row>
    <row r="1062" spans="1:13">
      <c r="A1062" s="5">
        <v>45397</v>
      </c>
      <c r="B1062" s="6">
        <v>60263</v>
      </c>
      <c r="D1062" s="7" t="s">
        <v>16</v>
      </c>
      <c r="E1062" s="8" t="s">
        <v>1267</v>
      </c>
      <c r="G1062" s="10">
        <v>0.75</v>
      </c>
      <c r="K1062" s="19"/>
      <c r="L1062" s="19"/>
      <c r="M1062" s="19"/>
    </row>
    <row r="1063" spans="1:13">
      <c r="A1063" s="5">
        <v>45419</v>
      </c>
      <c r="B1063" s="6">
        <v>60263</v>
      </c>
      <c r="D1063" s="7" t="s">
        <v>16</v>
      </c>
      <c r="E1063" s="8" t="s">
        <v>1268</v>
      </c>
      <c r="G1063" s="10">
        <v>0.5</v>
      </c>
      <c r="K1063" s="19"/>
      <c r="L1063" s="19"/>
      <c r="M1063" s="19"/>
    </row>
    <row r="1064" spans="1:13">
      <c r="A1064" s="5">
        <v>45603</v>
      </c>
      <c r="B1064" s="6">
        <v>60263</v>
      </c>
      <c r="D1064" s="7" t="s">
        <v>16</v>
      </c>
      <c r="E1064" s="8" t="s">
        <v>1269</v>
      </c>
      <c r="G1064" s="10">
        <v>1.25</v>
      </c>
      <c r="K1064" s="19"/>
      <c r="L1064" s="19"/>
      <c r="M1064" s="19"/>
    </row>
    <row r="1065" spans="1:13">
      <c r="A1065" s="5">
        <v>45604</v>
      </c>
      <c r="B1065" s="6">
        <v>60263</v>
      </c>
      <c r="D1065" s="7" t="s">
        <v>16</v>
      </c>
      <c r="E1065" s="8" t="s">
        <v>1270</v>
      </c>
      <c r="G1065" s="10">
        <v>1.5</v>
      </c>
      <c r="I1065" s="19"/>
      <c r="J1065" s="19"/>
      <c r="K1065" s="19"/>
      <c r="L1065" s="19"/>
      <c r="M1065" s="19"/>
    </row>
    <row r="1066" spans="1:13" ht="25.5">
      <c r="A1066" s="5">
        <v>45615</v>
      </c>
      <c r="B1066" s="6">
        <v>60263</v>
      </c>
      <c r="D1066" s="7" t="s">
        <v>16</v>
      </c>
      <c r="E1066" s="8" t="s">
        <v>1271</v>
      </c>
      <c r="G1066" s="10">
        <v>2</v>
      </c>
      <c r="I1066" s="19"/>
      <c r="J1066" s="19"/>
      <c r="K1066" s="19"/>
      <c r="L1066" s="19"/>
      <c r="M1066" s="19"/>
    </row>
    <row r="1067" spans="1:13">
      <c r="A1067" s="5">
        <v>45621</v>
      </c>
      <c r="B1067" s="6">
        <v>60263</v>
      </c>
      <c r="D1067" s="7" t="s">
        <v>16</v>
      </c>
      <c r="E1067" s="8" t="s">
        <v>1272</v>
      </c>
      <c r="G1067" s="10">
        <v>1</v>
      </c>
      <c r="I1067" s="19"/>
      <c r="J1067" s="19"/>
      <c r="K1067" s="19"/>
      <c r="L1067" s="19"/>
      <c r="M1067" s="19"/>
    </row>
    <row r="1068" spans="1:13">
      <c r="A1068" s="5">
        <v>45642</v>
      </c>
      <c r="B1068" s="6">
        <v>60263</v>
      </c>
      <c r="D1068" s="7" t="s">
        <v>16</v>
      </c>
      <c r="E1068" s="8" t="s">
        <v>1273</v>
      </c>
      <c r="G1068" s="10">
        <v>0.5</v>
      </c>
      <c r="I1068" s="19"/>
      <c r="J1068" s="19"/>
      <c r="K1068" s="19"/>
      <c r="L1068" s="19"/>
      <c r="M1068" s="19"/>
    </row>
    <row r="1069" spans="1:13">
      <c r="A1069" s="5">
        <v>45642</v>
      </c>
      <c r="B1069" s="6">
        <v>60263</v>
      </c>
      <c r="D1069" s="7" t="s">
        <v>16</v>
      </c>
      <c r="E1069" s="8" t="s">
        <v>1274</v>
      </c>
      <c r="G1069" s="10">
        <v>0.5</v>
      </c>
      <c r="I1069" s="19"/>
      <c r="J1069" s="19"/>
      <c r="K1069" s="19"/>
      <c r="L1069" s="19"/>
      <c r="M1069" s="19"/>
    </row>
    <row r="1070" spans="1:13" ht="25.5">
      <c r="A1070" s="5">
        <v>45677</v>
      </c>
      <c r="B1070" s="6">
        <v>60263</v>
      </c>
      <c r="D1070" s="7" t="s">
        <v>16</v>
      </c>
      <c r="E1070" s="8" t="s">
        <v>1275</v>
      </c>
      <c r="G1070" s="10">
        <v>1.25</v>
      </c>
      <c r="I1070" s="19"/>
      <c r="J1070" s="19"/>
      <c r="K1070" s="19"/>
      <c r="L1070" s="19"/>
      <c r="M1070" s="19"/>
    </row>
    <row r="1071" spans="1:13">
      <c r="A1071" s="5">
        <v>45579</v>
      </c>
      <c r="B1071" s="6">
        <v>60264</v>
      </c>
      <c r="D1071" s="7" t="s">
        <v>1276</v>
      </c>
      <c r="E1071" s="8" t="s">
        <v>1277</v>
      </c>
      <c r="G1071" s="10">
        <v>0.25</v>
      </c>
      <c r="I1071" s="19"/>
      <c r="J1071" s="19"/>
      <c r="K1071" s="19"/>
      <c r="L1071" s="19"/>
      <c r="M1071" s="19"/>
    </row>
    <row r="1072" spans="1:13">
      <c r="A1072" s="5">
        <v>45645</v>
      </c>
      <c r="B1072" s="6">
        <v>60264</v>
      </c>
      <c r="D1072" s="7" t="s">
        <v>1276</v>
      </c>
      <c r="E1072" s="8" t="s">
        <v>1278</v>
      </c>
      <c r="G1072" s="10">
        <v>0.75</v>
      </c>
      <c r="I1072" s="19"/>
      <c r="J1072" s="19"/>
      <c r="K1072" s="19"/>
      <c r="L1072" s="19"/>
      <c r="M1072" s="19"/>
    </row>
    <row r="1073" spans="1:13">
      <c r="A1073" s="5">
        <v>45251</v>
      </c>
      <c r="B1073" s="6">
        <v>60265</v>
      </c>
      <c r="D1073" s="7" t="s">
        <v>1279</v>
      </c>
      <c r="E1073" s="8" t="s">
        <v>153</v>
      </c>
      <c r="F1073" s="9">
        <f>608.9-535.4</f>
        <v>73.5</v>
      </c>
      <c r="G1073" s="10">
        <f>+F1073/120</f>
        <v>0.61250000000000004</v>
      </c>
      <c r="I1073" s="19"/>
      <c r="J1073" s="19"/>
      <c r="K1073" s="19"/>
      <c r="L1073" s="19"/>
      <c r="M1073" s="19"/>
    </row>
    <row r="1074" spans="1:13">
      <c r="A1074" s="5">
        <v>45635</v>
      </c>
      <c r="B1074" s="6">
        <v>60265</v>
      </c>
      <c r="D1074" s="7" t="s">
        <v>1280</v>
      </c>
      <c r="E1074" s="8" t="s">
        <v>1281</v>
      </c>
      <c r="G1074" s="10">
        <v>0.75</v>
      </c>
      <c r="I1074" s="19"/>
      <c r="J1074" s="19"/>
      <c r="K1074" s="19"/>
      <c r="L1074" s="19"/>
      <c r="M1074" s="19"/>
    </row>
    <row r="1075" spans="1:13">
      <c r="A1075" s="5">
        <v>45664</v>
      </c>
      <c r="B1075" s="6">
        <v>60265</v>
      </c>
      <c r="D1075" s="7" t="s">
        <v>1279</v>
      </c>
      <c r="E1075" s="8" t="s">
        <v>689</v>
      </c>
      <c r="G1075" s="10">
        <v>0.25</v>
      </c>
      <c r="I1075" s="19"/>
      <c r="J1075" s="19"/>
      <c r="K1075" s="19"/>
      <c r="L1075" s="19"/>
      <c r="M1075" s="19"/>
    </row>
    <row r="1076" spans="1:13">
      <c r="A1076" s="5">
        <v>45705</v>
      </c>
      <c r="B1076" s="6">
        <v>60265</v>
      </c>
      <c r="D1076" s="7" t="s">
        <v>1279</v>
      </c>
      <c r="E1076" s="8" t="s">
        <v>1173</v>
      </c>
      <c r="G1076" s="10">
        <v>0.5</v>
      </c>
    </row>
    <row r="1077" spans="1:13">
      <c r="A1077" s="5">
        <v>44991</v>
      </c>
      <c r="B1077" s="6">
        <v>60266</v>
      </c>
      <c r="D1077" s="7" t="s">
        <v>1282</v>
      </c>
      <c r="E1077" s="8" t="s">
        <v>1283</v>
      </c>
      <c r="G1077" s="10">
        <v>0.5</v>
      </c>
      <c r="I1077" s="19"/>
      <c r="J1077" s="19"/>
    </row>
    <row r="1078" spans="1:13">
      <c r="A1078" s="5">
        <v>45037</v>
      </c>
      <c r="B1078" s="6">
        <v>60266</v>
      </c>
      <c r="D1078" s="7" t="s">
        <v>1284</v>
      </c>
      <c r="E1078" s="8" t="s">
        <v>1285</v>
      </c>
      <c r="G1078" s="10">
        <v>0.5</v>
      </c>
      <c r="I1078" s="19"/>
      <c r="J1078" s="19"/>
    </row>
    <row r="1079" spans="1:13">
      <c r="A1079" s="5">
        <v>45061</v>
      </c>
      <c r="B1079" s="6">
        <v>60266</v>
      </c>
      <c r="D1079" s="7" t="s">
        <v>1284</v>
      </c>
      <c r="E1079" s="8" t="s">
        <v>1286</v>
      </c>
      <c r="G1079" s="10">
        <v>0.5</v>
      </c>
      <c r="I1079" s="19"/>
      <c r="J1079" s="19"/>
    </row>
    <row r="1080" spans="1:13">
      <c r="A1080" s="5">
        <v>45593</v>
      </c>
      <c r="B1080" s="6">
        <v>60266</v>
      </c>
      <c r="D1080" s="7" t="s">
        <v>1287</v>
      </c>
      <c r="E1080" s="8" t="s">
        <v>1288</v>
      </c>
      <c r="G1080" s="10">
        <v>0.75</v>
      </c>
      <c r="I1080" s="19"/>
      <c r="J1080" s="19"/>
    </row>
    <row r="1081" spans="1:13" ht="25.5">
      <c r="A1081" s="5">
        <v>44106</v>
      </c>
      <c r="B1081" s="6">
        <v>60268</v>
      </c>
      <c r="D1081" s="7" t="s">
        <v>1289</v>
      </c>
      <c r="E1081" s="8" t="s">
        <v>1290</v>
      </c>
      <c r="G1081" s="10">
        <v>0.5</v>
      </c>
      <c r="I1081" s="19"/>
      <c r="J1081" s="19"/>
    </row>
    <row r="1082" spans="1:13">
      <c r="A1082" s="5">
        <v>45616</v>
      </c>
      <c r="B1082" s="6">
        <v>60270</v>
      </c>
      <c r="D1082" s="7" t="s">
        <v>1291</v>
      </c>
      <c r="E1082" s="8" t="s">
        <v>1292</v>
      </c>
      <c r="G1082" s="10">
        <v>1.5</v>
      </c>
    </row>
    <row r="1083" spans="1:13" ht="25.5">
      <c r="A1083" s="5">
        <v>45617</v>
      </c>
      <c r="B1083" s="6">
        <v>60270</v>
      </c>
      <c r="D1083" s="7" t="s">
        <v>1291</v>
      </c>
      <c r="E1083" s="8" t="s">
        <v>1293</v>
      </c>
      <c r="F1083" s="10"/>
      <c r="G1083" s="10">
        <v>2.25</v>
      </c>
    </row>
    <row r="1084" spans="1:13">
      <c r="A1084" s="5">
        <v>45618</v>
      </c>
      <c r="B1084" s="6">
        <v>60270</v>
      </c>
      <c r="D1084" s="7" t="s">
        <v>1003</v>
      </c>
      <c r="E1084" s="8" t="s">
        <v>1294</v>
      </c>
      <c r="G1084" s="10">
        <v>1.25</v>
      </c>
    </row>
    <row r="1085" spans="1:13">
      <c r="A1085" s="5">
        <v>45622</v>
      </c>
      <c r="B1085" s="6">
        <v>60270</v>
      </c>
      <c r="D1085" s="7" t="s">
        <v>1003</v>
      </c>
      <c r="E1085" s="8" t="s">
        <v>1295</v>
      </c>
      <c r="G1085" s="10">
        <v>0.75</v>
      </c>
    </row>
    <row r="1086" spans="1:13">
      <c r="A1086" s="5">
        <v>45635</v>
      </c>
      <c r="B1086" s="6">
        <v>60270</v>
      </c>
      <c r="D1086" s="7" t="s">
        <v>1003</v>
      </c>
      <c r="E1086" s="8" t="s">
        <v>1296</v>
      </c>
      <c r="G1086" s="10">
        <v>0.5</v>
      </c>
    </row>
    <row r="1087" spans="1:13">
      <c r="A1087" s="5">
        <v>45589</v>
      </c>
      <c r="B1087" s="6">
        <v>60272</v>
      </c>
      <c r="D1087" s="7" t="s">
        <v>1297</v>
      </c>
      <c r="E1087" s="8" t="s">
        <v>1064</v>
      </c>
      <c r="G1087" s="10">
        <v>0.5</v>
      </c>
    </row>
    <row r="1088" spans="1:13">
      <c r="A1088" s="5">
        <v>45602</v>
      </c>
      <c r="B1088" s="6">
        <v>60272</v>
      </c>
      <c r="D1088" s="7" t="s">
        <v>1297</v>
      </c>
      <c r="E1088" s="8" t="s">
        <v>1298</v>
      </c>
      <c r="G1088" s="10">
        <v>0.75</v>
      </c>
    </row>
    <row r="1089" spans="1:10">
      <c r="A1089" s="5">
        <v>45694</v>
      </c>
      <c r="B1089" s="6">
        <v>60272</v>
      </c>
      <c r="D1089" s="7" t="s">
        <v>1297</v>
      </c>
      <c r="E1089" s="8" t="s">
        <v>1299</v>
      </c>
      <c r="G1089" s="10">
        <v>1</v>
      </c>
    </row>
    <row r="1090" spans="1:10">
      <c r="A1090" s="5">
        <v>45335</v>
      </c>
      <c r="B1090" s="6">
        <v>60273</v>
      </c>
      <c r="D1090" s="7" t="s">
        <v>1300</v>
      </c>
      <c r="E1090" s="8" t="s">
        <v>1301</v>
      </c>
      <c r="G1090" s="10">
        <v>0.5</v>
      </c>
    </row>
    <row r="1091" spans="1:10">
      <c r="A1091" s="5">
        <v>45525</v>
      </c>
      <c r="B1091" s="6">
        <v>60275</v>
      </c>
      <c r="D1091" s="7" t="s">
        <v>1170</v>
      </c>
      <c r="E1091" s="8" t="s">
        <v>1302</v>
      </c>
      <c r="G1091" s="10">
        <v>0.25</v>
      </c>
    </row>
    <row r="1092" spans="1:10">
      <c r="A1092" s="5">
        <v>45218</v>
      </c>
      <c r="B1092" s="6">
        <v>60282</v>
      </c>
      <c r="D1092" s="7" t="s">
        <v>1303</v>
      </c>
      <c r="E1092" s="8" t="s">
        <v>1304</v>
      </c>
      <c r="G1092" s="10">
        <v>0.75</v>
      </c>
    </row>
    <row r="1093" spans="1:10" ht="25.5">
      <c r="A1093" s="5">
        <v>44308</v>
      </c>
      <c r="B1093" s="6">
        <v>60283</v>
      </c>
      <c r="D1093" s="7" t="s">
        <v>16</v>
      </c>
      <c r="E1093" s="8" t="s">
        <v>1305</v>
      </c>
      <c r="G1093" s="10">
        <v>0.5</v>
      </c>
    </row>
    <row r="1094" spans="1:10" ht="25.5">
      <c r="A1094" s="5">
        <v>44361</v>
      </c>
      <c r="B1094" s="6">
        <v>60283</v>
      </c>
      <c r="D1094" s="7" t="s">
        <v>1306</v>
      </c>
      <c r="E1094" s="8" t="s">
        <v>1307</v>
      </c>
      <c r="G1094" s="10">
        <v>0.5</v>
      </c>
    </row>
    <row r="1095" spans="1:10">
      <c r="A1095" s="5">
        <v>43966</v>
      </c>
      <c r="B1095" s="6">
        <v>60286</v>
      </c>
      <c r="D1095" s="7" t="s">
        <v>1308</v>
      </c>
      <c r="E1095" s="8" t="s">
        <v>1309</v>
      </c>
      <c r="G1095" s="10">
        <v>0.5</v>
      </c>
    </row>
    <row r="1096" spans="1:10">
      <c r="A1096" s="5">
        <v>44005</v>
      </c>
      <c r="B1096" s="6">
        <v>60286</v>
      </c>
      <c r="D1096" s="7" t="s">
        <v>1310</v>
      </c>
      <c r="E1096" s="8" t="s">
        <v>1311</v>
      </c>
      <c r="G1096" s="10">
        <v>0.5</v>
      </c>
    </row>
    <row r="1097" spans="1:10">
      <c r="A1097" s="5">
        <v>45441</v>
      </c>
      <c r="B1097" s="6">
        <v>60289</v>
      </c>
      <c r="D1097" s="7" t="s">
        <v>1312</v>
      </c>
      <c r="E1097" s="8" t="s">
        <v>1313</v>
      </c>
      <c r="G1097" s="10">
        <v>0.75</v>
      </c>
    </row>
    <row r="1098" spans="1:10">
      <c r="A1098" s="5">
        <v>45450</v>
      </c>
      <c r="B1098" s="6">
        <v>60289</v>
      </c>
      <c r="D1098" s="7" t="s">
        <v>1312</v>
      </c>
      <c r="E1098" s="8" t="s">
        <v>1314</v>
      </c>
      <c r="G1098" s="10">
        <v>0.5</v>
      </c>
    </row>
    <row r="1099" spans="1:10">
      <c r="A1099" s="5">
        <v>45453</v>
      </c>
      <c r="B1099" s="6">
        <v>60299</v>
      </c>
      <c r="D1099" s="7" t="s">
        <v>1315</v>
      </c>
      <c r="E1099" s="8" t="s">
        <v>1316</v>
      </c>
      <c r="G1099" s="10">
        <v>0.5</v>
      </c>
      <c r="I1099" s="19"/>
      <c r="J1099" s="19"/>
    </row>
    <row r="1100" spans="1:10">
      <c r="A1100" s="5">
        <v>45456</v>
      </c>
      <c r="B1100" s="6">
        <v>60299</v>
      </c>
      <c r="D1100" s="7" t="s">
        <v>1317</v>
      </c>
      <c r="E1100" s="8" t="s">
        <v>1318</v>
      </c>
      <c r="G1100" s="10">
        <v>0.5</v>
      </c>
      <c r="I1100" s="19"/>
      <c r="J1100" s="19"/>
    </row>
    <row r="1101" spans="1:10">
      <c r="A1101" s="5">
        <v>45457</v>
      </c>
      <c r="B1101" s="6">
        <v>60299</v>
      </c>
      <c r="D1101" s="7" t="s">
        <v>1315</v>
      </c>
      <c r="E1101" s="8" t="s">
        <v>1319</v>
      </c>
      <c r="G1101" s="10">
        <v>0.25</v>
      </c>
      <c r="I1101" s="19"/>
      <c r="J1101" s="19"/>
    </row>
    <row r="1102" spans="1:10">
      <c r="A1102" s="5">
        <v>45231</v>
      </c>
      <c r="B1102" s="6">
        <v>60307</v>
      </c>
      <c r="D1102" s="7" t="s">
        <v>1320</v>
      </c>
      <c r="E1102" s="8" t="s">
        <v>1321</v>
      </c>
      <c r="G1102" s="10">
        <v>0.25</v>
      </c>
      <c r="I1102" s="19"/>
      <c r="J1102" s="19"/>
    </row>
    <row r="1103" spans="1:10">
      <c r="A1103" s="5">
        <v>45378</v>
      </c>
      <c r="B1103" s="6">
        <v>60307</v>
      </c>
      <c r="D1103" s="7" t="s">
        <v>1320</v>
      </c>
      <c r="E1103" s="8" t="s">
        <v>101</v>
      </c>
      <c r="G1103" s="10">
        <v>0.5</v>
      </c>
      <c r="I1103" s="19"/>
      <c r="J1103" s="19"/>
    </row>
    <row r="1104" spans="1:10">
      <c r="A1104" s="5">
        <v>45484</v>
      </c>
      <c r="B1104" s="6">
        <v>60311</v>
      </c>
      <c r="D1104" s="7" t="s">
        <v>1322</v>
      </c>
      <c r="E1104" s="8" t="s">
        <v>11</v>
      </c>
      <c r="G1104" s="10">
        <v>0.25</v>
      </c>
      <c r="I1104" s="19"/>
      <c r="J1104" s="19"/>
    </row>
    <row r="1105" spans="1:10" ht="25.5">
      <c r="A1105" s="5">
        <v>45506</v>
      </c>
      <c r="B1105" s="6">
        <v>60311</v>
      </c>
      <c r="D1105" s="7" t="s">
        <v>1322</v>
      </c>
      <c r="E1105" s="8" t="s">
        <v>1323</v>
      </c>
      <c r="G1105" s="10">
        <v>0.75</v>
      </c>
      <c r="I1105" s="19"/>
      <c r="J1105" s="19"/>
    </row>
    <row r="1106" spans="1:10">
      <c r="A1106" s="5">
        <v>45537</v>
      </c>
      <c r="B1106" s="6">
        <v>60311</v>
      </c>
      <c r="D1106" s="7" t="s">
        <v>1322</v>
      </c>
      <c r="E1106" s="8" t="s">
        <v>1324</v>
      </c>
      <c r="G1106" s="10">
        <v>0.5</v>
      </c>
      <c r="I1106" s="19"/>
      <c r="J1106" s="19"/>
    </row>
    <row r="1107" spans="1:10">
      <c r="A1107" s="5">
        <v>45538</v>
      </c>
      <c r="B1107" s="6">
        <v>60311</v>
      </c>
      <c r="D1107" s="7" t="s">
        <v>1322</v>
      </c>
      <c r="E1107" s="8" t="s">
        <v>1325</v>
      </c>
      <c r="G1107" s="10">
        <v>0.75</v>
      </c>
      <c r="I1107" s="19"/>
      <c r="J1107" s="19"/>
    </row>
    <row r="1108" spans="1:10">
      <c r="A1108" s="5">
        <v>45565</v>
      </c>
      <c r="B1108" s="6">
        <v>60311</v>
      </c>
      <c r="D1108" s="7" t="s">
        <v>1322</v>
      </c>
      <c r="E1108" s="8" t="s">
        <v>1206</v>
      </c>
      <c r="G1108" s="10">
        <v>0.5</v>
      </c>
      <c r="I1108" s="19"/>
      <c r="J1108" s="19"/>
    </row>
    <row r="1109" spans="1:10">
      <c r="A1109" s="5">
        <v>43955</v>
      </c>
      <c r="B1109" s="6">
        <v>60324</v>
      </c>
      <c r="D1109" s="7" t="s">
        <v>269</v>
      </c>
      <c r="E1109" s="8" t="s">
        <v>1326</v>
      </c>
      <c r="G1109" s="10">
        <v>0.25</v>
      </c>
      <c r="I1109" s="19"/>
      <c r="J1109" s="19"/>
    </row>
    <row r="1110" spans="1:10">
      <c r="A1110" s="5">
        <v>44361</v>
      </c>
      <c r="B1110" s="6">
        <v>60324</v>
      </c>
      <c r="D1110" s="7" t="s">
        <v>269</v>
      </c>
      <c r="E1110" s="8" t="s">
        <v>1327</v>
      </c>
      <c r="G1110" s="10">
        <v>0.5</v>
      </c>
      <c r="I1110" s="19"/>
      <c r="J1110" s="19"/>
    </row>
    <row r="1111" spans="1:10">
      <c r="A1111" s="5">
        <v>45546</v>
      </c>
      <c r="B1111" s="6">
        <v>60325</v>
      </c>
      <c r="D1111" s="7" t="s">
        <v>1328</v>
      </c>
      <c r="E1111" s="8" t="s">
        <v>1329</v>
      </c>
      <c r="G1111" s="10">
        <v>0.25</v>
      </c>
      <c r="I1111" s="19"/>
      <c r="J1111" s="19"/>
    </row>
    <row r="1112" spans="1:10">
      <c r="A1112" s="5">
        <v>45565</v>
      </c>
      <c r="B1112" s="6">
        <v>60325</v>
      </c>
      <c r="D1112" s="7" t="s">
        <v>1328</v>
      </c>
      <c r="E1112" s="8" t="s">
        <v>1330</v>
      </c>
      <c r="G1112" s="10">
        <v>0.25</v>
      </c>
      <c r="I1112" s="19"/>
      <c r="J1112" s="19"/>
    </row>
    <row r="1113" spans="1:10">
      <c r="A1113" s="5">
        <v>45499</v>
      </c>
      <c r="B1113" s="6">
        <v>60326</v>
      </c>
      <c r="D1113" s="7" t="s">
        <v>1331</v>
      </c>
      <c r="E1113" s="8" t="s">
        <v>1332</v>
      </c>
      <c r="G1113" s="10">
        <v>0.5</v>
      </c>
      <c r="I1113" s="19"/>
      <c r="J1113" s="19"/>
    </row>
    <row r="1114" spans="1:10">
      <c r="A1114" s="5">
        <v>45499</v>
      </c>
      <c r="B1114" s="6">
        <v>60326</v>
      </c>
      <c r="D1114" s="7" t="s">
        <v>1331</v>
      </c>
      <c r="E1114" s="8" t="s">
        <v>1045</v>
      </c>
      <c r="G1114" s="10">
        <v>0.25</v>
      </c>
      <c r="I1114" s="19"/>
      <c r="J1114" s="19"/>
    </row>
    <row r="1115" spans="1:10">
      <c r="A1115" s="5">
        <v>45518</v>
      </c>
      <c r="B1115" s="6">
        <v>60326</v>
      </c>
      <c r="D1115" s="7" t="s">
        <v>1331</v>
      </c>
      <c r="E1115" s="8" t="s">
        <v>1333</v>
      </c>
      <c r="G1115" s="10">
        <v>0.5</v>
      </c>
    </row>
    <row r="1116" spans="1:10">
      <c r="A1116" s="5">
        <v>45581</v>
      </c>
      <c r="B1116" s="6">
        <v>60326</v>
      </c>
      <c r="D1116" s="7" t="s">
        <v>1331</v>
      </c>
      <c r="E1116" s="8" t="s">
        <v>1334</v>
      </c>
      <c r="G1116" s="10">
        <v>0.25</v>
      </c>
    </row>
    <row r="1117" spans="1:10">
      <c r="A1117" s="5">
        <v>45608</v>
      </c>
      <c r="B1117" s="6">
        <v>60326</v>
      </c>
      <c r="D1117" s="7" t="s">
        <v>1331</v>
      </c>
      <c r="E1117" s="8" t="s">
        <v>1335</v>
      </c>
      <c r="G1117" s="10">
        <v>1</v>
      </c>
    </row>
    <row r="1118" spans="1:10">
      <c r="A1118" s="5">
        <v>45666</v>
      </c>
      <c r="B1118" s="6">
        <v>60326</v>
      </c>
      <c r="D1118" s="7" t="s">
        <v>1331</v>
      </c>
      <c r="E1118" s="8" t="s">
        <v>1336</v>
      </c>
      <c r="G1118" s="10">
        <v>0.25</v>
      </c>
    </row>
    <row r="1119" spans="1:10">
      <c r="A1119" s="5">
        <v>45579</v>
      </c>
      <c r="B1119" s="6">
        <v>60327</v>
      </c>
      <c r="D1119" s="7" t="s">
        <v>1337</v>
      </c>
      <c r="E1119" s="8" t="s">
        <v>1338</v>
      </c>
      <c r="G1119" s="10">
        <v>0.25</v>
      </c>
    </row>
    <row r="1120" spans="1:10">
      <c r="A1120" s="5">
        <v>45518</v>
      </c>
      <c r="B1120" s="6">
        <v>60329</v>
      </c>
      <c r="D1120" s="7" t="s">
        <v>1339</v>
      </c>
      <c r="E1120" s="8" t="s">
        <v>1340</v>
      </c>
      <c r="G1120" s="10">
        <v>1.25</v>
      </c>
    </row>
    <row r="1121" spans="1:7">
      <c r="A1121" s="5">
        <v>45521</v>
      </c>
      <c r="B1121" s="6">
        <v>60329</v>
      </c>
      <c r="D1121" s="7" t="s">
        <v>1339</v>
      </c>
      <c r="E1121" s="8" t="s">
        <v>1341</v>
      </c>
      <c r="G1121" s="10">
        <v>0.5</v>
      </c>
    </row>
    <row r="1122" spans="1:7">
      <c r="A1122" s="5">
        <v>45538</v>
      </c>
      <c r="B1122" s="6">
        <v>60329</v>
      </c>
      <c r="D1122" s="7" t="s">
        <v>1342</v>
      </c>
      <c r="E1122" s="8" t="s">
        <v>1343</v>
      </c>
      <c r="G1122" s="10">
        <v>0.25</v>
      </c>
    </row>
    <row r="1123" spans="1:7">
      <c r="A1123" s="5">
        <v>45600</v>
      </c>
      <c r="B1123" s="6">
        <v>60329</v>
      </c>
      <c r="D1123" s="7" t="s">
        <v>1344</v>
      </c>
      <c r="E1123" s="8" t="s">
        <v>1345</v>
      </c>
      <c r="G1123" s="10">
        <v>0.5</v>
      </c>
    </row>
    <row r="1124" spans="1:7" ht="51">
      <c r="A1124" s="5">
        <v>45637</v>
      </c>
      <c r="B1124" s="6">
        <v>60329</v>
      </c>
      <c r="D1124" s="7" t="s">
        <v>1346</v>
      </c>
      <c r="E1124" s="8" t="s">
        <v>1347</v>
      </c>
      <c r="G1124" s="10">
        <v>1</v>
      </c>
    </row>
    <row r="1125" spans="1:7">
      <c r="A1125" s="5">
        <v>45637</v>
      </c>
      <c r="B1125" s="6">
        <v>60329</v>
      </c>
      <c r="D1125" s="7" t="s">
        <v>1346</v>
      </c>
      <c r="E1125" s="8" t="s">
        <v>1348</v>
      </c>
      <c r="G1125" s="10">
        <v>0.5</v>
      </c>
    </row>
    <row r="1126" spans="1:7">
      <c r="A1126" s="5">
        <v>45688</v>
      </c>
      <c r="B1126" s="6">
        <v>60329</v>
      </c>
      <c r="D1126" s="7" t="s">
        <v>1349</v>
      </c>
      <c r="E1126" s="8" t="s">
        <v>1350</v>
      </c>
      <c r="G1126" s="10">
        <v>0.5</v>
      </c>
    </row>
    <row r="1127" spans="1:7" ht="25.5">
      <c r="A1127" s="5">
        <v>45105</v>
      </c>
      <c r="B1127" s="6">
        <v>60330</v>
      </c>
      <c r="D1127" s="7" t="s">
        <v>1351</v>
      </c>
      <c r="E1127" s="8" t="s">
        <v>1352</v>
      </c>
      <c r="G1127" s="10">
        <v>0.25</v>
      </c>
    </row>
    <row r="1128" spans="1:7">
      <c r="A1128" s="5">
        <v>45317</v>
      </c>
      <c r="B1128" s="6">
        <v>60330</v>
      </c>
      <c r="D1128" s="7" t="s">
        <v>1351</v>
      </c>
      <c r="E1128" s="8" t="s">
        <v>1353</v>
      </c>
      <c r="G1128" s="10">
        <v>0.5</v>
      </c>
    </row>
    <row r="1129" spans="1:7">
      <c r="A1129" s="5">
        <v>44378</v>
      </c>
      <c r="B1129" s="6">
        <v>60333</v>
      </c>
      <c r="D1129" s="7" t="s">
        <v>1354</v>
      </c>
      <c r="E1129" s="8" t="s">
        <v>1355</v>
      </c>
      <c r="F1129" s="9">
        <f>1193.7-1003.8</f>
        <v>189.90000000000009</v>
      </c>
      <c r="G1129" s="10">
        <f>+F1129/100</f>
        <v>1.8990000000000009</v>
      </c>
    </row>
    <row r="1130" spans="1:7">
      <c r="A1130" s="5">
        <v>45240</v>
      </c>
      <c r="B1130" s="6">
        <v>60333</v>
      </c>
      <c r="D1130" s="7" t="s">
        <v>1356</v>
      </c>
      <c r="E1130" s="8" t="s">
        <v>1357</v>
      </c>
      <c r="F1130" s="9">
        <f>1300-989.1</f>
        <v>310.89999999999998</v>
      </c>
      <c r="G1130" s="10">
        <f>+F1130/100</f>
        <v>3.109</v>
      </c>
    </row>
    <row r="1131" spans="1:7">
      <c r="A1131" s="5">
        <v>45635</v>
      </c>
      <c r="B1131" s="6">
        <v>60333</v>
      </c>
      <c r="D1131" s="7" t="s">
        <v>1354</v>
      </c>
      <c r="E1131" s="8" t="s">
        <v>1358</v>
      </c>
      <c r="G1131" s="10">
        <v>0.25</v>
      </c>
    </row>
    <row r="1132" spans="1:7">
      <c r="A1132" s="5">
        <v>45665</v>
      </c>
      <c r="B1132" s="6">
        <v>60333</v>
      </c>
      <c r="D1132" s="7" t="s">
        <v>1356</v>
      </c>
      <c r="E1132" s="8" t="s">
        <v>1359</v>
      </c>
      <c r="G1132" s="10">
        <v>0.5</v>
      </c>
    </row>
    <row r="1133" spans="1:7">
      <c r="A1133" s="5">
        <v>45666</v>
      </c>
      <c r="B1133" s="6">
        <v>60333</v>
      </c>
      <c r="D1133" s="7" t="s">
        <v>1356</v>
      </c>
      <c r="E1133" s="8" t="s">
        <v>1360</v>
      </c>
      <c r="G1133" s="10">
        <v>0.5</v>
      </c>
    </row>
    <row r="1134" spans="1:7">
      <c r="A1134" s="5">
        <v>43943</v>
      </c>
      <c r="B1134" s="6">
        <v>60334</v>
      </c>
      <c r="D1134" s="7" t="s">
        <v>1205</v>
      </c>
      <c r="E1134" s="8" t="s">
        <v>1361</v>
      </c>
      <c r="G1134" s="10">
        <v>0.25</v>
      </c>
    </row>
    <row r="1135" spans="1:7">
      <c r="A1135" s="5">
        <v>45296</v>
      </c>
      <c r="B1135" s="6">
        <v>60334</v>
      </c>
      <c r="D1135" s="7" t="s">
        <v>1362</v>
      </c>
      <c r="E1135" s="8" t="s">
        <v>1363</v>
      </c>
      <c r="G1135" s="10">
        <v>0.5</v>
      </c>
    </row>
    <row r="1136" spans="1:7">
      <c r="A1136" s="5">
        <v>45299</v>
      </c>
      <c r="B1136" s="6">
        <v>60334</v>
      </c>
      <c r="D1136" s="7" t="s">
        <v>1362</v>
      </c>
      <c r="E1136" s="8" t="s">
        <v>1364</v>
      </c>
      <c r="F1136" s="9">
        <f>1022.99-838.23</f>
        <v>184.76</v>
      </c>
      <c r="G1136" s="10">
        <v>1</v>
      </c>
    </row>
    <row r="1137" spans="1:7">
      <c r="A1137" s="5">
        <v>45342</v>
      </c>
      <c r="B1137" s="6">
        <v>60334</v>
      </c>
      <c r="D1137" s="7" t="s">
        <v>1365</v>
      </c>
      <c r="E1137" s="8" t="s">
        <v>1366</v>
      </c>
      <c r="G1137" s="10">
        <v>0.25</v>
      </c>
    </row>
    <row r="1138" spans="1:7">
      <c r="A1138" s="5">
        <v>45362</v>
      </c>
      <c r="B1138" s="6">
        <v>60334</v>
      </c>
      <c r="D1138" s="7" t="s">
        <v>1362</v>
      </c>
      <c r="E1138" s="8" t="s">
        <v>1367</v>
      </c>
      <c r="G1138" s="10">
        <v>0.75</v>
      </c>
    </row>
    <row r="1139" spans="1:7">
      <c r="A1139" s="5">
        <v>45376</v>
      </c>
      <c r="B1139" s="6">
        <v>60334</v>
      </c>
      <c r="D1139" s="7" t="s">
        <v>1362</v>
      </c>
      <c r="E1139" s="8" t="s">
        <v>1368</v>
      </c>
      <c r="G1139" s="10">
        <v>0.5</v>
      </c>
    </row>
    <row r="1140" spans="1:7">
      <c r="A1140" s="5">
        <v>45435</v>
      </c>
      <c r="B1140" s="6">
        <v>60334</v>
      </c>
      <c r="D1140" s="7" t="s">
        <v>1362</v>
      </c>
      <c r="E1140" s="8" t="s">
        <v>308</v>
      </c>
      <c r="G1140" s="10">
        <v>0.25</v>
      </c>
    </row>
    <row r="1141" spans="1:7">
      <c r="A1141" s="5">
        <v>45322</v>
      </c>
      <c r="B1141" s="6">
        <v>60338</v>
      </c>
      <c r="D1141" s="7" t="s">
        <v>1369</v>
      </c>
      <c r="E1141" s="8" t="s">
        <v>1370</v>
      </c>
      <c r="G1141" s="10">
        <v>0.5</v>
      </c>
    </row>
    <row r="1142" spans="1:7" ht="25.5">
      <c r="A1142" s="5">
        <v>45323</v>
      </c>
      <c r="B1142" s="6">
        <v>60338</v>
      </c>
      <c r="D1142" s="7" t="s">
        <v>1369</v>
      </c>
      <c r="E1142" s="8" t="s">
        <v>1371</v>
      </c>
      <c r="G1142" s="10">
        <v>1.5</v>
      </c>
    </row>
    <row r="1143" spans="1:7">
      <c r="A1143" s="5">
        <v>45324</v>
      </c>
      <c r="B1143" s="6">
        <v>60338</v>
      </c>
      <c r="D1143" s="7" t="s">
        <v>1372</v>
      </c>
      <c r="E1143" s="8" t="s">
        <v>1373</v>
      </c>
      <c r="G1143" s="10">
        <v>0.5</v>
      </c>
    </row>
    <row r="1144" spans="1:7">
      <c r="A1144" s="5">
        <v>45329</v>
      </c>
      <c r="B1144" s="6">
        <v>60338</v>
      </c>
      <c r="D1144" s="7" t="s">
        <v>1372</v>
      </c>
      <c r="E1144" s="8" t="s">
        <v>1374</v>
      </c>
      <c r="G1144" s="10">
        <v>0.5</v>
      </c>
    </row>
    <row r="1145" spans="1:7">
      <c r="A1145" s="5">
        <v>45344</v>
      </c>
      <c r="B1145" s="6">
        <v>60338</v>
      </c>
      <c r="D1145" s="7" t="s">
        <v>1372</v>
      </c>
      <c r="E1145" s="8" t="s">
        <v>1375</v>
      </c>
      <c r="G1145" s="10">
        <v>0.5</v>
      </c>
    </row>
    <row r="1146" spans="1:7">
      <c r="A1146" s="5">
        <v>45467</v>
      </c>
      <c r="B1146" s="6">
        <v>60338</v>
      </c>
      <c r="D1146" s="7" t="s">
        <v>1376</v>
      </c>
      <c r="E1146" s="8" t="s">
        <v>421</v>
      </c>
      <c r="G1146" s="10">
        <v>0.25</v>
      </c>
    </row>
    <row r="1147" spans="1:7">
      <c r="A1147" s="5">
        <v>45303</v>
      </c>
      <c r="B1147" s="6">
        <v>60339</v>
      </c>
      <c r="D1147" s="7" t="s">
        <v>1372</v>
      </c>
      <c r="E1147" s="8" t="s">
        <v>1377</v>
      </c>
      <c r="G1147" s="10">
        <v>0.25</v>
      </c>
    </row>
    <row r="1148" spans="1:7">
      <c r="A1148" s="5">
        <v>45332</v>
      </c>
      <c r="B1148" s="6">
        <v>60339</v>
      </c>
      <c r="D1148" s="7" t="s">
        <v>1369</v>
      </c>
      <c r="E1148" s="8" t="s">
        <v>1378</v>
      </c>
      <c r="G1148" s="10">
        <v>1</v>
      </c>
    </row>
    <row r="1149" spans="1:7">
      <c r="A1149" s="5">
        <v>45345</v>
      </c>
      <c r="B1149" s="6">
        <v>60339</v>
      </c>
      <c r="D1149" s="7" t="s">
        <v>1379</v>
      </c>
      <c r="E1149" s="8" t="s">
        <v>1380</v>
      </c>
      <c r="G1149" s="10">
        <v>0.5</v>
      </c>
    </row>
    <row r="1150" spans="1:7">
      <c r="A1150" s="5">
        <v>44711</v>
      </c>
      <c r="B1150" s="6">
        <v>60340</v>
      </c>
      <c r="D1150" s="7" t="s">
        <v>1381</v>
      </c>
      <c r="E1150" s="8" t="s">
        <v>1382</v>
      </c>
      <c r="G1150" s="10">
        <v>0.5</v>
      </c>
    </row>
    <row r="1151" spans="1:7">
      <c r="A1151" s="5">
        <v>45387</v>
      </c>
      <c r="B1151" s="6">
        <v>60340</v>
      </c>
      <c r="D1151" s="7" t="s">
        <v>1381</v>
      </c>
      <c r="E1151" s="8" t="s">
        <v>1383</v>
      </c>
      <c r="F1151" s="9">
        <f>1426.25-1190.7</f>
        <v>235.54999999999995</v>
      </c>
      <c r="G1151" s="10">
        <f>+F1151/120</f>
        <v>1.9629166666666662</v>
      </c>
    </row>
    <row r="1152" spans="1:7">
      <c r="A1152" s="5">
        <v>45404</v>
      </c>
      <c r="B1152" s="6">
        <v>60340</v>
      </c>
      <c r="D1152" s="7" t="s">
        <v>1381</v>
      </c>
      <c r="E1152" s="8" t="s">
        <v>1384</v>
      </c>
      <c r="G1152" s="10">
        <v>1.5</v>
      </c>
    </row>
    <row r="1153" spans="1:8">
      <c r="A1153" s="5">
        <v>45481</v>
      </c>
      <c r="B1153" s="6">
        <v>60340</v>
      </c>
      <c r="D1153" s="7" t="s">
        <v>1381</v>
      </c>
      <c r="E1153" s="8" t="s">
        <v>383</v>
      </c>
      <c r="G1153" s="10">
        <v>0.25</v>
      </c>
    </row>
    <row r="1154" spans="1:8">
      <c r="A1154" s="5">
        <v>45540</v>
      </c>
      <c r="B1154" s="6">
        <v>60340</v>
      </c>
      <c r="D1154" s="7" t="s">
        <v>1381</v>
      </c>
      <c r="E1154" s="8" t="s">
        <v>1385</v>
      </c>
      <c r="F1154" s="9">
        <f>886.25-605.4</f>
        <v>280.85000000000002</v>
      </c>
      <c r="G1154" s="10">
        <f>+F1154/120</f>
        <v>2.340416666666667</v>
      </c>
      <c r="H1154" s="5"/>
    </row>
    <row r="1155" spans="1:8">
      <c r="A1155" s="5">
        <v>45706</v>
      </c>
      <c r="B1155" s="6">
        <v>60340</v>
      </c>
      <c r="D1155" s="7" t="s">
        <v>1381</v>
      </c>
      <c r="E1155" s="8" t="s">
        <v>1386</v>
      </c>
      <c r="G1155" s="10">
        <v>0.5</v>
      </c>
    </row>
    <row r="1156" spans="1:8">
      <c r="A1156" s="5">
        <v>45497</v>
      </c>
      <c r="B1156" s="6">
        <v>60343</v>
      </c>
      <c r="D1156" s="7" t="s">
        <v>1387</v>
      </c>
      <c r="E1156" s="8" t="s">
        <v>1143</v>
      </c>
      <c r="G1156" s="10">
        <v>0.25</v>
      </c>
    </row>
    <row r="1157" spans="1:8">
      <c r="A1157" s="5">
        <v>45551</v>
      </c>
      <c r="B1157" s="6">
        <v>60343</v>
      </c>
      <c r="D1157" s="7" t="s">
        <v>1387</v>
      </c>
      <c r="E1157" s="8" t="s">
        <v>343</v>
      </c>
      <c r="G1157" s="10">
        <v>0.5</v>
      </c>
    </row>
    <row r="1158" spans="1:8">
      <c r="A1158" s="18">
        <v>44797</v>
      </c>
      <c r="B1158" s="6">
        <v>60347</v>
      </c>
      <c r="D1158" s="6" t="s">
        <v>1388</v>
      </c>
      <c r="E1158" s="11" t="s">
        <v>1389</v>
      </c>
      <c r="F1158" s="9">
        <f>1316.78-561.38-41.48</f>
        <v>713.92</v>
      </c>
      <c r="G1158" s="10">
        <f>+F1158/100</f>
        <v>7.1391999999999998</v>
      </c>
      <c r="H1158" s="11"/>
    </row>
    <row r="1159" spans="1:8">
      <c r="A1159" s="5">
        <v>45274</v>
      </c>
      <c r="B1159" s="6">
        <v>60347</v>
      </c>
      <c r="D1159" s="7" t="s">
        <v>1390</v>
      </c>
      <c r="E1159" s="8" t="s">
        <v>1391</v>
      </c>
      <c r="G1159" s="10">
        <v>0.5</v>
      </c>
    </row>
    <row r="1160" spans="1:8">
      <c r="A1160" s="5">
        <v>45345</v>
      </c>
      <c r="B1160" s="6">
        <v>60347</v>
      </c>
      <c r="D1160" s="7" t="s">
        <v>1392</v>
      </c>
      <c r="E1160" s="8" t="s">
        <v>820</v>
      </c>
      <c r="G1160" s="10">
        <v>0.25</v>
      </c>
    </row>
    <row r="1161" spans="1:8">
      <c r="A1161" s="5">
        <v>45588</v>
      </c>
      <c r="B1161" s="6">
        <v>60350</v>
      </c>
      <c r="D1161" s="7" t="s">
        <v>1393</v>
      </c>
      <c r="E1161" s="8" t="s">
        <v>1394</v>
      </c>
      <c r="G1161" s="10">
        <v>0.25</v>
      </c>
    </row>
    <row r="1162" spans="1:8">
      <c r="A1162" s="5">
        <v>45684</v>
      </c>
      <c r="B1162" s="6">
        <v>60350</v>
      </c>
      <c r="D1162" s="7" t="s">
        <v>1393</v>
      </c>
      <c r="E1162" s="8" t="s">
        <v>1395</v>
      </c>
      <c r="G1162" s="10">
        <v>0.75</v>
      </c>
    </row>
    <row r="1163" spans="1:8">
      <c r="A1163" s="5">
        <v>45695</v>
      </c>
      <c r="B1163" s="6">
        <v>60350</v>
      </c>
      <c r="D1163" s="7" t="s">
        <v>1393</v>
      </c>
      <c r="E1163" s="8" t="s">
        <v>1396</v>
      </c>
      <c r="G1163" s="10">
        <v>0.75</v>
      </c>
    </row>
    <row r="1164" spans="1:8">
      <c r="A1164" s="5">
        <v>45397</v>
      </c>
      <c r="B1164" s="6">
        <v>60352</v>
      </c>
      <c r="D1164" s="7" t="s">
        <v>727</v>
      </c>
      <c r="E1164" s="8" t="s">
        <v>1397</v>
      </c>
      <c r="G1164" s="10">
        <v>0.25</v>
      </c>
    </row>
    <row r="1165" spans="1:8">
      <c r="A1165" s="5">
        <v>44756</v>
      </c>
      <c r="B1165" s="6">
        <v>60353</v>
      </c>
      <c r="D1165" s="7" t="s">
        <v>1398</v>
      </c>
      <c r="E1165" s="8" t="s">
        <v>1399</v>
      </c>
      <c r="G1165" s="10">
        <v>0.25</v>
      </c>
    </row>
    <row r="1166" spans="1:8">
      <c r="A1166" s="5">
        <v>44756</v>
      </c>
      <c r="B1166" s="6">
        <v>60353</v>
      </c>
      <c r="D1166" s="7" t="s">
        <v>1398</v>
      </c>
      <c r="E1166" s="8" t="s">
        <v>1400</v>
      </c>
      <c r="G1166" s="10">
        <v>0.5</v>
      </c>
    </row>
    <row r="1167" spans="1:8">
      <c r="A1167" s="5">
        <v>44756</v>
      </c>
      <c r="B1167" s="6">
        <v>60353</v>
      </c>
      <c r="D1167" s="7" t="s">
        <v>1398</v>
      </c>
      <c r="E1167" s="8" t="s">
        <v>1401</v>
      </c>
      <c r="G1167" s="10">
        <v>0.25</v>
      </c>
    </row>
    <row r="1168" spans="1:8" ht="25.5">
      <c r="A1168" s="5">
        <v>44785</v>
      </c>
      <c r="B1168" s="6">
        <v>60353</v>
      </c>
      <c r="D1168" s="7" t="s">
        <v>1398</v>
      </c>
      <c r="E1168" s="8" t="s">
        <v>1402</v>
      </c>
      <c r="G1168" s="10">
        <v>0.75</v>
      </c>
    </row>
    <row r="1169" spans="1:7">
      <c r="A1169" s="5">
        <v>44794</v>
      </c>
      <c r="B1169" s="6">
        <v>60353</v>
      </c>
      <c r="D1169" s="7" t="s">
        <v>1398</v>
      </c>
      <c r="E1169" s="8" t="s">
        <v>1403</v>
      </c>
      <c r="G1169" s="10">
        <v>0.75</v>
      </c>
    </row>
    <row r="1170" spans="1:7">
      <c r="A1170" s="5">
        <v>44838</v>
      </c>
      <c r="B1170" s="6">
        <v>60353</v>
      </c>
      <c r="D1170" s="7" t="s">
        <v>1398</v>
      </c>
      <c r="E1170" s="8" t="s">
        <v>1404</v>
      </c>
      <c r="G1170" s="10">
        <v>0.75</v>
      </c>
    </row>
    <row r="1171" spans="1:7">
      <c r="A1171" s="5">
        <v>44204</v>
      </c>
      <c r="B1171" s="6">
        <v>60354</v>
      </c>
      <c r="D1171" s="7" t="s">
        <v>535</v>
      </c>
      <c r="E1171" s="8" t="s">
        <v>1405</v>
      </c>
      <c r="G1171" s="10">
        <v>0.75</v>
      </c>
    </row>
    <row r="1172" spans="1:7">
      <c r="A1172" s="5">
        <v>45187</v>
      </c>
      <c r="B1172" s="6">
        <v>60356</v>
      </c>
      <c r="D1172" s="7" t="s">
        <v>1406</v>
      </c>
      <c r="E1172" s="8" t="s">
        <v>1407</v>
      </c>
      <c r="G1172" s="10">
        <v>0.75</v>
      </c>
    </row>
    <row r="1173" spans="1:7">
      <c r="A1173" s="5">
        <v>45189</v>
      </c>
      <c r="B1173" s="6">
        <v>60356</v>
      </c>
      <c r="D1173" s="7" t="s">
        <v>1408</v>
      </c>
      <c r="E1173" s="8" t="s">
        <v>1409</v>
      </c>
      <c r="G1173" s="10">
        <v>0.5</v>
      </c>
    </row>
    <row r="1174" spans="1:7">
      <c r="A1174" s="5">
        <v>45236</v>
      </c>
      <c r="B1174" s="6">
        <v>60356</v>
      </c>
      <c r="D1174" s="7" t="s">
        <v>1410</v>
      </c>
      <c r="E1174" s="8" t="s">
        <v>1411</v>
      </c>
      <c r="G1174" s="10">
        <v>0.75</v>
      </c>
    </row>
    <row r="1175" spans="1:7">
      <c r="A1175" s="5">
        <v>45397</v>
      </c>
      <c r="B1175" s="6">
        <v>60356</v>
      </c>
      <c r="D1175" s="7" t="s">
        <v>731</v>
      </c>
      <c r="E1175" s="8" t="s">
        <v>1412</v>
      </c>
      <c r="G1175" s="10">
        <v>0.5</v>
      </c>
    </row>
    <row r="1176" spans="1:7">
      <c r="A1176" s="5">
        <v>45426</v>
      </c>
      <c r="B1176" s="6">
        <v>60356</v>
      </c>
      <c r="D1176" s="7" t="s">
        <v>1410</v>
      </c>
      <c r="E1176" s="8" t="s">
        <v>1413</v>
      </c>
      <c r="G1176" s="10">
        <v>0.5</v>
      </c>
    </row>
    <row r="1177" spans="1:7">
      <c r="A1177" s="5">
        <v>45553</v>
      </c>
      <c r="B1177" s="6">
        <v>60356</v>
      </c>
      <c r="D1177" s="7" t="s">
        <v>1410</v>
      </c>
      <c r="E1177" s="8" t="s">
        <v>1414</v>
      </c>
      <c r="G1177" s="10">
        <v>0.5</v>
      </c>
    </row>
    <row r="1178" spans="1:7">
      <c r="A1178" s="5">
        <v>45581</v>
      </c>
      <c r="B1178" s="6">
        <v>60358</v>
      </c>
      <c r="D1178" s="7" t="s">
        <v>1415</v>
      </c>
      <c r="E1178" s="8" t="s">
        <v>1416</v>
      </c>
      <c r="G1178" s="10">
        <v>1</v>
      </c>
    </row>
    <row r="1179" spans="1:7" ht="25.5">
      <c r="A1179" s="5">
        <v>45582</v>
      </c>
      <c r="B1179" s="6">
        <v>60358</v>
      </c>
      <c r="D1179" s="7" t="s">
        <v>1415</v>
      </c>
      <c r="E1179" s="8" t="s">
        <v>1417</v>
      </c>
      <c r="G1179" s="10">
        <v>1.5</v>
      </c>
    </row>
    <row r="1180" spans="1:7">
      <c r="A1180" s="5">
        <v>45595</v>
      </c>
      <c r="B1180" s="6">
        <v>60358</v>
      </c>
      <c r="D1180" s="7" t="s">
        <v>1418</v>
      </c>
      <c r="E1180" s="8" t="s">
        <v>1419</v>
      </c>
      <c r="G1180" s="10">
        <v>0.25</v>
      </c>
    </row>
    <row r="1181" spans="1:7">
      <c r="A1181" s="5">
        <v>45601</v>
      </c>
      <c r="B1181" s="6">
        <v>60358</v>
      </c>
      <c r="D1181" s="7" t="s">
        <v>1418</v>
      </c>
      <c r="E1181" s="8" t="s">
        <v>1420</v>
      </c>
      <c r="G1181" s="10">
        <v>0.25</v>
      </c>
    </row>
    <row r="1182" spans="1:7" ht="25.5">
      <c r="A1182" s="5">
        <v>45666</v>
      </c>
      <c r="B1182" s="6">
        <v>60358</v>
      </c>
      <c r="D1182" s="7" t="s">
        <v>1418</v>
      </c>
      <c r="E1182" s="8" t="s">
        <v>1421</v>
      </c>
      <c r="G1182" s="10">
        <v>0.25</v>
      </c>
    </row>
    <row r="1183" spans="1:7">
      <c r="A1183" s="5">
        <v>44890</v>
      </c>
      <c r="B1183" s="6">
        <v>60362</v>
      </c>
      <c r="D1183" s="7" t="s">
        <v>1422</v>
      </c>
      <c r="E1183" s="8" t="s">
        <v>1423</v>
      </c>
      <c r="G1183" s="10">
        <v>0.25</v>
      </c>
    </row>
    <row r="1184" spans="1:7">
      <c r="A1184" s="5">
        <v>44893</v>
      </c>
      <c r="B1184" s="6">
        <v>60362</v>
      </c>
      <c r="D1184" s="7" t="s">
        <v>1422</v>
      </c>
      <c r="E1184" s="8" t="s">
        <v>1424</v>
      </c>
      <c r="G1184" s="10">
        <v>0.5</v>
      </c>
    </row>
    <row r="1185" spans="1:13" s="19" customFormat="1">
      <c r="A1185" s="5">
        <v>44943</v>
      </c>
      <c r="B1185" s="6">
        <v>60362</v>
      </c>
      <c r="C1185" s="6"/>
      <c r="D1185" s="7" t="s">
        <v>1422</v>
      </c>
      <c r="E1185" s="8" t="s">
        <v>1425</v>
      </c>
      <c r="F1185" s="9"/>
      <c r="G1185" s="10">
        <v>0.5</v>
      </c>
      <c r="I1185" s="11"/>
      <c r="J1185" s="11"/>
      <c r="K1185" s="11"/>
      <c r="L1185" s="11"/>
      <c r="M1185" s="11"/>
    </row>
    <row r="1186" spans="1:13" s="19" customFormat="1">
      <c r="A1186" s="5">
        <v>44970</v>
      </c>
      <c r="B1186" s="6">
        <v>60362</v>
      </c>
      <c r="C1186" s="6"/>
      <c r="D1186" s="7" t="s">
        <v>1422</v>
      </c>
      <c r="E1186" s="8" t="s">
        <v>1426</v>
      </c>
      <c r="F1186" s="9"/>
      <c r="G1186" s="10">
        <v>0.25</v>
      </c>
      <c r="I1186" s="11"/>
      <c r="J1186" s="11"/>
      <c r="K1186" s="11"/>
      <c r="L1186" s="11"/>
      <c r="M1186" s="11"/>
    </row>
    <row r="1187" spans="1:13" s="19" customFormat="1" ht="25.5">
      <c r="A1187" s="5">
        <v>44987</v>
      </c>
      <c r="B1187" s="6">
        <v>60362</v>
      </c>
      <c r="C1187" s="6"/>
      <c r="D1187" s="7" t="s">
        <v>1422</v>
      </c>
      <c r="E1187" s="8" t="s">
        <v>1427</v>
      </c>
      <c r="F1187" s="9"/>
      <c r="G1187" s="10">
        <v>1.25</v>
      </c>
      <c r="I1187" s="11"/>
      <c r="J1187" s="11"/>
      <c r="K1187" s="11"/>
      <c r="L1187" s="11"/>
      <c r="M1187" s="11"/>
    </row>
    <row r="1188" spans="1:13" s="19" customFormat="1">
      <c r="A1188" s="5">
        <v>44176</v>
      </c>
      <c r="B1188" s="6">
        <v>60364</v>
      </c>
      <c r="C1188" s="6"/>
      <c r="D1188" s="7" t="s">
        <v>1428</v>
      </c>
      <c r="E1188" s="8" t="s">
        <v>1429</v>
      </c>
      <c r="F1188" s="9"/>
      <c r="G1188" s="10">
        <v>0.75</v>
      </c>
      <c r="I1188" s="11"/>
      <c r="J1188" s="11"/>
      <c r="K1188" s="11"/>
      <c r="L1188" s="11"/>
      <c r="M1188" s="11"/>
    </row>
    <row r="1189" spans="1:13" s="19" customFormat="1">
      <c r="A1189" s="5">
        <v>44176</v>
      </c>
      <c r="B1189" s="6">
        <v>60364</v>
      </c>
      <c r="C1189" s="6"/>
      <c r="D1189" s="7" t="s">
        <v>1428</v>
      </c>
      <c r="E1189" s="8" t="s">
        <v>1430</v>
      </c>
      <c r="F1189" s="9"/>
      <c r="G1189" s="10">
        <v>0.5</v>
      </c>
      <c r="I1189" s="11"/>
      <c r="J1189" s="11"/>
      <c r="K1189" s="11"/>
      <c r="L1189" s="11"/>
      <c r="M1189" s="11"/>
    </row>
    <row r="1190" spans="1:13" s="19" customFormat="1">
      <c r="A1190" s="5">
        <v>45504</v>
      </c>
      <c r="B1190" s="6">
        <v>60366</v>
      </c>
      <c r="C1190" s="6"/>
      <c r="D1190" s="7" t="s">
        <v>1027</v>
      </c>
      <c r="E1190" s="8" t="s">
        <v>1431</v>
      </c>
      <c r="F1190" s="9"/>
      <c r="G1190" s="10">
        <v>1</v>
      </c>
      <c r="I1190" s="11"/>
      <c r="J1190" s="11"/>
      <c r="K1190" s="11"/>
      <c r="L1190" s="11"/>
      <c r="M1190" s="11"/>
    </row>
    <row r="1191" spans="1:13" s="19" customFormat="1">
      <c r="A1191" s="5">
        <v>45513</v>
      </c>
      <c r="B1191" s="6">
        <v>60366</v>
      </c>
      <c r="C1191" s="6"/>
      <c r="D1191" s="7" t="s">
        <v>1432</v>
      </c>
      <c r="E1191" s="8" t="s">
        <v>1433</v>
      </c>
      <c r="F1191" s="9"/>
      <c r="G1191" s="10">
        <v>0.25</v>
      </c>
      <c r="I1191" s="11"/>
      <c r="J1191" s="11"/>
      <c r="K1191" s="11"/>
      <c r="L1191" s="11"/>
      <c r="M1191" s="11"/>
    </row>
    <row r="1192" spans="1:13" s="19" customFormat="1">
      <c r="A1192" s="5">
        <v>45534</v>
      </c>
      <c r="B1192" s="6">
        <v>60366</v>
      </c>
      <c r="C1192" s="6"/>
      <c r="D1192" s="7" t="s">
        <v>1282</v>
      </c>
      <c r="E1192" s="8" t="s">
        <v>1434</v>
      </c>
      <c r="F1192" s="9"/>
      <c r="G1192" s="10">
        <v>0.5</v>
      </c>
      <c r="I1192" s="11"/>
      <c r="J1192" s="11"/>
      <c r="K1192" s="11"/>
      <c r="L1192" s="11"/>
      <c r="M1192" s="11"/>
    </row>
    <row r="1193" spans="1:13" s="19" customFormat="1" ht="38.25">
      <c r="A1193" s="5">
        <v>45688</v>
      </c>
      <c r="B1193" s="6">
        <v>60366</v>
      </c>
      <c r="C1193" s="6"/>
      <c r="D1193" s="7" t="s">
        <v>1284</v>
      </c>
      <c r="E1193" s="8" t="s">
        <v>1435</v>
      </c>
      <c r="F1193" s="9"/>
      <c r="G1193" s="10">
        <v>1</v>
      </c>
      <c r="I1193" s="11"/>
      <c r="J1193" s="11"/>
      <c r="K1193" s="11"/>
      <c r="L1193" s="11"/>
      <c r="M1193" s="11"/>
    </row>
    <row r="1194" spans="1:13" s="19" customFormat="1">
      <c r="A1194" s="5">
        <v>44347</v>
      </c>
      <c r="B1194" s="6">
        <v>60370</v>
      </c>
      <c r="C1194" s="6"/>
      <c r="D1194" s="7" t="s">
        <v>1436</v>
      </c>
      <c r="E1194" s="8" t="s">
        <v>1437</v>
      </c>
      <c r="F1194" s="9"/>
      <c r="G1194" s="10">
        <v>0.75</v>
      </c>
      <c r="I1194" s="11"/>
      <c r="J1194" s="11"/>
      <c r="K1194" s="11"/>
      <c r="L1194" s="11"/>
      <c r="M1194" s="11"/>
    </row>
    <row r="1195" spans="1:13" s="19" customFormat="1">
      <c r="A1195" s="5">
        <v>44385</v>
      </c>
      <c r="B1195" s="6">
        <v>60370</v>
      </c>
      <c r="C1195" s="6"/>
      <c r="D1195" s="7" t="s">
        <v>1436</v>
      </c>
      <c r="E1195" s="8" t="s">
        <v>1438</v>
      </c>
      <c r="F1195" s="9"/>
      <c r="G1195" s="10">
        <v>1</v>
      </c>
      <c r="I1195" s="11"/>
      <c r="J1195" s="11"/>
      <c r="K1195" s="11"/>
      <c r="L1195" s="11"/>
      <c r="M1195" s="11"/>
    </row>
    <row r="1196" spans="1:13" s="19" customFormat="1">
      <c r="A1196" s="5">
        <v>45637</v>
      </c>
      <c r="B1196" s="6">
        <v>60371</v>
      </c>
      <c r="C1196" s="6"/>
      <c r="D1196" s="7" t="s">
        <v>1439</v>
      </c>
      <c r="E1196" s="8" t="s">
        <v>1440</v>
      </c>
      <c r="F1196" s="9"/>
      <c r="G1196" s="10">
        <v>0.5</v>
      </c>
      <c r="I1196" s="11"/>
      <c r="J1196" s="11"/>
      <c r="K1196" s="11"/>
      <c r="L1196" s="11"/>
      <c r="M1196" s="11"/>
    </row>
    <row r="1197" spans="1:13" ht="25.5">
      <c r="A1197" s="5">
        <v>45664</v>
      </c>
      <c r="B1197" s="6">
        <v>60371</v>
      </c>
      <c r="D1197" s="7" t="s">
        <v>1439</v>
      </c>
      <c r="E1197" s="8" t="s">
        <v>1441</v>
      </c>
      <c r="G1197" s="10">
        <v>0.5</v>
      </c>
    </row>
    <row r="1198" spans="1:13" ht="25.5">
      <c r="A1198" s="5">
        <v>45665</v>
      </c>
      <c r="B1198" s="6">
        <v>60371</v>
      </c>
      <c r="D1198" s="7" t="s">
        <v>1439</v>
      </c>
      <c r="E1198" s="8" t="s">
        <v>1442</v>
      </c>
      <c r="G1198" s="10">
        <v>0.25</v>
      </c>
    </row>
    <row r="1199" spans="1:13">
      <c r="A1199" s="5">
        <v>45709</v>
      </c>
      <c r="B1199" s="6">
        <v>60372</v>
      </c>
      <c r="D1199" s="7" t="s">
        <v>1443</v>
      </c>
      <c r="E1199" s="8" t="s">
        <v>1444</v>
      </c>
      <c r="G1199" s="10">
        <v>0.5</v>
      </c>
      <c r="H1199" s="19" t="s">
        <v>15</v>
      </c>
    </row>
    <row r="1200" spans="1:13">
      <c r="A1200" s="5">
        <v>45709</v>
      </c>
      <c r="B1200" s="6">
        <v>60372</v>
      </c>
      <c r="D1200" s="7" t="s">
        <v>1443</v>
      </c>
      <c r="E1200" s="8" t="s">
        <v>1445</v>
      </c>
      <c r="G1200" s="10">
        <v>2</v>
      </c>
    </row>
    <row r="1201" spans="1:13" ht="25.5">
      <c r="A1201" s="5">
        <v>45714</v>
      </c>
      <c r="B1201" s="6">
        <v>60372</v>
      </c>
      <c r="D1201" s="7" t="s">
        <v>1446</v>
      </c>
      <c r="E1201" s="8" t="s">
        <v>1447</v>
      </c>
      <c r="G1201" s="10">
        <v>2</v>
      </c>
    </row>
    <row r="1202" spans="1:13">
      <c r="A1202" s="5">
        <v>45707</v>
      </c>
      <c r="B1202" s="6">
        <v>60373</v>
      </c>
      <c r="D1202" s="7" t="s">
        <v>1300</v>
      </c>
      <c r="E1202" s="8" t="s">
        <v>1448</v>
      </c>
      <c r="G1202" s="10">
        <v>0.75</v>
      </c>
      <c r="H1202" s="19" t="s">
        <v>15</v>
      </c>
    </row>
    <row r="1203" spans="1:13">
      <c r="A1203" s="5">
        <v>44726</v>
      </c>
      <c r="B1203" s="6">
        <v>60374</v>
      </c>
      <c r="D1203" s="7" t="s">
        <v>1390</v>
      </c>
      <c r="E1203" s="8" t="s">
        <v>1449</v>
      </c>
      <c r="F1203" s="9">
        <f>6277.5-1153.45-372.7</f>
        <v>4751.3500000000004</v>
      </c>
      <c r="G1203" s="10">
        <f>+F1203/100</f>
        <v>47.513500000000001</v>
      </c>
      <c r="K1203" s="19"/>
      <c r="L1203" s="19"/>
      <c r="M1203" s="19"/>
    </row>
    <row r="1204" spans="1:13" ht="25.5">
      <c r="A1204" s="5">
        <v>45484</v>
      </c>
      <c r="B1204" s="6">
        <v>60374</v>
      </c>
      <c r="D1204" s="7" t="s">
        <v>1390</v>
      </c>
      <c r="E1204" s="8" t="s">
        <v>1450</v>
      </c>
      <c r="G1204" s="10">
        <v>0.5</v>
      </c>
      <c r="K1204" s="19"/>
      <c r="L1204" s="19"/>
      <c r="M1204" s="19"/>
    </row>
    <row r="1205" spans="1:13" ht="25.5">
      <c r="A1205" s="5">
        <v>45523</v>
      </c>
      <c r="B1205" s="6">
        <v>60374</v>
      </c>
      <c r="D1205" s="7" t="s">
        <v>1451</v>
      </c>
      <c r="E1205" s="8" t="s">
        <v>1452</v>
      </c>
      <c r="G1205" s="10">
        <v>0.75</v>
      </c>
      <c r="K1205" s="19"/>
      <c r="L1205" s="19"/>
      <c r="M1205" s="19"/>
    </row>
    <row r="1206" spans="1:13">
      <c r="A1206" s="5">
        <v>45537</v>
      </c>
      <c r="B1206" s="6">
        <v>60374</v>
      </c>
      <c r="D1206" s="7" t="s">
        <v>1390</v>
      </c>
      <c r="E1206" s="8" t="s">
        <v>1453</v>
      </c>
      <c r="G1206" s="10">
        <v>0.25</v>
      </c>
      <c r="K1206" s="19"/>
      <c r="L1206" s="19"/>
      <c r="M1206" s="19"/>
    </row>
    <row r="1207" spans="1:13">
      <c r="A1207" s="5">
        <v>45632</v>
      </c>
      <c r="B1207" s="6">
        <v>60374</v>
      </c>
      <c r="D1207" s="7" t="s">
        <v>1390</v>
      </c>
      <c r="E1207" s="8" t="s">
        <v>1454</v>
      </c>
      <c r="G1207" s="10">
        <v>0.5</v>
      </c>
      <c r="K1207" s="19"/>
      <c r="L1207" s="19"/>
      <c r="M1207" s="19"/>
    </row>
    <row r="1208" spans="1:13">
      <c r="A1208" s="5">
        <v>45691</v>
      </c>
      <c r="B1208" s="6">
        <v>60374</v>
      </c>
      <c r="D1208" s="7" t="s">
        <v>1451</v>
      </c>
      <c r="E1208" s="8" t="s">
        <v>1455</v>
      </c>
      <c r="G1208" s="10">
        <v>0.25</v>
      </c>
      <c r="K1208" s="19"/>
      <c r="L1208" s="19"/>
      <c r="M1208" s="19"/>
    </row>
    <row r="1209" spans="1:13">
      <c r="A1209" s="5">
        <v>45523</v>
      </c>
      <c r="B1209" s="6">
        <v>60375</v>
      </c>
      <c r="D1209" s="7" t="s">
        <v>1456</v>
      </c>
      <c r="E1209" s="8" t="s">
        <v>1457</v>
      </c>
      <c r="G1209" s="10">
        <v>0.75</v>
      </c>
      <c r="K1209" s="19"/>
      <c r="L1209" s="19"/>
      <c r="M1209" s="19"/>
    </row>
    <row r="1210" spans="1:13">
      <c r="A1210" s="5">
        <v>45632</v>
      </c>
      <c r="B1210" s="6">
        <v>60375</v>
      </c>
      <c r="D1210" s="7" t="s">
        <v>1456</v>
      </c>
      <c r="E1210" s="8" t="s">
        <v>1458</v>
      </c>
      <c r="G1210" s="10">
        <v>0.5</v>
      </c>
      <c r="K1210" s="19"/>
      <c r="L1210" s="19"/>
      <c r="M1210" s="19"/>
    </row>
    <row r="1211" spans="1:13">
      <c r="A1211" s="5">
        <v>45691</v>
      </c>
      <c r="B1211" s="6">
        <v>60375</v>
      </c>
      <c r="D1211" s="7" t="s">
        <v>1459</v>
      </c>
      <c r="E1211" s="8" t="s">
        <v>1460</v>
      </c>
      <c r="F1211" s="11"/>
      <c r="G1211" s="11">
        <v>0.25</v>
      </c>
      <c r="K1211" s="19"/>
      <c r="L1211" s="19"/>
      <c r="M1211" s="19"/>
    </row>
    <row r="1212" spans="1:13" ht="25.5">
      <c r="A1212" s="5">
        <v>45603</v>
      </c>
      <c r="B1212" s="6">
        <v>60377</v>
      </c>
      <c r="D1212" s="7" t="s">
        <v>1461</v>
      </c>
      <c r="E1212" s="8" t="s">
        <v>1462</v>
      </c>
      <c r="G1212" s="10">
        <v>2.5</v>
      </c>
      <c r="K1212" s="19"/>
      <c r="L1212" s="19"/>
      <c r="M1212" s="19"/>
    </row>
    <row r="1213" spans="1:13">
      <c r="A1213" s="5">
        <v>45589</v>
      </c>
      <c r="B1213" s="6">
        <v>60382</v>
      </c>
      <c r="D1213" s="7" t="s">
        <v>1463</v>
      </c>
      <c r="E1213" s="8" t="s">
        <v>1464</v>
      </c>
      <c r="G1213" s="10">
        <v>0.75</v>
      </c>
      <c r="K1213" s="19"/>
      <c r="L1213" s="19"/>
      <c r="M1213" s="19"/>
    </row>
    <row r="1214" spans="1:13">
      <c r="A1214" s="5">
        <v>45595</v>
      </c>
      <c r="B1214" s="6">
        <v>60382</v>
      </c>
      <c r="D1214" s="7" t="s">
        <v>1463</v>
      </c>
      <c r="E1214" s="8" t="s">
        <v>1465</v>
      </c>
      <c r="G1214" s="10">
        <v>1.5</v>
      </c>
      <c r="K1214" s="19"/>
      <c r="L1214" s="19"/>
      <c r="M1214" s="19"/>
    </row>
    <row r="1215" spans="1:13">
      <c r="A1215" s="5">
        <v>45601</v>
      </c>
      <c r="B1215" s="6">
        <v>60382</v>
      </c>
      <c r="D1215" s="7" t="s">
        <v>1466</v>
      </c>
      <c r="E1215" s="8" t="s">
        <v>1100</v>
      </c>
      <c r="G1215" s="10">
        <v>0.25</v>
      </c>
    </row>
    <row r="1216" spans="1:13">
      <c r="A1216" s="5">
        <v>45502</v>
      </c>
      <c r="B1216" s="6">
        <v>60383</v>
      </c>
      <c r="D1216" s="7" t="s">
        <v>1306</v>
      </c>
      <c r="E1216" s="8" t="s">
        <v>1467</v>
      </c>
      <c r="G1216" s="10">
        <v>0.25</v>
      </c>
    </row>
    <row r="1217" spans="1:7" ht="25.5">
      <c r="A1217" s="5">
        <v>45517</v>
      </c>
      <c r="B1217" s="6">
        <v>60383</v>
      </c>
      <c r="D1217" s="7" t="s">
        <v>1303</v>
      </c>
      <c r="E1217" s="8" t="s">
        <v>1468</v>
      </c>
      <c r="G1217" s="10">
        <v>1.5</v>
      </c>
    </row>
    <row r="1218" spans="1:7">
      <c r="A1218" s="5">
        <v>45544</v>
      </c>
      <c r="B1218" s="6">
        <v>60383</v>
      </c>
      <c r="D1218" s="7" t="s">
        <v>1306</v>
      </c>
      <c r="E1218" s="8" t="s">
        <v>1469</v>
      </c>
      <c r="G1218" s="10">
        <v>0.5</v>
      </c>
    </row>
    <row r="1219" spans="1:7" ht="25.5">
      <c r="A1219" s="5">
        <v>45593</v>
      </c>
      <c r="B1219" s="6">
        <v>60383</v>
      </c>
      <c r="D1219" s="7" t="s">
        <v>1306</v>
      </c>
      <c r="E1219" s="8" t="s">
        <v>1470</v>
      </c>
      <c r="G1219" s="10">
        <v>1</v>
      </c>
    </row>
    <row r="1220" spans="1:7">
      <c r="A1220" s="5">
        <v>45600</v>
      </c>
      <c r="B1220" s="6">
        <v>60383</v>
      </c>
      <c r="D1220" s="7" t="s">
        <v>1306</v>
      </c>
      <c r="E1220" s="8" t="s">
        <v>343</v>
      </c>
      <c r="G1220" s="10">
        <v>0.5</v>
      </c>
    </row>
    <row r="1221" spans="1:7">
      <c r="A1221" s="5">
        <v>45608</v>
      </c>
      <c r="B1221" s="6">
        <v>60383</v>
      </c>
      <c r="D1221" s="7" t="s">
        <v>1471</v>
      </c>
      <c r="E1221" s="8" t="s">
        <v>1472</v>
      </c>
      <c r="G1221" s="10">
        <v>0.5</v>
      </c>
    </row>
    <row r="1222" spans="1:7">
      <c r="A1222" s="5">
        <v>45609</v>
      </c>
      <c r="B1222" s="6">
        <v>60383</v>
      </c>
      <c r="D1222" s="7" t="s">
        <v>1306</v>
      </c>
      <c r="E1222" s="8" t="s">
        <v>1473</v>
      </c>
      <c r="G1222" s="10">
        <v>0.25</v>
      </c>
    </row>
    <row r="1223" spans="1:7" ht="25.5">
      <c r="A1223" s="5">
        <v>45610</v>
      </c>
      <c r="B1223" s="6">
        <v>60383</v>
      </c>
      <c r="D1223" s="7" t="s">
        <v>1471</v>
      </c>
      <c r="E1223" s="8" t="s">
        <v>1474</v>
      </c>
      <c r="G1223" s="10">
        <v>2.5</v>
      </c>
    </row>
    <row r="1224" spans="1:7" ht="25.5">
      <c r="A1224" s="5">
        <v>45617</v>
      </c>
      <c r="B1224" s="6">
        <v>60383</v>
      </c>
      <c r="D1224" s="7" t="s">
        <v>1471</v>
      </c>
      <c r="E1224" s="8" t="s">
        <v>1475</v>
      </c>
      <c r="G1224" s="10">
        <v>1</v>
      </c>
    </row>
    <row r="1225" spans="1:7">
      <c r="A1225" s="5">
        <v>45621</v>
      </c>
      <c r="B1225" s="6">
        <v>60383</v>
      </c>
      <c r="D1225" s="7" t="s">
        <v>1471</v>
      </c>
      <c r="E1225" s="8" t="s">
        <v>1476</v>
      </c>
      <c r="G1225" s="10">
        <v>0.25</v>
      </c>
    </row>
    <row r="1226" spans="1:7" ht="38.25">
      <c r="A1226" s="5">
        <v>45624</v>
      </c>
      <c r="B1226" s="6">
        <v>60383</v>
      </c>
      <c r="D1226" s="7" t="s">
        <v>1471</v>
      </c>
      <c r="E1226" s="8" t="s">
        <v>1477</v>
      </c>
      <c r="G1226" s="10">
        <v>0.75</v>
      </c>
    </row>
    <row r="1227" spans="1:7">
      <c r="A1227" s="5">
        <v>45635</v>
      </c>
      <c r="B1227" s="6">
        <v>60383</v>
      </c>
      <c r="D1227" s="7" t="s">
        <v>1303</v>
      </c>
      <c r="E1227" s="8" t="s">
        <v>1478</v>
      </c>
      <c r="G1227" s="10">
        <v>0.5</v>
      </c>
    </row>
    <row r="1228" spans="1:7">
      <c r="A1228" s="5">
        <v>43850</v>
      </c>
      <c r="B1228" s="6">
        <v>60386</v>
      </c>
      <c r="D1228" s="7" t="s">
        <v>1310</v>
      </c>
      <c r="E1228" s="8" t="s">
        <v>1479</v>
      </c>
      <c r="G1228" s="10">
        <v>0.25</v>
      </c>
    </row>
    <row r="1229" spans="1:7">
      <c r="A1229" s="5">
        <v>43894</v>
      </c>
      <c r="B1229" s="6">
        <v>60386</v>
      </c>
      <c r="D1229" s="7" t="s">
        <v>1308</v>
      </c>
      <c r="E1229" s="8" t="s">
        <v>1480</v>
      </c>
      <c r="G1229" s="10">
        <v>0.5</v>
      </c>
    </row>
    <row r="1230" spans="1:7">
      <c r="A1230" s="5">
        <v>43945</v>
      </c>
      <c r="B1230" s="6">
        <v>60386</v>
      </c>
      <c r="D1230" s="7" t="s">
        <v>1310</v>
      </c>
      <c r="E1230" s="8" t="s">
        <v>1481</v>
      </c>
      <c r="G1230" s="10">
        <v>0.5</v>
      </c>
    </row>
    <row r="1231" spans="1:7" ht="25.5">
      <c r="A1231" s="5">
        <v>43962</v>
      </c>
      <c r="B1231" s="6">
        <v>60386</v>
      </c>
      <c r="D1231" s="7" t="s">
        <v>1310</v>
      </c>
      <c r="E1231" s="8" t="s">
        <v>1482</v>
      </c>
      <c r="G1231" s="10">
        <v>0.5</v>
      </c>
    </row>
    <row r="1232" spans="1:7" ht="25.5">
      <c r="A1232" s="5">
        <v>43977</v>
      </c>
      <c r="B1232" s="6">
        <v>60386</v>
      </c>
      <c r="D1232" s="7" t="s">
        <v>1308</v>
      </c>
      <c r="E1232" s="8" t="s">
        <v>1483</v>
      </c>
      <c r="G1232" s="10">
        <v>0.75</v>
      </c>
    </row>
    <row r="1233" spans="1:10">
      <c r="A1233" s="5">
        <v>43984</v>
      </c>
      <c r="B1233" s="6">
        <v>60386</v>
      </c>
      <c r="D1233" s="7" t="s">
        <v>1310</v>
      </c>
      <c r="E1233" s="8" t="s">
        <v>1484</v>
      </c>
      <c r="G1233" s="10">
        <v>0.25</v>
      </c>
    </row>
    <row r="1234" spans="1:10">
      <c r="A1234" s="5">
        <v>44238</v>
      </c>
      <c r="B1234" s="6">
        <v>60386</v>
      </c>
      <c r="D1234" s="7" t="s">
        <v>1306</v>
      </c>
      <c r="E1234" s="8" t="s">
        <v>1485</v>
      </c>
      <c r="G1234" s="10">
        <v>0.5</v>
      </c>
    </row>
    <row r="1235" spans="1:10">
      <c r="A1235" s="5">
        <v>44308</v>
      </c>
      <c r="B1235" s="6">
        <v>60390</v>
      </c>
      <c r="D1235" s="7" t="s">
        <v>1486</v>
      </c>
      <c r="E1235" s="8" t="s">
        <v>1487</v>
      </c>
      <c r="F1235" s="9">
        <f>876.81-528.7</f>
        <v>348.1099999999999</v>
      </c>
      <c r="G1235" s="10">
        <f>+F1235/100</f>
        <v>3.4810999999999992</v>
      </c>
      <c r="H1235" s="5"/>
    </row>
    <row r="1236" spans="1:10">
      <c r="A1236" s="5">
        <v>45105</v>
      </c>
      <c r="B1236" s="6">
        <v>60390</v>
      </c>
      <c r="D1236" s="7" t="s">
        <v>1486</v>
      </c>
      <c r="E1236" s="8" t="s">
        <v>1488</v>
      </c>
      <c r="F1236" s="9">
        <f>1845-1316.3</f>
        <v>528.70000000000005</v>
      </c>
      <c r="G1236" s="10">
        <f>+F1236/100</f>
        <v>5.2870000000000008</v>
      </c>
    </row>
    <row r="1237" spans="1:10">
      <c r="A1237" s="5">
        <v>45476</v>
      </c>
      <c r="B1237" s="6">
        <v>60390</v>
      </c>
      <c r="D1237" s="7" t="s">
        <v>1486</v>
      </c>
      <c r="E1237" s="8" t="s">
        <v>1489</v>
      </c>
      <c r="G1237" s="10">
        <v>0.25</v>
      </c>
    </row>
    <row r="1238" spans="1:10" ht="25.5">
      <c r="A1238" s="5">
        <v>45489</v>
      </c>
      <c r="B1238" s="6">
        <v>60390</v>
      </c>
      <c r="D1238" s="7" t="s">
        <v>1486</v>
      </c>
      <c r="E1238" s="8" t="s">
        <v>1490</v>
      </c>
      <c r="G1238" s="10">
        <v>0.75</v>
      </c>
      <c r="I1238" s="19"/>
      <c r="J1238" s="19"/>
    </row>
    <row r="1239" spans="1:10">
      <c r="A1239" s="5">
        <v>45579</v>
      </c>
      <c r="B1239" s="6">
        <v>60390</v>
      </c>
      <c r="D1239" s="7" t="s">
        <v>1486</v>
      </c>
      <c r="E1239" s="8" t="s">
        <v>1491</v>
      </c>
      <c r="G1239" s="10">
        <v>0.25</v>
      </c>
      <c r="I1239" s="19"/>
      <c r="J1239" s="19"/>
    </row>
    <row r="1240" spans="1:10">
      <c r="A1240" s="5">
        <v>45680</v>
      </c>
      <c r="B1240" s="6">
        <v>60390</v>
      </c>
      <c r="D1240" s="7" t="s">
        <v>1486</v>
      </c>
      <c r="E1240" s="8" t="s">
        <v>1492</v>
      </c>
      <c r="G1240" s="10">
        <v>1.5</v>
      </c>
      <c r="I1240" s="19"/>
      <c r="J1240" s="19"/>
    </row>
    <row r="1241" spans="1:10">
      <c r="A1241" s="5">
        <v>44056</v>
      </c>
      <c r="B1241" s="6">
        <v>60399</v>
      </c>
      <c r="D1241" s="7" t="s">
        <v>1493</v>
      </c>
      <c r="E1241" s="8" t="s">
        <v>1494</v>
      </c>
      <c r="G1241" s="10">
        <v>0.5</v>
      </c>
      <c r="I1241" s="19"/>
      <c r="J1241" s="19"/>
    </row>
    <row r="1242" spans="1:10">
      <c r="A1242" s="5">
        <v>44088</v>
      </c>
      <c r="B1242" s="6">
        <v>60399</v>
      </c>
      <c r="D1242" s="7" t="s">
        <v>1493</v>
      </c>
      <c r="E1242" s="8" t="s">
        <v>1495</v>
      </c>
      <c r="G1242" s="10">
        <v>0.5</v>
      </c>
      <c r="I1242" s="19"/>
      <c r="J1242" s="19"/>
    </row>
    <row r="1243" spans="1:10" ht="38.25">
      <c r="A1243" s="5">
        <v>45603</v>
      </c>
      <c r="B1243" s="6">
        <v>60402</v>
      </c>
      <c r="D1243" s="7" t="s">
        <v>1496</v>
      </c>
      <c r="E1243" s="8" t="s">
        <v>1497</v>
      </c>
      <c r="G1243" s="10">
        <v>2</v>
      </c>
      <c r="I1243" s="19"/>
      <c r="J1243" s="19"/>
    </row>
    <row r="1244" spans="1:10" ht="25.5">
      <c r="A1244" s="5">
        <v>45628</v>
      </c>
      <c r="B1244" s="6">
        <v>60403</v>
      </c>
      <c r="D1244" s="7" t="s">
        <v>1498</v>
      </c>
      <c r="E1244" s="8" t="s">
        <v>1499</v>
      </c>
      <c r="G1244" s="10">
        <v>3.75</v>
      </c>
      <c r="I1244" s="19"/>
      <c r="J1244" s="19"/>
    </row>
    <row r="1245" spans="1:10">
      <c r="A1245" s="5">
        <v>45637</v>
      </c>
      <c r="B1245" s="6">
        <v>60404</v>
      </c>
      <c r="D1245" s="7" t="s">
        <v>1500</v>
      </c>
      <c r="E1245" s="8" t="s">
        <v>1501</v>
      </c>
      <c r="G1245" s="10">
        <v>0.25</v>
      </c>
      <c r="I1245" s="19"/>
      <c r="J1245" s="19"/>
    </row>
    <row r="1246" spans="1:10">
      <c r="A1246" s="5">
        <v>45642</v>
      </c>
      <c r="B1246" s="6">
        <v>60404</v>
      </c>
      <c r="D1246" s="7" t="s">
        <v>1500</v>
      </c>
      <c r="E1246" s="8" t="s">
        <v>101</v>
      </c>
      <c r="G1246" s="10">
        <v>0.5</v>
      </c>
      <c r="I1246" s="19"/>
      <c r="J1246" s="19"/>
    </row>
    <row r="1247" spans="1:10">
      <c r="A1247" s="5">
        <v>45674</v>
      </c>
      <c r="B1247" s="6">
        <v>60404</v>
      </c>
      <c r="D1247" s="7" t="s">
        <v>1500</v>
      </c>
      <c r="E1247" s="8" t="s">
        <v>1502</v>
      </c>
      <c r="G1247" s="10">
        <v>0.75</v>
      </c>
      <c r="I1247" s="19"/>
      <c r="J1247" s="19"/>
    </row>
    <row r="1248" spans="1:10">
      <c r="A1248" s="5">
        <v>45713</v>
      </c>
      <c r="B1248" s="6">
        <v>60404</v>
      </c>
      <c r="D1248" s="7" t="s">
        <v>1500</v>
      </c>
      <c r="E1248" s="8" t="s">
        <v>1503</v>
      </c>
      <c r="G1248" s="10">
        <v>0.5</v>
      </c>
    </row>
    <row r="1249" spans="1:10">
      <c r="A1249" s="5">
        <v>45630</v>
      </c>
      <c r="B1249" s="6">
        <v>60406</v>
      </c>
      <c r="D1249" s="7" t="s">
        <v>1504</v>
      </c>
      <c r="E1249" s="8" t="s">
        <v>1505</v>
      </c>
      <c r="G1249" s="10">
        <v>0.25</v>
      </c>
      <c r="I1249" s="19"/>
      <c r="J1249" s="19"/>
    </row>
    <row r="1250" spans="1:10">
      <c r="A1250" s="5">
        <v>45678</v>
      </c>
      <c r="B1250" s="6">
        <v>60406</v>
      </c>
      <c r="D1250" s="7" t="s">
        <v>1506</v>
      </c>
      <c r="E1250" s="8" t="s">
        <v>1507</v>
      </c>
      <c r="G1250" s="10">
        <v>0.25</v>
      </c>
      <c r="I1250" s="19"/>
      <c r="J1250" s="19"/>
    </row>
    <row r="1251" spans="1:10">
      <c r="A1251" s="5">
        <v>45425</v>
      </c>
      <c r="B1251" s="6">
        <v>60407</v>
      </c>
      <c r="D1251" s="7" t="s">
        <v>1128</v>
      </c>
      <c r="E1251" s="8" t="s">
        <v>1508</v>
      </c>
      <c r="G1251" s="10">
        <v>0.25</v>
      </c>
      <c r="I1251" s="19"/>
      <c r="J1251" s="19"/>
    </row>
    <row r="1252" spans="1:10">
      <c r="A1252" s="5">
        <v>45623</v>
      </c>
      <c r="B1252" s="6">
        <v>60407</v>
      </c>
      <c r="D1252" s="7" t="s">
        <v>1509</v>
      </c>
      <c r="E1252" s="8" t="s">
        <v>1510</v>
      </c>
      <c r="G1252" s="10">
        <v>0.5</v>
      </c>
      <c r="I1252" s="19"/>
      <c r="J1252" s="19"/>
    </row>
    <row r="1253" spans="1:10" ht="25.5">
      <c r="A1253" s="5">
        <v>45624</v>
      </c>
      <c r="B1253" s="6">
        <v>60407</v>
      </c>
      <c r="D1253" s="7" t="s">
        <v>1509</v>
      </c>
      <c r="E1253" s="8" t="s">
        <v>1511</v>
      </c>
      <c r="G1253" s="10">
        <v>3</v>
      </c>
      <c r="I1253" s="19"/>
      <c r="J1253" s="19"/>
    </row>
    <row r="1254" spans="1:10">
      <c r="A1254" s="5">
        <v>45534</v>
      </c>
      <c r="B1254" s="6">
        <v>60409</v>
      </c>
      <c r="D1254" s="7" t="s">
        <v>540</v>
      </c>
      <c r="E1254" s="8" t="s">
        <v>1512</v>
      </c>
      <c r="G1254" s="10">
        <v>0.5</v>
      </c>
      <c r="I1254" s="19"/>
      <c r="J1254" s="19"/>
    </row>
    <row r="1255" spans="1:10">
      <c r="A1255" s="5">
        <v>45545</v>
      </c>
      <c r="B1255" s="6">
        <v>60409</v>
      </c>
      <c r="D1255" s="7" t="s">
        <v>1513</v>
      </c>
      <c r="E1255" s="8" t="s">
        <v>1514</v>
      </c>
      <c r="G1255" s="10">
        <v>0.5</v>
      </c>
    </row>
    <row r="1256" spans="1:10" ht="25.5">
      <c r="A1256" s="5">
        <v>45545</v>
      </c>
      <c r="B1256" s="6">
        <v>60409</v>
      </c>
      <c r="D1256" s="7" t="s">
        <v>1513</v>
      </c>
      <c r="E1256" s="8" t="s">
        <v>1515</v>
      </c>
      <c r="G1256" s="10">
        <v>1.5</v>
      </c>
    </row>
    <row r="1257" spans="1:10">
      <c r="A1257" s="5">
        <v>45565</v>
      </c>
      <c r="B1257" s="6">
        <v>60409</v>
      </c>
      <c r="D1257" s="7" t="s">
        <v>540</v>
      </c>
      <c r="E1257" s="8" t="s">
        <v>1516</v>
      </c>
      <c r="G1257" s="10">
        <v>1</v>
      </c>
    </row>
    <row r="1258" spans="1:10">
      <c r="A1258" s="5">
        <v>45581</v>
      </c>
      <c r="B1258" s="6">
        <v>60409</v>
      </c>
      <c r="D1258" s="7" t="s">
        <v>540</v>
      </c>
      <c r="E1258" s="8" t="s">
        <v>1517</v>
      </c>
      <c r="G1258" s="10">
        <v>0.75</v>
      </c>
    </row>
    <row r="1259" spans="1:10">
      <c r="A1259" s="5">
        <v>45611</v>
      </c>
      <c r="B1259" s="6">
        <v>60409</v>
      </c>
      <c r="D1259" s="7" t="s">
        <v>540</v>
      </c>
      <c r="E1259" s="8" t="s">
        <v>1518</v>
      </c>
      <c r="G1259" s="10">
        <v>0.5</v>
      </c>
    </row>
    <row r="1260" spans="1:10">
      <c r="A1260" s="5">
        <v>45617</v>
      </c>
      <c r="B1260" s="6">
        <v>60409</v>
      </c>
      <c r="D1260" s="7" t="s">
        <v>540</v>
      </c>
      <c r="E1260" s="8" t="s">
        <v>1519</v>
      </c>
      <c r="F1260" s="10"/>
      <c r="G1260" s="10">
        <v>0.25</v>
      </c>
    </row>
    <row r="1261" spans="1:10">
      <c r="A1261" s="5">
        <v>45684</v>
      </c>
      <c r="B1261" s="6">
        <v>60409</v>
      </c>
      <c r="D1261" s="7" t="s">
        <v>540</v>
      </c>
      <c r="E1261" s="8" t="s">
        <v>595</v>
      </c>
      <c r="G1261" s="10">
        <v>0.25</v>
      </c>
    </row>
    <row r="1262" spans="1:10">
      <c r="A1262" s="5">
        <v>45159</v>
      </c>
      <c r="B1262" s="6">
        <v>60410</v>
      </c>
      <c r="D1262" s="7" t="s">
        <v>1520</v>
      </c>
      <c r="E1262" s="8" t="s">
        <v>1521</v>
      </c>
      <c r="F1262" s="9">
        <f>1775-1110.5-169.3</f>
        <v>495.2</v>
      </c>
      <c r="G1262" s="10">
        <f>+F1262/120</f>
        <v>4.1266666666666669</v>
      </c>
    </row>
    <row r="1263" spans="1:10">
      <c r="A1263" s="5">
        <v>45608</v>
      </c>
      <c r="B1263" s="6">
        <v>60410</v>
      </c>
      <c r="D1263" s="7" t="s">
        <v>1522</v>
      </c>
      <c r="E1263" s="8" t="s">
        <v>1523</v>
      </c>
      <c r="G1263" s="10">
        <v>4.5</v>
      </c>
    </row>
    <row r="1264" spans="1:10" ht="51">
      <c r="A1264" s="5">
        <v>45625</v>
      </c>
      <c r="B1264" s="6">
        <v>60410</v>
      </c>
      <c r="D1264" s="7" t="s">
        <v>1524</v>
      </c>
      <c r="E1264" s="8" t="s">
        <v>1525</v>
      </c>
      <c r="G1264" s="10">
        <v>1</v>
      </c>
    </row>
    <row r="1265" spans="1:8">
      <c r="A1265" s="5">
        <v>45698</v>
      </c>
      <c r="B1265" s="6">
        <v>60410</v>
      </c>
      <c r="D1265" s="7" t="s">
        <v>1526</v>
      </c>
      <c r="E1265" s="8" t="s">
        <v>1527</v>
      </c>
      <c r="G1265" s="10">
        <v>0.5</v>
      </c>
      <c r="H1265" s="19" t="s">
        <v>15</v>
      </c>
    </row>
    <row r="1266" spans="1:8" ht="25.5">
      <c r="A1266" s="5">
        <v>45693</v>
      </c>
      <c r="B1266" s="6">
        <v>60412</v>
      </c>
      <c r="D1266" s="7" t="s">
        <v>7</v>
      </c>
      <c r="E1266" s="8" t="s">
        <v>14</v>
      </c>
      <c r="G1266" s="10">
        <f>11.5-9</f>
        <v>2.5</v>
      </c>
      <c r="H1266" s="19" t="s">
        <v>15</v>
      </c>
    </row>
    <row r="1267" spans="1:8" ht="25.5">
      <c r="A1267" s="5">
        <v>45694</v>
      </c>
      <c r="B1267" s="6">
        <v>60412</v>
      </c>
      <c r="D1267" s="7" t="s">
        <v>7</v>
      </c>
      <c r="E1267" s="8" t="s">
        <v>1528</v>
      </c>
      <c r="G1267" s="10">
        <v>1.25</v>
      </c>
    </row>
    <row r="1268" spans="1:8" ht="25.5">
      <c r="A1268" s="5">
        <v>45701</v>
      </c>
      <c r="B1268" s="6">
        <v>60412</v>
      </c>
      <c r="D1268" s="7" t="s">
        <v>7</v>
      </c>
      <c r="E1268" s="8" t="s">
        <v>1529</v>
      </c>
      <c r="G1268" s="10">
        <v>1</v>
      </c>
    </row>
    <row r="1269" spans="1:8" ht="25.5">
      <c r="A1269" s="5">
        <v>45705</v>
      </c>
      <c r="B1269" s="6">
        <v>60412</v>
      </c>
      <c r="D1269" s="7" t="s">
        <v>7</v>
      </c>
      <c r="E1269" s="8" t="s">
        <v>1530</v>
      </c>
      <c r="G1269" s="10">
        <v>3</v>
      </c>
    </row>
    <row r="1270" spans="1:8">
      <c r="A1270" s="5">
        <v>45043</v>
      </c>
      <c r="B1270" s="6">
        <v>60424</v>
      </c>
      <c r="D1270" s="7" t="s">
        <v>1531</v>
      </c>
      <c r="E1270" s="8" t="s">
        <v>1532</v>
      </c>
      <c r="F1270" s="9">
        <f>2563.25-1758.75-165+25</f>
        <v>664.5</v>
      </c>
      <c r="G1270" s="10">
        <f>+F1270/120</f>
        <v>5.5374999999999996</v>
      </c>
    </row>
    <row r="1271" spans="1:8">
      <c r="A1271" s="5">
        <v>45145</v>
      </c>
      <c r="B1271" s="6">
        <v>60424</v>
      </c>
      <c r="D1271" s="7" t="s">
        <v>1531</v>
      </c>
      <c r="E1271" s="8" t="s">
        <v>1533</v>
      </c>
      <c r="F1271" s="9">
        <f>3332.5-2245.35</f>
        <v>1087.1500000000001</v>
      </c>
      <c r="G1271" s="10">
        <f>+F1271/120</f>
        <v>9.0595833333333342</v>
      </c>
    </row>
    <row r="1272" spans="1:8">
      <c r="A1272" s="5">
        <v>45145</v>
      </c>
      <c r="B1272" s="6">
        <v>60424</v>
      </c>
      <c r="D1272" s="7" t="s">
        <v>1531</v>
      </c>
      <c r="E1272" s="8" t="s">
        <v>1534</v>
      </c>
      <c r="F1272" s="9">
        <v>2203.1999999999998</v>
      </c>
      <c r="G1272" s="10">
        <f>+F1272/120</f>
        <v>18.36</v>
      </c>
    </row>
    <row r="1273" spans="1:8">
      <c r="A1273" s="5">
        <v>45264</v>
      </c>
      <c r="B1273" s="6">
        <v>60424</v>
      </c>
      <c r="D1273" s="7" t="s">
        <v>1531</v>
      </c>
      <c r="E1273" s="8" t="s">
        <v>1535</v>
      </c>
      <c r="F1273" s="9">
        <f>2872.25-2245.35</f>
        <v>626.90000000000009</v>
      </c>
      <c r="G1273" s="10">
        <f>+F1273/120</f>
        <v>5.2241666666666671</v>
      </c>
    </row>
    <row r="1274" spans="1:8" ht="25.5">
      <c r="A1274" s="5">
        <v>45496</v>
      </c>
      <c r="B1274" s="6">
        <v>60424</v>
      </c>
      <c r="D1274" s="7" t="s">
        <v>1531</v>
      </c>
      <c r="E1274" s="8" t="s">
        <v>1536</v>
      </c>
      <c r="G1274" s="10">
        <v>3.25</v>
      </c>
    </row>
    <row r="1275" spans="1:8">
      <c r="A1275" s="5">
        <v>45496</v>
      </c>
      <c r="B1275" s="6">
        <v>60424</v>
      </c>
      <c r="D1275" s="7" t="s">
        <v>1531</v>
      </c>
      <c r="E1275" s="8" t="s">
        <v>1537</v>
      </c>
      <c r="G1275" s="10">
        <v>0.25</v>
      </c>
    </row>
    <row r="1276" spans="1:8">
      <c r="A1276" s="5">
        <v>45516</v>
      </c>
      <c r="B1276" s="6">
        <v>60424</v>
      </c>
      <c r="D1276" s="7" t="s">
        <v>1531</v>
      </c>
      <c r="E1276" s="8" t="s">
        <v>1538</v>
      </c>
      <c r="G1276" s="10">
        <v>0.25</v>
      </c>
    </row>
    <row r="1277" spans="1:8">
      <c r="A1277" s="5">
        <v>45547</v>
      </c>
      <c r="B1277" s="6">
        <v>60424</v>
      </c>
      <c r="D1277" s="7" t="s">
        <v>1531</v>
      </c>
      <c r="E1277" s="8" t="s">
        <v>1539</v>
      </c>
      <c r="G1277" s="10">
        <v>0.75</v>
      </c>
    </row>
    <row r="1278" spans="1:8">
      <c r="A1278" s="5">
        <v>45565</v>
      </c>
      <c r="B1278" s="6">
        <v>60424</v>
      </c>
      <c r="D1278" s="7" t="s">
        <v>1531</v>
      </c>
      <c r="E1278" s="8" t="s">
        <v>1540</v>
      </c>
      <c r="G1278" s="10">
        <v>0.25</v>
      </c>
    </row>
    <row r="1279" spans="1:8" ht="25.5">
      <c r="A1279" s="5">
        <v>45581</v>
      </c>
      <c r="B1279" s="6">
        <v>60424</v>
      </c>
      <c r="D1279" s="7" t="s">
        <v>1531</v>
      </c>
      <c r="E1279" s="8" t="s">
        <v>1541</v>
      </c>
      <c r="G1279" s="10">
        <v>0.5</v>
      </c>
    </row>
    <row r="1280" spans="1:8" ht="25.5">
      <c r="A1280" s="5">
        <v>45587</v>
      </c>
      <c r="B1280" s="6">
        <v>60424</v>
      </c>
      <c r="D1280" s="7" t="s">
        <v>1531</v>
      </c>
      <c r="E1280" s="8" t="s">
        <v>1542</v>
      </c>
      <c r="G1280" s="10">
        <v>0.75</v>
      </c>
    </row>
    <row r="1281" spans="1:8">
      <c r="A1281" s="5">
        <v>45595</v>
      </c>
      <c r="B1281" s="6">
        <v>60424</v>
      </c>
      <c r="D1281" s="7" t="s">
        <v>1531</v>
      </c>
      <c r="E1281" s="8" t="s">
        <v>1543</v>
      </c>
      <c r="G1281" s="10">
        <v>0.5</v>
      </c>
    </row>
    <row r="1282" spans="1:8">
      <c r="A1282" s="5">
        <v>45611</v>
      </c>
      <c r="B1282" s="6">
        <v>60424</v>
      </c>
      <c r="D1282" s="7" t="s">
        <v>1531</v>
      </c>
      <c r="E1282" s="8" t="s">
        <v>1544</v>
      </c>
      <c r="G1282" s="10">
        <v>0.25</v>
      </c>
    </row>
    <row r="1283" spans="1:8">
      <c r="A1283" s="5">
        <v>45617</v>
      </c>
      <c r="B1283" s="6">
        <v>60424</v>
      </c>
      <c r="D1283" s="7" t="s">
        <v>1531</v>
      </c>
      <c r="E1283" s="8" t="s">
        <v>1545</v>
      </c>
      <c r="F1283" s="10"/>
      <c r="G1283" s="10">
        <v>0.75</v>
      </c>
    </row>
    <row r="1284" spans="1:8">
      <c r="A1284" s="5">
        <v>45631</v>
      </c>
      <c r="B1284" s="6">
        <v>60424</v>
      </c>
      <c r="D1284" s="7" t="s">
        <v>1546</v>
      </c>
      <c r="E1284" s="8" t="s">
        <v>1547</v>
      </c>
      <c r="G1284" s="10">
        <v>0.25</v>
      </c>
      <c r="H1284" s="20"/>
    </row>
    <row r="1285" spans="1:8" ht="25.5">
      <c r="A1285" s="5">
        <v>45665</v>
      </c>
      <c r="B1285" s="6">
        <v>60424</v>
      </c>
      <c r="D1285" s="7" t="s">
        <v>1531</v>
      </c>
      <c r="E1285" s="8" t="s">
        <v>1548</v>
      </c>
      <c r="G1285" s="10">
        <v>1.5</v>
      </c>
    </row>
    <row r="1286" spans="1:8">
      <c r="A1286" s="5">
        <v>45681</v>
      </c>
      <c r="B1286" s="6">
        <v>60424</v>
      </c>
      <c r="D1286" s="7" t="s">
        <v>1531</v>
      </c>
      <c r="E1286" s="8" t="s">
        <v>1549</v>
      </c>
      <c r="G1286" s="10">
        <v>0.5</v>
      </c>
    </row>
    <row r="1287" spans="1:8">
      <c r="A1287" s="5">
        <v>45692</v>
      </c>
      <c r="B1287" s="6">
        <v>60424</v>
      </c>
      <c r="D1287" s="7" t="s">
        <v>1531</v>
      </c>
      <c r="E1287" s="8" t="s">
        <v>1550</v>
      </c>
      <c r="G1287" s="10">
        <v>1.75</v>
      </c>
    </row>
    <row r="1288" spans="1:8" ht="25.5">
      <c r="A1288" s="5">
        <v>45705</v>
      </c>
      <c r="B1288" s="6">
        <v>60424</v>
      </c>
      <c r="D1288" s="7" t="s">
        <v>1551</v>
      </c>
      <c r="E1288" s="8" t="s">
        <v>1552</v>
      </c>
      <c r="G1288" s="10">
        <v>0.75</v>
      </c>
    </row>
    <row r="1289" spans="1:8" ht="25.5">
      <c r="A1289" s="5">
        <v>45708</v>
      </c>
      <c r="B1289" s="6">
        <v>60424</v>
      </c>
      <c r="D1289" s="7" t="s">
        <v>1531</v>
      </c>
      <c r="E1289" s="8" t="s">
        <v>1553</v>
      </c>
      <c r="G1289" s="10">
        <v>0.5</v>
      </c>
    </row>
    <row r="1290" spans="1:8">
      <c r="A1290" s="5">
        <v>45504</v>
      </c>
      <c r="B1290" s="6">
        <v>60428</v>
      </c>
      <c r="D1290" s="7" t="s">
        <v>1344</v>
      </c>
      <c r="E1290" s="8" t="s">
        <v>1554</v>
      </c>
      <c r="G1290" s="10">
        <v>0.75</v>
      </c>
    </row>
    <row r="1291" spans="1:8">
      <c r="A1291" s="5">
        <v>45534</v>
      </c>
      <c r="B1291" s="6">
        <v>60428</v>
      </c>
      <c r="D1291" s="7" t="s">
        <v>1342</v>
      </c>
      <c r="E1291" s="8" t="s">
        <v>1555</v>
      </c>
      <c r="G1291" s="10">
        <v>0.25</v>
      </c>
    </row>
    <row r="1292" spans="1:8">
      <c r="A1292" s="5">
        <v>45559</v>
      </c>
      <c r="B1292" s="6">
        <v>60428</v>
      </c>
      <c r="D1292" s="7" t="s">
        <v>1342</v>
      </c>
      <c r="E1292" s="8" t="s">
        <v>1556</v>
      </c>
      <c r="G1292" s="10">
        <v>0.5</v>
      </c>
    </row>
    <row r="1293" spans="1:8">
      <c r="A1293" s="5">
        <v>45565</v>
      </c>
      <c r="B1293" s="6">
        <v>60428</v>
      </c>
      <c r="D1293" s="7" t="s">
        <v>1344</v>
      </c>
      <c r="E1293" s="8" t="s">
        <v>1557</v>
      </c>
      <c r="G1293" s="10">
        <v>1.25</v>
      </c>
    </row>
    <row r="1294" spans="1:8">
      <c r="A1294" s="5">
        <v>45566</v>
      </c>
      <c r="B1294" s="6">
        <v>60428</v>
      </c>
      <c r="D1294" s="7" t="s">
        <v>1344</v>
      </c>
      <c r="E1294" s="8" t="s">
        <v>1558</v>
      </c>
      <c r="G1294" s="10">
        <v>0.5</v>
      </c>
    </row>
    <row r="1295" spans="1:8">
      <c r="A1295" s="5">
        <v>45618</v>
      </c>
      <c r="B1295" s="6">
        <v>60428</v>
      </c>
      <c r="D1295" s="7" t="s">
        <v>1344</v>
      </c>
      <c r="E1295" s="8" t="s">
        <v>1559</v>
      </c>
      <c r="G1295" s="10">
        <v>0.25</v>
      </c>
    </row>
    <row r="1296" spans="1:8">
      <c r="A1296" s="5">
        <v>45623</v>
      </c>
      <c r="B1296" s="6">
        <v>60428</v>
      </c>
      <c r="D1296" s="7" t="s">
        <v>1344</v>
      </c>
      <c r="E1296" s="8" t="s">
        <v>1560</v>
      </c>
      <c r="G1296" s="10">
        <v>0.25</v>
      </c>
    </row>
    <row r="1297" spans="1:13" ht="38.25">
      <c r="A1297" s="5">
        <v>45624</v>
      </c>
      <c r="B1297" s="6">
        <v>60428</v>
      </c>
      <c r="D1297" s="7" t="s">
        <v>1344</v>
      </c>
      <c r="E1297" s="8" t="s">
        <v>1561</v>
      </c>
      <c r="G1297" s="10">
        <v>1.75</v>
      </c>
    </row>
    <row r="1298" spans="1:13">
      <c r="A1298" s="5">
        <v>45625</v>
      </c>
      <c r="B1298" s="6">
        <v>60428</v>
      </c>
      <c r="D1298" s="7" t="s">
        <v>1344</v>
      </c>
      <c r="E1298" s="8" t="s">
        <v>1562</v>
      </c>
      <c r="G1298" s="10">
        <v>0.5</v>
      </c>
    </row>
    <row r="1299" spans="1:13" s="19" customFormat="1">
      <c r="A1299" s="5">
        <v>45638</v>
      </c>
      <c r="B1299" s="6">
        <v>60428</v>
      </c>
      <c r="C1299" s="6"/>
      <c r="D1299" s="7" t="s">
        <v>1344</v>
      </c>
      <c r="E1299" s="8" t="s">
        <v>1563</v>
      </c>
      <c r="F1299" s="9"/>
      <c r="G1299" s="10">
        <v>0.25</v>
      </c>
      <c r="I1299" s="11"/>
      <c r="J1299" s="11"/>
      <c r="K1299" s="11"/>
      <c r="L1299" s="11"/>
      <c r="M1299" s="11"/>
    </row>
    <row r="1300" spans="1:13" ht="25.5">
      <c r="A1300" s="5">
        <v>45644</v>
      </c>
      <c r="B1300" s="6">
        <v>60428</v>
      </c>
      <c r="D1300" s="7" t="s">
        <v>1344</v>
      </c>
      <c r="E1300" s="8" t="s">
        <v>1564</v>
      </c>
      <c r="G1300" s="10">
        <v>2.5</v>
      </c>
    </row>
    <row r="1301" spans="1:13">
      <c r="A1301" s="5">
        <v>45646</v>
      </c>
      <c r="B1301" s="6">
        <v>60428</v>
      </c>
      <c r="D1301" s="7" t="s">
        <v>1342</v>
      </c>
      <c r="E1301" s="8" t="s">
        <v>1565</v>
      </c>
      <c r="G1301" s="10">
        <v>0.25</v>
      </c>
    </row>
    <row r="1302" spans="1:13">
      <c r="A1302" s="5">
        <v>45672</v>
      </c>
      <c r="B1302" s="6">
        <v>60428</v>
      </c>
      <c r="D1302" s="7" t="s">
        <v>1342</v>
      </c>
      <c r="E1302" s="8" t="s">
        <v>1566</v>
      </c>
      <c r="G1302" s="10">
        <v>1.75</v>
      </c>
    </row>
    <row r="1303" spans="1:13" ht="25.5">
      <c r="A1303" s="5">
        <v>45688</v>
      </c>
      <c r="B1303" s="6">
        <v>60428</v>
      </c>
      <c r="D1303" s="7" t="s">
        <v>1567</v>
      </c>
      <c r="E1303" s="8" t="s">
        <v>1568</v>
      </c>
      <c r="G1303" s="10">
        <v>1</v>
      </c>
    </row>
    <row r="1304" spans="1:13">
      <c r="A1304" s="5">
        <v>45705</v>
      </c>
      <c r="B1304" s="6">
        <v>60428</v>
      </c>
      <c r="D1304" s="7" t="s">
        <v>1344</v>
      </c>
      <c r="E1304" s="8" t="s">
        <v>1569</v>
      </c>
      <c r="G1304" s="10">
        <v>0.25</v>
      </c>
      <c r="H1304" s="19" t="s">
        <v>15</v>
      </c>
    </row>
    <row r="1305" spans="1:13">
      <c r="A1305" s="5">
        <v>45713</v>
      </c>
      <c r="B1305" s="6">
        <v>60428</v>
      </c>
      <c r="D1305" s="7" t="s">
        <v>1342</v>
      </c>
      <c r="E1305" s="8" t="s">
        <v>1570</v>
      </c>
      <c r="G1305" s="10">
        <v>0.5</v>
      </c>
    </row>
    <row r="1306" spans="1:13">
      <c r="A1306" s="5">
        <v>45188</v>
      </c>
      <c r="B1306" s="6">
        <v>60429</v>
      </c>
      <c r="D1306" s="7" t="s">
        <v>1571</v>
      </c>
      <c r="E1306" s="8" t="s">
        <v>1572</v>
      </c>
      <c r="G1306" s="10">
        <v>0.5</v>
      </c>
    </row>
    <row r="1307" spans="1:13">
      <c r="A1307" s="5">
        <v>45197</v>
      </c>
      <c r="B1307" s="6">
        <v>60429</v>
      </c>
      <c r="D1307" s="7" t="s">
        <v>1573</v>
      </c>
      <c r="E1307" s="8" t="s">
        <v>1574</v>
      </c>
      <c r="G1307" s="10">
        <v>0.5</v>
      </c>
    </row>
    <row r="1308" spans="1:13">
      <c r="A1308" s="5">
        <v>45425</v>
      </c>
      <c r="B1308" s="6">
        <v>60431</v>
      </c>
      <c r="D1308" s="7" t="s">
        <v>1575</v>
      </c>
      <c r="E1308" s="8" t="s">
        <v>1576</v>
      </c>
      <c r="F1308" s="9">
        <f>1130-343.8-21.6</f>
        <v>764.6</v>
      </c>
      <c r="G1308" s="10">
        <f>+F1308/120</f>
        <v>6.371666666666667</v>
      </c>
    </row>
    <row r="1309" spans="1:13" ht="38.25">
      <c r="A1309" s="5">
        <v>45425</v>
      </c>
      <c r="B1309" s="6">
        <v>60431</v>
      </c>
      <c r="D1309" s="7" t="s">
        <v>1575</v>
      </c>
      <c r="E1309" s="8" t="s">
        <v>1577</v>
      </c>
      <c r="G1309" s="10">
        <v>4</v>
      </c>
    </row>
    <row r="1310" spans="1:13" ht="25.5">
      <c r="A1310" s="5">
        <v>45429</v>
      </c>
      <c r="B1310" s="6">
        <v>60431</v>
      </c>
      <c r="D1310" s="7" t="s">
        <v>1575</v>
      </c>
      <c r="E1310" s="8" t="s">
        <v>1578</v>
      </c>
      <c r="F1310" s="10"/>
      <c r="G1310" s="10">
        <v>1</v>
      </c>
    </row>
    <row r="1311" spans="1:13" ht="25.5">
      <c r="A1311" s="5">
        <v>45433</v>
      </c>
      <c r="B1311" s="6">
        <v>60431</v>
      </c>
      <c r="D1311" s="7" t="s">
        <v>1575</v>
      </c>
      <c r="E1311" s="8" t="s">
        <v>1579</v>
      </c>
      <c r="G1311" s="10">
        <v>1</v>
      </c>
    </row>
    <row r="1312" spans="1:13" ht="25.5">
      <c r="A1312" s="5">
        <v>45455</v>
      </c>
      <c r="B1312" s="6">
        <v>60431</v>
      </c>
      <c r="D1312" s="7" t="s">
        <v>1575</v>
      </c>
      <c r="E1312" s="8" t="s">
        <v>1580</v>
      </c>
      <c r="G1312" s="10">
        <v>0.5</v>
      </c>
    </row>
    <row r="1313" spans="1:13" ht="25.5">
      <c r="A1313" s="5">
        <v>45456</v>
      </c>
      <c r="B1313" s="6">
        <v>60431</v>
      </c>
      <c r="D1313" s="7" t="s">
        <v>1575</v>
      </c>
      <c r="E1313" s="8" t="s">
        <v>1581</v>
      </c>
      <c r="G1313" s="10">
        <v>0.5</v>
      </c>
    </row>
    <row r="1314" spans="1:13">
      <c r="A1314" s="5">
        <v>45475</v>
      </c>
      <c r="B1314" s="6">
        <v>60431</v>
      </c>
      <c r="D1314" s="7" t="s">
        <v>1575</v>
      </c>
      <c r="E1314" s="8" t="s">
        <v>1582</v>
      </c>
      <c r="G1314" s="10">
        <v>0.25</v>
      </c>
    </row>
    <row r="1315" spans="1:13">
      <c r="A1315" s="5">
        <v>45482</v>
      </c>
      <c r="B1315" s="6">
        <v>60431</v>
      </c>
      <c r="D1315" s="7" t="s">
        <v>1575</v>
      </c>
      <c r="E1315" s="8" t="s">
        <v>1583</v>
      </c>
      <c r="G1315" s="10">
        <v>0.25</v>
      </c>
      <c r="K1315" s="19"/>
      <c r="L1315" s="19"/>
      <c r="M1315" s="19"/>
    </row>
    <row r="1316" spans="1:13">
      <c r="A1316" s="5">
        <v>45490</v>
      </c>
      <c r="B1316" s="6">
        <v>60431</v>
      </c>
      <c r="D1316" s="7" t="s">
        <v>1575</v>
      </c>
      <c r="E1316" s="8" t="s">
        <v>1584</v>
      </c>
      <c r="G1316" s="10">
        <v>0.25</v>
      </c>
    </row>
    <row r="1317" spans="1:13">
      <c r="A1317" s="5">
        <v>45540</v>
      </c>
      <c r="B1317" s="6">
        <v>60431</v>
      </c>
      <c r="D1317" s="7" t="s">
        <v>1575</v>
      </c>
      <c r="E1317" s="8" t="s">
        <v>291</v>
      </c>
      <c r="F1317" s="9">
        <f>1152.5-807.7</f>
        <v>344.79999999999995</v>
      </c>
      <c r="G1317" s="10">
        <f>+F1317/120</f>
        <v>2.8733333333333331</v>
      </c>
      <c r="H1317" s="5"/>
    </row>
    <row r="1318" spans="1:13">
      <c r="A1318" s="5">
        <v>45594</v>
      </c>
      <c r="B1318" s="6">
        <v>60431</v>
      </c>
      <c r="D1318" s="7" t="s">
        <v>1575</v>
      </c>
      <c r="E1318" s="8" t="s">
        <v>1585</v>
      </c>
      <c r="F1318" s="9">
        <f>1231.25-687.6</f>
        <v>543.65</v>
      </c>
      <c r="G1318" s="10">
        <f>+F1318/120</f>
        <v>4.5304166666666665</v>
      </c>
      <c r="H1318" s="5"/>
    </row>
    <row r="1319" spans="1:13" ht="38.25">
      <c r="A1319" s="5">
        <v>45631</v>
      </c>
      <c r="B1319" s="6">
        <v>60431</v>
      </c>
      <c r="D1319" s="7" t="s">
        <v>1575</v>
      </c>
      <c r="E1319" s="8" t="s">
        <v>1586</v>
      </c>
      <c r="G1319" s="10">
        <v>3</v>
      </c>
    </row>
    <row r="1320" spans="1:13">
      <c r="A1320" s="5">
        <v>45632</v>
      </c>
      <c r="B1320" s="6">
        <v>60431</v>
      </c>
      <c r="D1320" s="7" t="s">
        <v>1575</v>
      </c>
      <c r="E1320" s="8" t="s">
        <v>1587</v>
      </c>
      <c r="G1320" s="10">
        <v>0.5</v>
      </c>
    </row>
    <row r="1321" spans="1:13">
      <c r="A1321" s="5">
        <v>45691</v>
      </c>
      <c r="B1321" s="6">
        <v>60431</v>
      </c>
      <c r="D1321" s="7" t="s">
        <v>1575</v>
      </c>
      <c r="E1321" s="8" t="s">
        <v>1588</v>
      </c>
      <c r="G1321" s="10">
        <v>0.5</v>
      </c>
    </row>
    <row r="1322" spans="1:13" ht="25.5">
      <c r="A1322" s="5">
        <v>45700</v>
      </c>
      <c r="B1322" s="6">
        <v>60431</v>
      </c>
      <c r="D1322" s="7" t="s">
        <v>1575</v>
      </c>
      <c r="E1322" s="8" t="s">
        <v>1589</v>
      </c>
      <c r="G1322" s="10">
        <v>2</v>
      </c>
    </row>
    <row r="1323" spans="1:13">
      <c r="A1323" s="5">
        <v>45700</v>
      </c>
      <c r="B1323" s="6">
        <v>60431</v>
      </c>
      <c r="D1323" s="7" t="s">
        <v>1575</v>
      </c>
      <c r="E1323" s="8" t="s">
        <v>1590</v>
      </c>
      <c r="G1323" s="10">
        <v>0.5</v>
      </c>
    </row>
    <row r="1324" spans="1:13">
      <c r="A1324" s="5">
        <v>45713</v>
      </c>
      <c r="B1324" s="6">
        <v>60431</v>
      </c>
      <c r="D1324" s="7" t="s">
        <v>1575</v>
      </c>
      <c r="E1324" s="8" t="s">
        <v>1591</v>
      </c>
      <c r="F1324" s="9">
        <f>3051.25-600.8</f>
        <v>2450.4499999999998</v>
      </c>
      <c r="H1324" s="5"/>
    </row>
    <row r="1325" spans="1:13">
      <c r="A1325" s="5">
        <v>45713</v>
      </c>
      <c r="B1325" s="6">
        <v>60431</v>
      </c>
      <c r="D1325" s="7" t="s">
        <v>1575</v>
      </c>
      <c r="E1325" s="8" t="s">
        <v>1592</v>
      </c>
      <c r="G1325" s="10">
        <v>0.5</v>
      </c>
      <c r="H1325" s="19" t="s">
        <v>15</v>
      </c>
    </row>
    <row r="1326" spans="1:13">
      <c r="A1326" s="5">
        <v>45713</v>
      </c>
      <c r="B1326" s="6">
        <v>60431</v>
      </c>
      <c r="D1326" s="7" t="s">
        <v>1575</v>
      </c>
      <c r="E1326" s="8" t="s">
        <v>1593</v>
      </c>
      <c r="G1326" s="10">
        <v>0.5</v>
      </c>
    </row>
    <row r="1327" spans="1:13">
      <c r="A1327" s="5">
        <v>45713</v>
      </c>
      <c r="B1327" s="6">
        <v>60431</v>
      </c>
      <c r="D1327" s="7" t="s">
        <v>1575</v>
      </c>
      <c r="E1327" s="8" t="s">
        <v>1592</v>
      </c>
      <c r="G1327" s="10">
        <v>0.5</v>
      </c>
      <c r="H1327" s="19" t="s">
        <v>15</v>
      </c>
    </row>
    <row r="1328" spans="1:13">
      <c r="A1328" s="5">
        <v>45625</v>
      </c>
      <c r="B1328" s="6">
        <v>60433</v>
      </c>
      <c r="D1328" s="7" t="s">
        <v>1594</v>
      </c>
      <c r="E1328" s="8" t="s">
        <v>1595</v>
      </c>
      <c r="G1328" s="10">
        <v>0.5</v>
      </c>
    </row>
    <row r="1329" spans="1:7" ht="51">
      <c r="A1329" s="5">
        <v>45632</v>
      </c>
      <c r="B1329" s="6">
        <v>60433</v>
      </c>
      <c r="D1329" s="7" t="s">
        <v>1596</v>
      </c>
      <c r="E1329" s="8" t="s">
        <v>1597</v>
      </c>
      <c r="G1329" s="10">
        <v>1.5</v>
      </c>
    </row>
    <row r="1330" spans="1:7">
      <c r="A1330" s="5">
        <v>45643</v>
      </c>
      <c r="B1330" s="6">
        <v>60433</v>
      </c>
      <c r="D1330" s="7" t="s">
        <v>1598</v>
      </c>
      <c r="E1330" s="8" t="s">
        <v>1599</v>
      </c>
      <c r="G1330" s="10">
        <v>0.25</v>
      </c>
    </row>
    <row r="1331" spans="1:7">
      <c r="A1331" s="5">
        <v>45666</v>
      </c>
      <c r="B1331" s="6">
        <v>60433</v>
      </c>
      <c r="D1331" s="7" t="s">
        <v>1596</v>
      </c>
      <c r="E1331" s="8" t="s">
        <v>1173</v>
      </c>
      <c r="G1331" s="10">
        <v>0.5</v>
      </c>
    </row>
    <row r="1332" spans="1:7">
      <c r="A1332" s="5">
        <v>45481</v>
      </c>
      <c r="B1332" s="6">
        <v>60442</v>
      </c>
      <c r="D1332" s="7" t="s">
        <v>1600</v>
      </c>
      <c r="E1332" s="8" t="s">
        <v>383</v>
      </c>
      <c r="G1332" s="10">
        <v>0.25</v>
      </c>
    </row>
    <row r="1333" spans="1:7" ht="38.25">
      <c r="A1333" s="5">
        <v>45621</v>
      </c>
      <c r="B1333" s="6">
        <v>60442</v>
      </c>
      <c r="D1333" s="7" t="s">
        <v>1601</v>
      </c>
      <c r="E1333" s="8" t="s">
        <v>1602</v>
      </c>
      <c r="G1333" s="10">
        <v>0.5</v>
      </c>
    </row>
    <row r="1334" spans="1:7">
      <c r="A1334" s="5">
        <v>44589</v>
      </c>
      <c r="B1334" s="6">
        <v>60443</v>
      </c>
      <c r="D1334" s="7" t="s">
        <v>1603</v>
      </c>
      <c r="E1334" s="8" t="s">
        <v>1604</v>
      </c>
      <c r="G1334" s="10">
        <v>0.5</v>
      </c>
    </row>
    <row r="1335" spans="1:7">
      <c r="A1335" s="5">
        <v>44799</v>
      </c>
      <c r="B1335" s="6">
        <v>60443</v>
      </c>
      <c r="D1335" s="7" t="s">
        <v>1605</v>
      </c>
      <c r="E1335" s="8" t="s">
        <v>1606</v>
      </c>
      <c r="G1335" s="10">
        <v>0.5</v>
      </c>
    </row>
    <row r="1336" spans="1:7">
      <c r="A1336" s="5">
        <v>44832</v>
      </c>
      <c r="B1336" s="6">
        <v>60443</v>
      </c>
      <c r="D1336" s="7" t="s">
        <v>1605</v>
      </c>
      <c r="E1336" s="8" t="s">
        <v>737</v>
      </c>
      <c r="G1336" s="10">
        <v>0.5</v>
      </c>
    </row>
    <row r="1337" spans="1:7">
      <c r="A1337" s="5">
        <v>44854</v>
      </c>
      <c r="B1337" s="6">
        <v>60443</v>
      </c>
      <c r="D1337" s="7" t="s">
        <v>1605</v>
      </c>
      <c r="E1337" s="8" t="s">
        <v>1607</v>
      </c>
      <c r="G1337" s="10">
        <v>0.5</v>
      </c>
    </row>
    <row r="1338" spans="1:7">
      <c r="A1338" s="5">
        <v>44873</v>
      </c>
      <c r="B1338" s="6">
        <v>60443</v>
      </c>
      <c r="D1338" s="7" t="s">
        <v>1605</v>
      </c>
      <c r="E1338" s="8" t="s">
        <v>1608</v>
      </c>
      <c r="G1338" s="10">
        <v>0.25</v>
      </c>
    </row>
    <row r="1339" spans="1:7">
      <c r="A1339" s="5">
        <v>44963</v>
      </c>
      <c r="B1339" s="6">
        <v>60443</v>
      </c>
      <c r="D1339" s="7" t="s">
        <v>1596</v>
      </c>
      <c r="E1339" s="8" t="s">
        <v>1609</v>
      </c>
      <c r="G1339" s="10">
        <v>0.25</v>
      </c>
    </row>
    <row r="1340" spans="1:7">
      <c r="A1340" s="5">
        <v>44979</v>
      </c>
      <c r="B1340" s="6">
        <v>60443</v>
      </c>
      <c r="D1340" s="7" t="s">
        <v>1603</v>
      </c>
      <c r="E1340" s="8" t="s">
        <v>1610</v>
      </c>
      <c r="G1340" s="10">
        <v>0.25</v>
      </c>
    </row>
    <row r="1341" spans="1:7">
      <c r="A1341" s="5">
        <v>44557</v>
      </c>
      <c r="B1341" s="6">
        <v>60445</v>
      </c>
      <c r="D1341" s="7" t="s">
        <v>1611</v>
      </c>
      <c r="E1341" s="8" t="s">
        <v>1612</v>
      </c>
      <c r="G1341" s="10">
        <v>0.5</v>
      </c>
    </row>
    <row r="1342" spans="1:7">
      <c r="A1342" s="5">
        <v>44692</v>
      </c>
      <c r="B1342" s="6">
        <v>60445</v>
      </c>
      <c r="D1342" s="7" t="s">
        <v>1613</v>
      </c>
      <c r="E1342" s="8" t="s">
        <v>1614</v>
      </c>
      <c r="G1342" s="10">
        <v>0.25</v>
      </c>
    </row>
    <row r="1343" spans="1:7">
      <c r="A1343" s="5">
        <v>44333</v>
      </c>
      <c r="B1343" s="6">
        <v>60446</v>
      </c>
      <c r="D1343" s="7" t="s">
        <v>1615</v>
      </c>
      <c r="E1343" s="8" t="s">
        <v>1616</v>
      </c>
      <c r="G1343" s="10">
        <v>0.5</v>
      </c>
    </row>
    <row r="1344" spans="1:7">
      <c r="A1344" s="5">
        <v>44347</v>
      </c>
      <c r="B1344" s="6">
        <v>60446</v>
      </c>
      <c r="D1344" s="7" t="s">
        <v>1615</v>
      </c>
      <c r="E1344" s="8" t="s">
        <v>1617</v>
      </c>
      <c r="G1344" s="10">
        <v>0.25</v>
      </c>
    </row>
    <row r="1345" spans="1:10">
      <c r="A1345" s="5">
        <v>44634</v>
      </c>
      <c r="B1345" s="6">
        <v>60446</v>
      </c>
      <c r="D1345" s="7" t="s">
        <v>1615</v>
      </c>
      <c r="E1345" s="8" t="s">
        <v>1618</v>
      </c>
      <c r="G1345" s="10">
        <v>0.5</v>
      </c>
    </row>
    <row r="1346" spans="1:10">
      <c r="A1346" s="5">
        <v>44634</v>
      </c>
      <c r="B1346" s="6">
        <v>60446</v>
      </c>
      <c r="D1346" s="7" t="s">
        <v>1615</v>
      </c>
      <c r="E1346" s="8" t="s">
        <v>1619</v>
      </c>
      <c r="G1346" s="10">
        <v>1</v>
      </c>
    </row>
    <row r="1347" spans="1:10">
      <c r="A1347" s="5">
        <v>44700</v>
      </c>
      <c r="B1347" s="6">
        <v>60446</v>
      </c>
      <c r="D1347" s="7" t="s">
        <v>1615</v>
      </c>
      <c r="E1347" s="8" t="s">
        <v>1620</v>
      </c>
      <c r="G1347" s="10">
        <v>1.25</v>
      </c>
    </row>
    <row r="1348" spans="1:10" ht="25.5">
      <c r="A1348" s="5">
        <v>44712</v>
      </c>
      <c r="B1348" s="6">
        <v>60446</v>
      </c>
      <c r="D1348" s="7" t="s">
        <v>1615</v>
      </c>
      <c r="E1348" s="8" t="s">
        <v>1621</v>
      </c>
      <c r="G1348" s="10">
        <v>0.75</v>
      </c>
      <c r="I1348" s="19"/>
      <c r="J1348" s="19"/>
    </row>
    <row r="1349" spans="1:10">
      <c r="A1349" s="5">
        <v>44785</v>
      </c>
      <c r="B1349" s="6">
        <v>60446</v>
      </c>
      <c r="D1349" s="7" t="s">
        <v>1615</v>
      </c>
      <c r="E1349" s="8" t="s">
        <v>1622</v>
      </c>
      <c r="G1349" s="10">
        <v>0.25</v>
      </c>
    </row>
    <row r="1350" spans="1:10">
      <c r="A1350" s="5">
        <v>45098</v>
      </c>
      <c r="B1350" s="6">
        <v>60447</v>
      </c>
      <c r="D1350" s="7" t="s">
        <v>1623</v>
      </c>
      <c r="E1350" s="8" t="s">
        <v>1624</v>
      </c>
      <c r="F1350" s="9">
        <f>1605.77-616.57</f>
        <v>989.19999999999993</v>
      </c>
      <c r="G1350" s="10">
        <f>+F1350/120</f>
        <v>8.2433333333333323</v>
      </c>
    </row>
    <row r="1351" spans="1:10">
      <c r="A1351" s="5">
        <v>45385</v>
      </c>
      <c r="B1351" s="6">
        <v>60447</v>
      </c>
      <c r="D1351" s="7" t="s">
        <v>1623</v>
      </c>
      <c r="E1351" s="8" t="s">
        <v>1625</v>
      </c>
      <c r="G1351" s="10">
        <v>0.25</v>
      </c>
    </row>
    <row r="1352" spans="1:10">
      <c r="A1352" s="5">
        <v>45390</v>
      </c>
      <c r="B1352" s="6">
        <v>60447</v>
      </c>
      <c r="D1352" s="7" t="s">
        <v>1626</v>
      </c>
      <c r="E1352" s="8" t="s">
        <v>1627</v>
      </c>
      <c r="G1352" s="10">
        <v>0.25</v>
      </c>
    </row>
    <row r="1353" spans="1:10" ht="25.5">
      <c r="A1353" s="5">
        <v>45392</v>
      </c>
      <c r="B1353" s="6">
        <v>60447</v>
      </c>
      <c r="D1353" s="7" t="s">
        <v>1623</v>
      </c>
      <c r="E1353" s="8" t="s">
        <v>1628</v>
      </c>
      <c r="G1353" s="10">
        <v>0.5</v>
      </c>
    </row>
    <row r="1354" spans="1:10">
      <c r="A1354" s="5">
        <v>45006</v>
      </c>
      <c r="B1354" s="6">
        <v>60449</v>
      </c>
      <c r="D1354" s="7" t="s">
        <v>1629</v>
      </c>
      <c r="E1354" s="8" t="s">
        <v>1630</v>
      </c>
      <c r="G1354" s="10">
        <v>0.5</v>
      </c>
    </row>
    <row r="1355" spans="1:10">
      <c r="A1355" s="5">
        <v>45229</v>
      </c>
      <c r="B1355" s="6">
        <v>60473</v>
      </c>
      <c r="D1355" s="7" t="s">
        <v>1631</v>
      </c>
      <c r="E1355" s="8" t="s">
        <v>1632</v>
      </c>
      <c r="G1355" s="10">
        <f>0.25/3</f>
        <v>8.3333333333333329E-2</v>
      </c>
    </row>
    <row r="1356" spans="1:10">
      <c r="A1356" s="5">
        <v>45282</v>
      </c>
      <c r="B1356" s="6">
        <v>60473</v>
      </c>
      <c r="D1356" s="7" t="s">
        <v>1631</v>
      </c>
      <c r="E1356" s="8" t="s">
        <v>1633</v>
      </c>
      <c r="G1356" s="10">
        <v>0.25</v>
      </c>
    </row>
    <row r="1357" spans="1:10">
      <c r="A1357" s="5">
        <v>45306</v>
      </c>
      <c r="B1357" s="6">
        <v>60473</v>
      </c>
      <c r="D1357" s="7" t="s">
        <v>1631</v>
      </c>
      <c r="E1357" s="8" t="s">
        <v>1634</v>
      </c>
      <c r="G1357" s="10">
        <v>0.75</v>
      </c>
    </row>
    <row r="1358" spans="1:10" ht="25.5">
      <c r="A1358" s="5">
        <v>45320</v>
      </c>
      <c r="B1358" s="6">
        <v>60473</v>
      </c>
      <c r="D1358" s="7" t="s">
        <v>1631</v>
      </c>
      <c r="E1358" s="8" t="s">
        <v>1635</v>
      </c>
      <c r="G1358" s="10">
        <v>0.5</v>
      </c>
    </row>
    <row r="1359" spans="1:10">
      <c r="A1359" s="5">
        <v>45334</v>
      </c>
      <c r="B1359" s="6">
        <v>60473</v>
      </c>
      <c r="D1359" s="7" t="s">
        <v>1631</v>
      </c>
      <c r="E1359" s="8" t="s">
        <v>1636</v>
      </c>
      <c r="G1359" s="10">
        <f>0.25/2</f>
        <v>0.125</v>
      </c>
    </row>
    <row r="1360" spans="1:10">
      <c r="A1360" s="5">
        <v>45357</v>
      </c>
      <c r="B1360" s="6">
        <v>60473</v>
      </c>
      <c r="D1360" s="7" t="s">
        <v>1631</v>
      </c>
      <c r="E1360" s="8" t="s">
        <v>1637</v>
      </c>
      <c r="G1360" s="10">
        <v>0.5</v>
      </c>
    </row>
    <row r="1361" spans="1:7" ht="25.5">
      <c r="A1361" s="5">
        <v>45701</v>
      </c>
      <c r="B1361" s="6">
        <v>60473</v>
      </c>
      <c r="D1361" s="7" t="s">
        <v>1631</v>
      </c>
      <c r="E1361" s="8" t="s">
        <v>1638</v>
      </c>
      <c r="F1361" s="10"/>
      <c r="G1361" s="10">
        <v>6.25</v>
      </c>
    </row>
    <row r="1362" spans="1:7">
      <c r="A1362" s="5">
        <v>45707</v>
      </c>
      <c r="B1362" s="6">
        <v>60473</v>
      </c>
      <c r="D1362" s="7" t="s">
        <v>1631</v>
      </c>
      <c r="E1362" s="8" t="s">
        <v>1639</v>
      </c>
      <c r="G1362" s="10">
        <v>0.25</v>
      </c>
    </row>
    <row r="1363" spans="1:7">
      <c r="A1363" s="5">
        <v>44473</v>
      </c>
      <c r="B1363" s="6">
        <v>60494</v>
      </c>
      <c r="D1363" s="7" t="s">
        <v>1640</v>
      </c>
      <c r="E1363" s="8" t="s">
        <v>1641</v>
      </c>
      <c r="G1363" s="10">
        <v>0.5</v>
      </c>
    </row>
    <row r="1364" spans="1:7">
      <c r="A1364" s="5">
        <v>44502</v>
      </c>
      <c r="B1364" s="6">
        <v>60494</v>
      </c>
      <c r="D1364" s="7" t="s">
        <v>1640</v>
      </c>
      <c r="E1364" s="8" t="s">
        <v>1642</v>
      </c>
      <c r="G1364" s="10">
        <v>0.5</v>
      </c>
    </row>
    <row r="1365" spans="1:7">
      <c r="A1365" s="5">
        <v>44509</v>
      </c>
      <c r="B1365" s="6">
        <v>60494</v>
      </c>
      <c r="D1365" s="7" t="s">
        <v>1640</v>
      </c>
      <c r="E1365" s="8" t="s">
        <v>1643</v>
      </c>
      <c r="G1365" s="10">
        <v>0.5</v>
      </c>
    </row>
    <row r="1366" spans="1:7">
      <c r="A1366" s="5">
        <v>44510</v>
      </c>
      <c r="B1366" s="6">
        <v>60494</v>
      </c>
      <c r="D1366" s="7" t="s">
        <v>1640</v>
      </c>
      <c r="E1366" s="8" t="s">
        <v>1644</v>
      </c>
      <c r="G1366" s="10">
        <v>0.75</v>
      </c>
    </row>
    <row r="1367" spans="1:7">
      <c r="A1367" s="5">
        <v>44525</v>
      </c>
      <c r="B1367" s="6">
        <v>60494</v>
      </c>
      <c r="D1367" s="7" t="s">
        <v>1640</v>
      </c>
      <c r="E1367" s="8" t="s">
        <v>1645</v>
      </c>
      <c r="G1367" s="10">
        <v>0.75</v>
      </c>
    </row>
    <row r="1368" spans="1:7">
      <c r="A1368" s="5">
        <v>44652</v>
      </c>
      <c r="B1368" s="6">
        <v>60494</v>
      </c>
      <c r="D1368" s="7" t="s">
        <v>1640</v>
      </c>
      <c r="E1368" s="8" t="s">
        <v>1646</v>
      </c>
      <c r="G1368" s="10">
        <v>0.75</v>
      </c>
    </row>
    <row r="1369" spans="1:7">
      <c r="A1369" s="5">
        <v>45385</v>
      </c>
      <c r="B1369" s="6">
        <v>60495</v>
      </c>
      <c r="D1369" s="7" t="s">
        <v>1647</v>
      </c>
      <c r="E1369" s="8" t="s">
        <v>1648</v>
      </c>
      <c r="F1369" s="9">
        <f>718.9-587.25</f>
        <v>131.64999999999998</v>
      </c>
      <c r="G1369" s="10">
        <f>+F1369/100</f>
        <v>1.3164999999999998</v>
      </c>
    </row>
    <row r="1370" spans="1:7">
      <c r="A1370" s="5">
        <v>45387</v>
      </c>
      <c r="B1370" s="6">
        <v>60495</v>
      </c>
      <c r="D1370" s="7" t="s">
        <v>1647</v>
      </c>
      <c r="E1370" s="8" t="s">
        <v>1649</v>
      </c>
      <c r="G1370" s="10">
        <v>0.25</v>
      </c>
    </row>
    <row r="1371" spans="1:7">
      <c r="A1371" s="5">
        <v>45406</v>
      </c>
      <c r="B1371" s="6">
        <v>60495</v>
      </c>
      <c r="D1371" s="7" t="s">
        <v>1647</v>
      </c>
      <c r="E1371" s="8" t="s">
        <v>1650</v>
      </c>
      <c r="G1371" s="10">
        <v>0.5</v>
      </c>
    </row>
    <row r="1372" spans="1:7">
      <c r="A1372" s="5">
        <v>45476</v>
      </c>
      <c r="B1372" s="6">
        <v>60495</v>
      </c>
      <c r="D1372" s="7" t="s">
        <v>1647</v>
      </c>
      <c r="E1372" s="8" t="s">
        <v>1651</v>
      </c>
      <c r="G1372" s="10">
        <v>0.5</v>
      </c>
    </row>
    <row r="1373" spans="1:7">
      <c r="A1373" s="5">
        <v>45551</v>
      </c>
      <c r="B1373" s="6">
        <v>60495</v>
      </c>
      <c r="D1373" s="7" t="s">
        <v>1647</v>
      </c>
      <c r="E1373" s="8" t="s">
        <v>1652</v>
      </c>
      <c r="G1373" s="10">
        <v>0.5</v>
      </c>
    </row>
    <row r="1374" spans="1:7">
      <c r="A1374" s="5">
        <v>45673</v>
      </c>
      <c r="B1374" s="6">
        <v>60495</v>
      </c>
      <c r="D1374" s="7" t="s">
        <v>1647</v>
      </c>
      <c r="E1374" s="8" t="s">
        <v>1653</v>
      </c>
      <c r="G1374" s="10">
        <v>0.25</v>
      </c>
    </row>
    <row r="1375" spans="1:7">
      <c r="A1375" s="5">
        <v>45320</v>
      </c>
      <c r="B1375" s="6">
        <v>60503</v>
      </c>
      <c r="D1375" s="7" t="s">
        <v>1654</v>
      </c>
      <c r="E1375" s="8" t="s">
        <v>11</v>
      </c>
      <c r="G1375" s="10">
        <v>0.25</v>
      </c>
    </row>
    <row r="1376" spans="1:7">
      <c r="A1376" s="5">
        <v>45355</v>
      </c>
      <c r="B1376" s="6">
        <v>60503</v>
      </c>
      <c r="D1376" s="7" t="s">
        <v>1654</v>
      </c>
      <c r="E1376" s="8" t="s">
        <v>343</v>
      </c>
      <c r="G1376" s="10">
        <v>0.5</v>
      </c>
    </row>
    <row r="1377" spans="1:8">
      <c r="A1377" s="5">
        <v>43854</v>
      </c>
      <c r="B1377" s="6">
        <v>60505</v>
      </c>
      <c r="D1377" s="7" t="s">
        <v>1655</v>
      </c>
      <c r="E1377" s="8" t="s">
        <v>1656</v>
      </c>
      <c r="G1377" s="10">
        <v>1</v>
      </c>
    </row>
    <row r="1378" spans="1:8">
      <c r="A1378" s="5">
        <v>44583</v>
      </c>
      <c r="B1378" s="6">
        <v>60509</v>
      </c>
      <c r="D1378" s="7" t="s">
        <v>540</v>
      </c>
      <c r="E1378" s="8" t="s">
        <v>1657</v>
      </c>
      <c r="G1378" s="10">
        <v>0.25</v>
      </c>
    </row>
    <row r="1379" spans="1:8">
      <c r="A1379" s="5">
        <v>45608</v>
      </c>
      <c r="B1379" s="6">
        <v>60514</v>
      </c>
      <c r="D1379" s="7" t="s">
        <v>1658</v>
      </c>
      <c r="E1379" s="8" t="s">
        <v>1659</v>
      </c>
      <c r="F1379" s="9">
        <f>240-60</f>
        <v>180</v>
      </c>
    </row>
    <row r="1380" spans="1:8">
      <c r="A1380" s="5">
        <v>45630</v>
      </c>
      <c r="B1380" s="6">
        <v>60514</v>
      </c>
      <c r="D1380" s="7" t="s">
        <v>1660</v>
      </c>
      <c r="E1380" s="8" t="s">
        <v>1661</v>
      </c>
      <c r="G1380" s="10">
        <v>0.5</v>
      </c>
    </row>
    <row r="1381" spans="1:8">
      <c r="A1381" s="5">
        <v>45630</v>
      </c>
      <c r="B1381" s="6">
        <v>60514</v>
      </c>
      <c r="D1381" s="7" t="s">
        <v>1660</v>
      </c>
      <c r="E1381" s="8" t="s">
        <v>1662</v>
      </c>
      <c r="G1381" s="10">
        <v>0.25</v>
      </c>
    </row>
    <row r="1382" spans="1:8">
      <c r="A1382" s="5">
        <v>45644</v>
      </c>
      <c r="B1382" s="6">
        <v>60514</v>
      </c>
      <c r="D1382" s="7" t="s">
        <v>1658</v>
      </c>
      <c r="E1382" s="8" t="s">
        <v>1663</v>
      </c>
      <c r="G1382" s="10">
        <v>0.75</v>
      </c>
    </row>
    <row r="1383" spans="1:8">
      <c r="A1383" s="5">
        <v>45686</v>
      </c>
      <c r="B1383" s="6">
        <v>60514</v>
      </c>
      <c r="D1383" s="7" t="s">
        <v>1658</v>
      </c>
      <c r="E1383" s="8" t="s">
        <v>1664</v>
      </c>
      <c r="G1383" s="10">
        <v>0.25</v>
      </c>
    </row>
    <row r="1384" spans="1:8">
      <c r="A1384" s="5">
        <v>45706</v>
      </c>
      <c r="B1384" s="6">
        <v>60514</v>
      </c>
      <c r="D1384" s="7" t="s">
        <v>629</v>
      </c>
      <c r="E1384" s="8" t="s">
        <v>1665</v>
      </c>
      <c r="G1384" s="10">
        <v>0.5</v>
      </c>
    </row>
    <row r="1385" spans="1:8">
      <c r="A1385" s="5">
        <v>45708</v>
      </c>
      <c r="B1385" s="6">
        <v>60514</v>
      </c>
      <c r="D1385" s="7" t="s">
        <v>1658</v>
      </c>
      <c r="E1385" s="8" t="s">
        <v>1666</v>
      </c>
      <c r="G1385" s="10">
        <v>0.25</v>
      </c>
    </row>
    <row r="1386" spans="1:8">
      <c r="A1386" s="5">
        <v>44084</v>
      </c>
      <c r="B1386" s="6">
        <v>60515</v>
      </c>
      <c r="D1386" s="7" t="s">
        <v>1667</v>
      </c>
      <c r="E1386" s="8" t="s">
        <v>1668</v>
      </c>
      <c r="G1386" s="10">
        <v>0.25</v>
      </c>
    </row>
    <row r="1387" spans="1:8">
      <c r="A1387" s="5">
        <v>44119</v>
      </c>
      <c r="B1387" s="6">
        <v>60515</v>
      </c>
      <c r="D1387" s="7" t="s">
        <v>1667</v>
      </c>
      <c r="E1387" s="8" t="s">
        <v>1669</v>
      </c>
      <c r="G1387" s="10">
        <v>0.25</v>
      </c>
    </row>
    <row r="1388" spans="1:8">
      <c r="A1388" s="5">
        <v>44146</v>
      </c>
      <c r="B1388" s="6">
        <v>60515</v>
      </c>
      <c r="D1388" s="7" t="s">
        <v>1667</v>
      </c>
      <c r="E1388" s="8" t="s">
        <v>1670</v>
      </c>
      <c r="G1388" s="10">
        <v>0.5</v>
      </c>
    </row>
    <row r="1389" spans="1:8">
      <c r="A1389" s="4">
        <v>44169</v>
      </c>
      <c r="B1389" s="6">
        <v>60525</v>
      </c>
      <c r="D1389" s="7" t="s">
        <v>1671</v>
      </c>
      <c r="E1389" t="s">
        <v>1672</v>
      </c>
      <c r="F1389" s="9">
        <f>221.25-122</f>
        <v>99.25</v>
      </c>
      <c r="G1389">
        <f>+F1389/100</f>
        <v>0.99250000000000005</v>
      </c>
      <c r="H1389" s="5"/>
    </row>
    <row r="1390" spans="1:8">
      <c r="A1390" s="5">
        <v>44249</v>
      </c>
      <c r="B1390" s="6">
        <v>60525</v>
      </c>
      <c r="D1390" s="7" t="s">
        <v>1673</v>
      </c>
      <c r="E1390" s="8" t="s">
        <v>1674</v>
      </c>
      <c r="G1390" s="10">
        <v>0.25</v>
      </c>
    </row>
    <row r="1391" spans="1:8">
      <c r="A1391" s="5">
        <v>44349</v>
      </c>
      <c r="B1391" s="6">
        <v>60525</v>
      </c>
      <c r="D1391" s="7" t="s">
        <v>1675</v>
      </c>
      <c r="E1391" s="8" t="s">
        <v>1676</v>
      </c>
      <c r="G1391" s="10">
        <v>0.25</v>
      </c>
    </row>
    <row r="1392" spans="1:8">
      <c r="A1392" s="5">
        <v>44392</v>
      </c>
      <c r="B1392" s="6">
        <v>60525</v>
      </c>
      <c r="D1392" s="7" t="s">
        <v>1675</v>
      </c>
      <c r="E1392" s="8" t="s">
        <v>1677</v>
      </c>
      <c r="G1392" s="10">
        <v>0.25</v>
      </c>
    </row>
    <row r="1393" spans="1:7">
      <c r="A1393" s="5">
        <v>44494</v>
      </c>
      <c r="B1393" s="6">
        <v>60525</v>
      </c>
      <c r="D1393" s="7" t="s">
        <v>1678</v>
      </c>
      <c r="E1393" s="8" t="s">
        <v>1679</v>
      </c>
      <c r="G1393" s="10">
        <v>0.5</v>
      </c>
    </row>
    <row r="1394" spans="1:7">
      <c r="A1394" s="5">
        <v>44525</v>
      </c>
      <c r="B1394" s="6">
        <v>60525</v>
      </c>
      <c r="D1394" s="7" t="s">
        <v>1675</v>
      </c>
      <c r="E1394" s="8" t="s">
        <v>1680</v>
      </c>
      <c r="G1394" s="10">
        <v>0.5</v>
      </c>
    </row>
    <row r="1395" spans="1:7">
      <c r="A1395" s="5">
        <v>44543</v>
      </c>
      <c r="B1395" s="6">
        <v>60525</v>
      </c>
      <c r="D1395" s="7" t="s">
        <v>1675</v>
      </c>
      <c r="E1395" s="8" t="s">
        <v>1681</v>
      </c>
      <c r="G1395" s="10">
        <v>0.25</v>
      </c>
    </row>
    <row r="1396" spans="1:7">
      <c r="A1396" s="5">
        <v>44623</v>
      </c>
      <c r="B1396" s="6">
        <v>60525</v>
      </c>
      <c r="D1396" s="7" t="s">
        <v>1673</v>
      </c>
      <c r="E1396" s="8" t="s">
        <v>1682</v>
      </c>
      <c r="G1396" s="10">
        <v>0.25</v>
      </c>
    </row>
    <row r="1397" spans="1:7" ht="25.5">
      <c r="A1397" s="5">
        <v>44627</v>
      </c>
      <c r="B1397" s="6">
        <v>60525</v>
      </c>
      <c r="D1397" s="7" t="s">
        <v>1673</v>
      </c>
      <c r="E1397" s="8" t="s">
        <v>1683</v>
      </c>
      <c r="G1397" s="10">
        <v>0.75</v>
      </c>
    </row>
    <row r="1398" spans="1:7" ht="25.5">
      <c r="A1398" s="5">
        <v>44700</v>
      </c>
      <c r="B1398" s="6">
        <v>60525</v>
      </c>
      <c r="D1398" s="7" t="s">
        <v>1675</v>
      </c>
      <c r="E1398" s="8" t="s">
        <v>1684</v>
      </c>
      <c r="G1398" s="10">
        <v>1</v>
      </c>
    </row>
    <row r="1399" spans="1:7">
      <c r="A1399" s="5">
        <v>44719</v>
      </c>
      <c r="B1399" s="6">
        <v>60525</v>
      </c>
      <c r="D1399" s="7" t="s">
        <v>1675</v>
      </c>
      <c r="E1399" s="8" t="s">
        <v>1685</v>
      </c>
      <c r="G1399" s="10">
        <v>0.5</v>
      </c>
    </row>
    <row r="1400" spans="1:7">
      <c r="A1400" s="5">
        <v>45012</v>
      </c>
      <c r="B1400" s="6">
        <v>60525</v>
      </c>
      <c r="D1400" s="7" t="s">
        <v>1675</v>
      </c>
      <c r="E1400" s="8" t="s">
        <v>1686</v>
      </c>
      <c r="G1400" s="10">
        <v>0.25</v>
      </c>
    </row>
    <row r="1401" spans="1:7">
      <c r="A1401" s="5">
        <v>45274</v>
      </c>
      <c r="B1401" s="6">
        <v>60525</v>
      </c>
      <c r="D1401" s="7" t="s">
        <v>1675</v>
      </c>
      <c r="E1401" s="8" t="s">
        <v>1687</v>
      </c>
      <c r="G1401" s="10">
        <v>0.25</v>
      </c>
    </row>
    <row r="1402" spans="1:7">
      <c r="A1402" s="5">
        <v>44112</v>
      </c>
      <c r="B1402" s="6">
        <v>60527</v>
      </c>
      <c r="D1402" s="7" t="s">
        <v>1688</v>
      </c>
      <c r="E1402" s="8" t="s">
        <v>1689</v>
      </c>
      <c r="G1402" s="10">
        <v>0.75</v>
      </c>
    </row>
    <row r="1403" spans="1:7">
      <c r="A1403" s="5">
        <v>45467</v>
      </c>
      <c r="B1403" s="6">
        <v>60589</v>
      </c>
      <c r="D1403" s="7" t="s">
        <v>1312</v>
      </c>
      <c r="E1403" s="8" t="s">
        <v>1690</v>
      </c>
      <c r="G1403" s="10">
        <v>0.25</v>
      </c>
    </row>
    <row r="1404" spans="1:7" ht="25.5">
      <c r="A1404" s="5">
        <v>45505</v>
      </c>
      <c r="B1404" s="6">
        <v>60589</v>
      </c>
      <c r="D1404" s="7" t="s">
        <v>1312</v>
      </c>
      <c r="E1404" s="8" t="s">
        <v>1691</v>
      </c>
      <c r="G1404" s="10">
        <v>1</v>
      </c>
    </row>
    <row r="1405" spans="1:7">
      <c r="A1405" s="5">
        <v>43852</v>
      </c>
      <c r="B1405" s="6">
        <v>60801</v>
      </c>
      <c r="D1405" s="7" t="s">
        <v>1692</v>
      </c>
      <c r="E1405" s="8" t="s">
        <v>1693</v>
      </c>
      <c r="G1405" s="10">
        <v>0.5</v>
      </c>
    </row>
    <row r="1406" spans="1:7">
      <c r="A1406" s="5">
        <v>44084</v>
      </c>
      <c r="B1406" s="6">
        <v>60801</v>
      </c>
      <c r="D1406" s="7" t="s">
        <v>1694</v>
      </c>
      <c r="E1406" s="8" t="s">
        <v>1695</v>
      </c>
      <c r="G1406" s="10">
        <v>2</v>
      </c>
    </row>
    <row r="1407" spans="1:7">
      <c r="A1407" s="5">
        <v>44134</v>
      </c>
      <c r="B1407" s="6">
        <v>60801</v>
      </c>
      <c r="D1407" s="7" t="s">
        <v>1696</v>
      </c>
      <c r="E1407" s="8" t="s">
        <v>1697</v>
      </c>
      <c r="G1407" s="10">
        <v>1</v>
      </c>
    </row>
    <row r="1408" spans="1:7">
      <c r="A1408" s="5">
        <v>44139</v>
      </c>
      <c r="B1408" s="6">
        <v>60801</v>
      </c>
      <c r="D1408" s="7" t="s">
        <v>1696</v>
      </c>
      <c r="E1408" s="8" t="s">
        <v>1698</v>
      </c>
      <c r="G1408" s="10">
        <v>0.25</v>
      </c>
    </row>
    <row r="1409" spans="1:7">
      <c r="A1409" s="5">
        <v>44361</v>
      </c>
      <c r="B1409" s="6">
        <v>60801</v>
      </c>
      <c r="D1409" s="7" t="s">
        <v>1696</v>
      </c>
      <c r="E1409" s="8" t="s">
        <v>680</v>
      </c>
      <c r="G1409" s="10">
        <v>0.25</v>
      </c>
    </row>
    <row r="1410" spans="1:7">
      <c r="A1410" s="5">
        <v>45603</v>
      </c>
      <c r="B1410" s="6">
        <v>60961</v>
      </c>
      <c r="D1410" s="7" t="s">
        <v>1699</v>
      </c>
      <c r="E1410" s="8" t="s">
        <v>1700</v>
      </c>
      <c r="G1410" s="10">
        <v>0.5</v>
      </c>
    </row>
    <row r="1411" spans="1:7">
      <c r="A1411" s="5">
        <v>44799</v>
      </c>
      <c r="B1411" s="6">
        <v>60962</v>
      </c>
      <c r="D1411" s="7" t="s">
        <v>1701</v>
      </c>
      <c r="E1411" s="8" t="s">
        <v>1702</v>
      </c>
      <c r="G1411" s="10">
        <v>0.25</v>
      </c>
    </row>
    <row r="1412" spans="1:7">
      <c r="A1412" s="5">
        <v>44833</v>
      </c>
      <c r="B1412" s="6">
        <v>60962</v>
      </c>
      <c r="D1412" s="7" t="s">
        <v>1703</v>
      </c>
      <c r="E1412" s="8" t="s">
        <v>737</v>
      </c>
      <c r="G1412" s="10">
        <v>0.5</v>
      </c>
    </row>
    <row r="1413" spans="1:7">
      <c r="A1413" s="5">
        <v>45218</v>
      </c>
      <c r="B1413" s="6">
        <v>60962</v>
      </c>
      <c r="D1413" s="7" t="s">
        <v>1703</v>
      </c>
      <c r="E1413" s="8" t="s">
        <v>1704</v>
      </c>
      <c r="G1413" s="10">
        <v>0.25</v>
      </c>
    </row>
    <row r="1414" spans="1:7">
      <c r="A1414" s="5">
        <v>45322</v>
      </c>
      <c r="B1414" s="6">
        <v>60962</v>
      </c>
      <c r="D1414" s="7" t="s">
        <v>1699</v>
      </c>
      <c r="E1414" s="8" t="s">
        <v>1705</v>
      </c>
      <c r="G1414" s="10">
        <v>0.5</v>
      </c>
    </row>
    <row r="1415" spans="1:7">
      <c r="A1415" s="5">
        <v>45356</v>
      </c>
      <c r="B1415" s="6">
        <v>60962</v>
      </c>
      <c r="D1415" s="7" t="s">
        <v>1699</v>
      </c>
      <c r="E1415" s="8" t="s">
        <v>1706</v>
      </c>
      <c r="G1415" s="10">
        <v>0.5</v>
      </c>
    </row>
    <row r="1416" spans="1:7">
      <c r="A1416" s="5">
        <v>45356</v>
      </c>
      <c r="B1416" s="6">
        <v>60962</v>
      </c>
      <c r="D1416" s="7" t="s">
        <v>1699</v>
      </c>
      <c r="E1416" s="8" t="s">
        <v>1707</v>
      </c>
      <c r="G1416" s="10">
        <v>0.25</v>
      </c>
    </row>
    <row r="1417" spans="1:7">
      <c r="A1417" s="5">
        <v>45462</v>
      </c>
      <c r="B1417" s="6">
        <v>60962</v>
      </c>
      <c r="D1417" s="7" t="s">
        <v>1699</v>
      </c>
      <c r="E1417" s="8" t="s">
        <v>1708</v>
      </c>
      <c r="G1417" s="10">
        <v>0.5</v>
      </c>
    </row>
    <row r="1418" spans="1:7" ht="25.5">
      <c r="A1418" s="5">
        <v>45502</v>
      </c>
      <c r="B1418" s="6">
        <v>60962</v>
      </c>
      <c r="D1418" s="7" t="s">
        <v>1699</v>
      </c>
      <c r="E1418" s="8" t="s">
        <v>1709</v>
      </c>
      <c r="G1418" s="10">
        <v>0.25</v>
      </c>
    </row>
    <row r="1419" spans="1:7">
      <c r="A1419" s="5">
        <v>45526</v>
      </c>
      <c r="B1419" s="6">
        <v>60962</v>
      </c>
      <c r="D1419" s="7" t="s">
        <v>1699</v>
      </c>
      <c r="E1419" s="8" t="s">
        <v>101</v>
      </c>
      <c r="G1419" s="10">
        <v>0.5</v>
      </c>
    </row>
    <row r="1420" spans="1:7">
      <c r="A1420" s="5">
        <v>45581</v>
      </c>
      <c r="B1420" s="6">
        <v>60962</v>
      </c>
      <c r="D1420" s="7" t="s">
        <v>1699</v>
      </c>
      <c r="E1420" s="8" t="s">
        <v>1710</v>
      </c>
      <c r="G1420" s="10">
        <v>0.25</v>
      </c>
    </row>
    <row r="1421" spans="1:7">
      <c r="A1421" s="5">
        <v>45581</v>
      </c>
      <c r="B1421" s="6">
        <v>60962</v>
      </c>
      <c r="D1421" s="7" t="s">
        <v>1699</v>
      </c>
      <c r="E1421" s="8" t="s">
        <v>1711</v>
      </c>
      <c r="G1421" s="10">
        <v>0.25</v>
      </c>
    </row>
    <row r="1422" spans="1:7">
      <c r="A1422" s="5">
        <v>45595</v>
      </c>
      <c r="B1422" s="6">
        <v>60962</v>
      </c>
      <c r="D1422" s="7" t="s">
        <v>1699</v>
      </c>
      <c r="E1422" s="8" t="s">
        <v>1712</v>
      </c>
      <c r="G1422" s="10">
        <v>0.25</v>
      </c>
    </row>
    <row r="1423" spans="1:7">
      <c r="A1423" s="5">
        <v>45611</v>
      </c>
      <c r="B1423" s="6">
        <v>60962</v>
      </c>
      <c r="D1423" s="7" t="s">
        <v>1701</v>
      </c>
      <c r="E1423" s="8" t="s">
        <v>1713</v>
      </c>
      <c r="G1423" s="10">
        <v>0.25</v>
      </c>
    </row>
    <row r="1424" spans="1:7">
      <c r="A1424" s="5">
        <v>45684</v>
      </c>
      <c r="B1424" s="6">
        <v>60962</v>
      </c>
      <c r="D1424" s="7" t="s">
        <v>998</v>
      </c>
      <c r="E1424" s="8" t="s">
        <v>595</v>
      </c>
      <c r="G1424" s="10">
        <v>0.25</v>
      </c>
    </row>
    <row r="1425" spans="1:7">
      <c r="A1425" s="5">
        <v>44665</v>
      </c>
      <c r="B1425" s="6">
        <v>60981</v>
      </c>
      <c r="D1425" s="7" t="s">
        <v>1714</v>
      </c>
      <c r="E1425" s="8" t="s">
        <v>1715</v>
      </c>
      <c r="G1425" s="10">
        <v>0.5</v>
      </c>
    </row>
    <row r="1426" spans="1:7">
      <c r="A1426" s="5">
        <v>45236</v>
      </c>
      <c r="B1426" s="6">
        <v>61237</v>
      </c>
      <c r="D1426" s="7" t="s">
        <v>1183</v>
      </c>
      <c r="E1426" s="8" t="s">
        <v>1716</v>
      </c>
      <c r="G1426" s="10">
        <v>0.5</v>
      </c>
    </row>
    <row r="1427" spans="1:7">
      <c r="A1427" s="5">
        <v>45273</v>
      </c>
      <c r="B1427" s="6">
        <v>61347</v>
      </c>
      <c r="D1427" s="7" t="s">
        <v>1390</v>
      </c>
      <c r="E1427" s="8" t="s">
        <v>1717</v>
      </c>
      <c r="G1427" s="10">
        <v>0.25</v>
      </c>
    </row>
    <row r="1428" spans="1:7">
      <c r="A1428" s="5">
        <v>44180</v>
      </c>
      <c r="B1428" s="6">
        <v>61442</v>
      </c>
      <c r="D1428" s="7" t="s">
        <v>1718</v>
      </c>
      <c r="E1428" s="8" t="s">
        <v>1719</v>
      </c>
      <c r="G1428" s="10">
        <v>0.25</v>
      </c>
    </row>
    <row r="1429" spans="1:7">
      <c r="A1429" s="5">
        <v>45390</v>
      </c>
      <c r="B1429" s="6">
        <v>61447</v>
      </c>
      <c r="D1429" s="7" t="s">
        <v>1720</v>
      </c>
      <c r="E1429" s="8" t="s">
        <v>1721</v>
      </c>
      <c r="G1429" s="10">
        <v>0.25</v>
      </c>
    </row>
    <row r="1430" spans="1:7">
      <c r="A1430" s="5">
        <v>45509</v>
      </c>
      <c r="B1430" s="6">
        <v>61804</v>
      </c>
      <c r="D1430" s="7" t="s">
        <v>748</v>
      </c>
      <c r="E1430" s="8" t="s">
        <v>279</v>
      </c>
      <c r="F1430" s="9">
        <f>796.25-389.9</f>
        <v>406.35</v>
      </c>
      <c r="G1430" s="10">
        <f>+F1430/120</f>
        <v>3.38625</v>
      </c>
    </row>
    <row r="1431" spans="1:7">
      <c r="A1431" s="5">
        <v>45600</v>
      </c>
      <c r="B1431" s="6">
        <v>61804</v>
      </c>
      <c r="D1431" s="7" t="s">
        <v>748</v>
      </c>
      <c r="E1431" s="8" t="s">
        <v>1722</v>
      </c>
      <c r="G1431" s="10">
        <v>0.25</v>
      </c>
    </row>
    <row r="1432" spans="1:7">
      <c r="A1432" s="5">
        <v>45616</v>
      </c>
      <c r="B1432" s="6">
        <v>61804</v>
      </c>
      <c r="D1432" s="7" t="s">
        <v>748</v>
      </c>
      <c r="E1432" s="8" t="s">
        <v>1723</v>
      </c>
      <c r="G1432" s="10">
        <v>0.25</v>
      </c>
    </row>
    <row r="1433" spans="1:7" ht="25.5">
      <c r="A1433" s="5">
        <v>45706</v>
      </c>
      <c r="B1433" s="6">
        <v>61804</v>
      </c>
      <c r="D1433" s="7" t="s">
        <v>850</v>
      </c>
      <c r="E1433" s="8" t="s">
        <v>1724</v>
      </c>
      <c r="G1433" s="10">
        <v>0.25</v>
      </c>
    </row>
    <row r="1434" spans="1:7">
      <c r="A1434" s="5">
        <v>44111</v>
      </c>
      <c r="B1434" s="6">
        <v>64417</v>
      </c>
      <c r="D1434" s="7" t="s">
        <v>1725</v>
      </c>
      <c r="E1434" s="8" t="s">
        <v>1726</v>
      </c>
      <c r="G1434" s="10">
        <v>1.75</v>
      </c>
    </row>
    <row r="1435" spans="1:7">
      <c r="A1435" s="5">
        <v>44112</v>
      </c>
      <c r="B1435" s="6">
        <v>64417</v>
      </c>
      <c r="D1435" s="7" t="s">
        <v>1725</v>
      </c>
      <c r="E1435" s="8" t="s">
        <v>1727</v>
      </c>
      <c r="G1435" s="10">
        <v>4</v>
      </c>
    </row>
    <row r="1436" spans="1:7">
      <c r="A1436" s="5">
        <v>44120</v>
      </c>
      <c r="B1436" s="6">
        <v>64417</v>
      </c>
      <c r="D1436" s="7" t="s">
        <v>1728</v>
      </c>
      <c r="E1436" s="8" t="s">
        <v>1729</v>
      </c>
      <c r="G1436" s="10">
        <v>0.5</v>
      </c>
    </row>
    <row r="1437" spans="1:7">
      <c r="A1437" s="5">
        <v>44123</v>
      </c>
      <c r="B1437" s="6">
        <v>64417</v>
      </c>
      <c r="D1437" s="7" t="s">
        <v>1728</v>
      </c>
      <c r="E1437" s="8" t="s">
        <v>1730</v>
      </c>
      <c r="G1437" s="10">
        <v>0.25</v>
      </c>
    </row>
    <row r="1438" spans="1:7" ht="25.5">
      <c r="A1438" s="5">
        <v>44141</v>
      </c>
      <c r="B1438" s="6">
        <v>64417</v>
      </c>
      <c r="D1438" s="7" t="s">
        <v>1728</v>
      </c>
      <c r="E1438" s="8" t="s">
        <v>1731</v>
      </c>
      <c r="G1438" s="10">
        <v>0.5</v>
      </c>
    </row>
    <row r="1439" spans="1:7">
      <c r="A1439" s="5">
        <v>45355</v>
      </c>
      <c r="B1439" s="6">
        <v>64417</v>
      </c>
      <c r="D1439" s="7" t="s">
        <v>1728</v>
      </c>
      <c r="E1439" s="8" t="s">
        <v>1732</v>
      </c>
      <c r="G1439" s="10">
        <v>0.5</v>
      </c>
    </row>
    <row r="1440" spans="1:7">
      <c r="A1440" s="5">
        <v>43877</v>
      </c>
      <c r="B1440" s="6">
        <v>69095</v>
      </c>
      <c r="D1440" s="7" t="s">
        <v>1733</v>
      </c>
      <c r="E1440" s="8" t="s">
        <v>1734</v>
      </c>
      <c r="G1440" s="10">
        <v>1</v>
      </c>
    </row>
    <row r="1441" spans="1:7">
      <c r="A1441" s="5">
        <v>44004</v>
      </c>
      <c r="B1441" s="6">
        <v>69095</v>
      </c>
      <c r="D1441" s="7" t="s">
        <v>1733</v>
      </c>
      <c r="E1441" s="8" t="s">
        <v>1735</v>
      </c>
      <c r="G1441" s="10">
        <v>2</v>
      </c>
    </row>
    <row r="1442" spans="1:7" ht="38.25">
      <c r="A1442" s="5">
        <v>44071</v>
      </c>
      <c r="B1442" s="6">
        <v>69095</v>
      </c>
      <c r="D1442" s="7" t="s">
        <v>1736</v>
      </c>
      <c r="E1442" s="8" t="s">
        <v>1737</v>
      </c>
      <c r="G1442" s="10">
        <v>2.75</v>
      </c>
    </row>
    <row r="1443" spans="1:7" ht="25.5">
      <c r="A1443" s="5">
        <v>44074</v>
      </c>
      <c r="B1443" s="6">
        <v>69095</v>
      </c>
      <c r="D1443" s="7" t="s">
        <v>1733</v>
      </c>
      <c r="E1443" s="8" t="s">
        <v>1738</v>
      </c>
      <c r="G1443" s="10">
        <v>0.5</v>
      </c>
    </row>
    <row r="1444" spans="1:7" ht="25.5">
      <c r="A1444" s="5">
        <v>44085</v>
      </c>
      <c r="B1444" s="6">
        <v>69095</v>
      </c>
      <c r="D1444" s="7" t="s">
        <v>1733</v>
      </c>
      <c r="E1444" s="8" t="s">
        <v>1739</v>
      </c>
      <c r="G1444" s="10">
        <v>0.5</v>
      </c>
    </row>
    <row r="1445" spans="1:7">
      <c r="A1445" s="5">
        <v>44130</v>
      </c>
      <c r="B1445" s="6">
        <v>69095</v>
      </c>
      <c r="D1445" s="7" t="s">
        <v>1733</v>
      </c>
      <c r="E1445" s="8" t="s">
        <v>680</v>
      </c>
      <c r="G1445" s="10">
        <v>0.5</v>
      </c>
    </row>
    <row r="1446" spans="1:7" ht="25.5">
      <c r="A1446" s="5">
        <v>44144</v>
      </c>
      <c r="B1446" s="6">
        <v>69095</v>
      </c>
      <c r="D1446" s="7" t="s">
        <v>1733</v>
      </c>
      <c r="E1446" s="8" t="s">
        <v>1740</v>
      </c>
      <c r="G1446" s="10">
        <v>1</v>
      </c>
    </row>
    <row r="1447" spans="1:7">
      <c r="A1447" s="5">
        <v>45236</v>
      </c>
      <c r="B1447" s="6">
        <v>69142</v>
      </c>
      <c r="D1447" s="7" t="s">
        <v>1741</v>
      </c>
      <c r="E1447" s="8" t="s">
        <v>1742</v>
      </c>
      <c r="G1447" s="10">
        <v>0.25</v>
      </c>
    </row>
    <row r="1448" spans="1:7">
      <c r="A1448" s="5">
        <v>45265</v>
      </c>
      <c r="B1448" s="6">
        <v>69142</v>
      </c>
      <c r="D1448" s="7" t="s">
        <v>1743</v>
      </c>
      <c r="E1448" s="8" t="s">
        <v>1744</v>
      </c>
      <c r="G1448" s="10">
        <v>0.25</v>
      </c>
    </row>
    <row r="1449" spans="1:7">
      <c r="A1449" s="5">
        <v>45296</v>
      </c>
      <c r="B1449" s="6">
        <v>69142</v>
      </c>
      <c r="D1449" s="7" t="s">
        <v>1743</v>
      </c>
      <c r="E1449" s="8" t="s">
        <v>1745</v>
      </c>
      <c r="G1449" s="10">
        <v>0.25</v>
      </c>
    </row>
    <row r="1450" spans="1:7">
      <c r="A1450" s="5">
        <v>45387</v>
      </c>
      <c r="B1450" s="6">
        <v>69142</v>
      </c>
      <c r="D1450" s="7" t="s">
        <v>1746</v>
      </c>
      <c r="E1450" s="8" t="s">
        <v>1747</v>
      </c>
      <c r="G1450" s="10">
        <v>0.25</v>
      </c>
    </row>
    <row r="1451" spans="1:7">
      <c r="A1451" s="5">
        <v>45467</v>
      </c>
      <c r="B1451" s="6">
        <v>69142</v>
      </c>
      <c r="D1451" s="7" t="s">
        <v>1743</v>
      </c>
      <c r="E1451" s="8" t="s">
        <v>287</v>
      </c>
      <c r="G1451" s="10">
        <v>0.25</v>
      </c>
    </row>
    <row r="1452" spans="1:7">
      <c r="A1452" s="5">
        <v>45474</v>
      </c>
      <c r="B1452" s="6">
        <v>69142</v>
      </c>
      <c r="D1452" s="7" t="s">
        <v>1748</v>
      </c>
      <c r="E1452" s="8" t="s">
        <v>1749</v>
      </c>
      <c r="G1452" s="10">
        <v>0.25</v>
      </c>
    </row>
    <row r="1453" spans="1:7" ht="38.25">
      <c r="A1453" s="5">
        <v>43969</v>
      </c>
      <c r="B1453" s="6">
        <v>69255</v>
      </c>
      <c r="D1453" s="7" t="s">
        <v>1750</v>
      </c>
      <c r="E1453" s="8" t="s">
        <v>1751</v>
      </c>
      <c r="G1453" s="10">
        <v>2</v>
      </c>
    </row>
    <row r="1454" spans="1:7">
      <c r="A1454" s="5">
        <v>45448</v>
      </c>
      <c r="B1454" s="6">
        <v>69256</v>
      </c>
      <c r="D1454" s="7" t="s">
        <v>1752</v>
      </c>
      <c r="E1454" s="8" t="s">
        <v>1753</v>
      </c>
      <c r="G1454" s="10">
        <v>0.75</v>
      </c>
    </row>
    <row r="1455" spans="1:7">
      <c r="A1455" s="5">
        <v>45474</v>
      </c>
      <c r="B1455" s="6">
        <v>69256</v>
      </c>
      <c r="D1455" s="7" t="s">
        <v>1752</v>
      </c>
      <c r="E1455" s="8" t="s">
        <v>1754</v>
      </c>
      <c r="G1455" s="10">
        <v>0.5</v>
      </c>
    </row>
    <row r="1456" spans="1:7">
      <c r="A1456" s="5">
        <v>45526</v>
      </c>
      <c r="B1456" s="6">
        <v>69256</v>
      </c>
      <c r="D1456" s="7" t="s">
        <v>1752</v>
      </c>
      <c r="E1456" s="8" t="s">
        <v>1755</v>
      </c>
      <c r="G1456" s="10">
        <v>0.25</v>
      </c>
    </row>
    <row r="1457" spans="1:7">
      <c r="A1457" s="5">
        <v>45534</v>
      </c>
      <c r="B1457" s="6">
        <v>69256</v>
      </c>
      <c r="D1457" s="7" t="s">
        <v>1752</v>
      </c>
      <c r="E1457" s="8" t="s">
        <v>1756</v>
      </c>
      <c r="G1457" s="10">
        <v>1</v>
      </c>
    </row>
    <row r="1458" spans="1:7">
      <c r="A1458" s="5">
        <v>45546</v>
      </c>
      <c r="B1458" s="6">
        <v>69256</v>
      </c>
      <c r="D1458" s="7" t="s">
        <v>1752</v>
      </c>
      <c r="E1458" s="8" t="s">
        <v>1757</v>
      </c>
      <c r="G1458" s="10">
        <v>1.25</v>
      </c>
    </row>
    <row r="1459" spans="1:7">
      <c r="A1459" s="5">
        <v>45566</v>
      </c>
      <c r="B1459" s="6">
        <v>69256</v>
      </c>
      <c r="D1459" s="7" t="s">
        <v>1752</v>
      </c>
      <c r="E1459" s="8" t="s">
        <v>1758</v>
      </c>
      <c r="G1459" s="10">
        <v>0.25</v>
      </c>
    </row>
    <row r="1460" spans="1:7">
      <c r="A1460" s="5">
        <v>45570</v>
      </c>
      <c r="B1460" s="6">
        <v>69256</v>
      </c>
      <c r="D1460" s="7" t="s">
        <v>1752</v>
      </c>
      <c r="E1460" s="8" t="s">
        <v>1759</v>
      </c>
      <c r="G1460" s="10">
        <v>0.5</v>
      </c>
    </row>
    <row r="1461" spans="1:7">
      <c r="A1461" s="5">
        <v>45579</v>
      </c>
      <c r="B1461" s="6">
        <v>69256</v>
      </c>
      <c r="D1461" s="7" t="s">
        <v>1752</v>
      </c>
      <c r="E1461" s="8" t="s">
        <v>1760</v>
      </c>
      <c r="G1461" s="10">
        <v>0.25</v>
      </c>
    </row>
    <row r="1462" spans="1:7">
      <c r="A1462" s="5">
        <v>45624</v>
      </c>
      <c r="B1462" s="6">
        <v>69256</v>
      </c>
      <c r="D1462" s="7" t="s">
        <v>1752</v>
      </c>
      <c r="E1462" s="8" t="s">
        <v>1761</v>
      </c>
      <c r="G1462" s="10">
        <v>0.25</v>
      </c>
    </row>
    <row r="1463" spans="1:7">
      <c r="A1463" s="5">
        <v>45644</v>
      </c>
      <c r="B1463" s="6">
        <v>69256</v>
      </c>
      <c r="D1463" s="7" t="s">
        <v>1752</v>
      </c>
      <c r="E1463" s="8" t="s">
        <v>1762</v>
      </c>
      <c r="G1463" s="10">
        <v>0.25</v>
      </c>
    </row>
    <row r="1464" spans="1:7">
      <c r="A1464" s="5">
        <v>45666</v>
      </c>
      <c r="B1464" s="6">
        <v>69256</v>
      </c>
      <c r="D1464" s="7" t="s">
        <v>1752</v>
      </c>
      <c r="E1464" s="8" t="s">
        <v>1763</v>
      </c>
      <c r="G1464" s="10">
        <v>0.25</v>
      </c>
    </row>
    <row r="1465" spans="1:7">
      <c r="A1465" s="5">
        <v>44692</v>
      </c>
      <c r="B1465" s="6">
        <v>69333</v>
      </c>
      <c r="D1465" s="7" t="s">
        <v>1764</v>
      </c>
      <c r="E1465" s="8" t="s">
        <v>1765</v>
      </c>
      <c r="G1465" s="10">
        <v>0.75</v>
      </c>
    </row>
    <row r="1466" spans="1:7">
      <c r="A1466" s="5">
        <v>45636</v>
      </c>
      <c r="B1466" s="6">
        <v>69333</v>
      </c>
      <c r="D1466" s="7" t="s">
        <v>1766</v>
      </c>
      <c r="E1466" s="8" t="s">
        <v>1767</v>
      </c>
      <c r="G1466" s="10">
        <v>0.25</v>
      </c>
    </row>
    <row r="1467" spans="1:7">
      <c r="A1467" s="5">
        <v>45110</v>
      </c>
      <c r="B1467" s="6">
        <v>69913</v>
      </c>
      <c r="D1467" s="7" t="s">
        <v>1768</v>
      </c>
      <c r="E1467" s="8" t="s">
        <v>1769</v>
      </c>
      <c r="G1467" s="10">
        <v>0.5</v>
      </c>
    </row>
    <row r="1468" spans="1:7">
      <c r="A1468" s="5">
        <v>45208</v>
      </c>
      <c r="B1468" s="6">
        <v>69913</v>
      </c>
      <c r="D1468" s="7" t="s">
        <v>1768</v>
      </c>
      <c r="E1468" s="8" t="s">
        <v>1770</v>
      </c>
      <c r="G1468" s="10">
        <v>0.25</v>
      </c>
    </row>
    <row r="1469" spans="1:7">
      <c r="A1469" s="5">
        <v>43990</v>
      </c>
      <c r="B1469" s="6">
        <v>69914</v>
      </c>
      <c r="D1469" s="7" t="s">
        <v>1771</v>
      </c>
      <c r="E1469" s="8" t="s">
        <v>1772</v>
      </c>
      <c r="G1469" s="10">
        <v>0.5</v>
      </c>
    </row>
    <row r="1470" spans="1:7">
      <c r="A1470" s="5">
        <v>43990</v>
      </c>
      <c r="B1470" s="6">
        <v>69915</v>
      </c>
      <c r="D1470" s="7" t="s">
        <v>1773</v>
      </c>
      <c r="E1470" s="8" t="s">
        <v>1774</v>
      </c>
      <c r="G1470" s="10">
        <v>0.25</v>
      </c>
    </row>
    <row r="1471" spans="1:7">
      <c r="A1471" s="5">
        <v>44659</v>
      </c>
      <c r="B1471" s="6">
        <v>69916</v>
      </c>
      <c r="D1471" s="7" t="s">
        <v>1775</v>
      </c>
      <c r="E1471" s="8" t="s">
        <v>1776</v>
      </c>
      <c r="G1471" s="10">
        <v>0.5</v>
      </c>
    </row>
    <row r="1472" spans="1:7">
      <c r="A1472" s="5">
        <v>44736</v>
      </c>
      <c r="B1472" s="6">
        <v>69916</v>
      </c>
      <c r="D1472" s="7" t="s">
        <v>1777</v>
      </c>
      <c r="E1472" s="8" t="s">
        <v>1778</v>
      </c>
      <c r="G1472" s="10">
        <v>0.75</v>
      </c>
    </row>
    <row r="1473" spans="1:8">
      <c r="A1473" s="5">
        <v>45678</v>
      </c>
      <c r="B1473" s="6">
        <v>69917</v>
      </c>
      <c r="D1473" s="7" t="s">
        <v>1779</v>
      </c>
      <c r="E1473" s="8" t="s">
        <v>1780</v>
      </c>
      <c r="G1473" s="10">
        <v>0.75</v>
      </c>
      <c r="H1473" s="19" t="s">
        <v>15</v>
      </c>
    </row>
    <row r="1474" spans="1:8">
      <c r="A1474" s="5">
        <v>45680</v>
      </c>
      <c r="B1474" s="6">
        <v>69917</v>
      </c>
      <c r="D1474" s="7" t="s">
        <v>1781</v>
      </c>
      <c r="E1474" s="8" t="s">
        <v>1782</v>
      </c>
      <c r="G1474" s="10">
        <v>0.25</v>
      </c>
    </row>
    <row r="1475" spans="1:8">
      <c r="A1475" s="5">
        <v>45693</v>
      </c>
      <c r="B1475" s="6">
        <v>69917</v>
      </c>
      <c r="D1475" s="7" t="s">
        <v>1783</v>
      </c>
      <c r="E1475" s="8" t="s">
        <v>1784</v>
      </c>
      <c r="G1475" s="10">
        <v>0.25</v>
      </c>
    </row>
    <row r="1476" spans="1:8">
      <c r="A1476" s="5">
        <v>45713</v>
      </c>
      <c r="B1476" s="6">
        <v>69917</v>
      </c>
      <c r="D1476" s="7" t="s">
        <v>1779</v>
      </c>
      <c r="E1476" s="8" t="s">
        <v>110</v>
      </c>
      <c r="G1476" s="10">
        <v>0.5</v>
      </c>
    </row>
    <row r="1477" spans="1:8">
      <c r="A1477" s="5">
        <v>44219</v>
      </c>
      <c r="B1477" s="6">
        <v>69920</v>
      </c>
      <c r="D1477" s="7" t="s">
        <v>1785</v>
      </c>
      <c r="E1477" s="8" t="s">
        <v>1786</v>
      </c>
      <c r="G1477" s="10">
        <v>0.75</v>
      </c>
    </row>
    <row r="1478" spans="1:8">
      <c r="A1478" s="5">
        <v>44222</v>
      </c>
      <c r="B1478" s="6">
        <v>69920</v>
      </c>
      <c r="D1478" s="7" t="s">
        <v>1785</v>
      </c>
      <c r="E1478" s="8" t="s">
        <v>1787</v>
      </c>
      <c r="G1478" s="10">
        <v>0.75</v>
      </c>
    </row>
    <row r="1479" spans="1:8">
      <c r="A1479" s="5">
        <v>45149</v>
      </c>
      <c r="B1479" s="6">
        <v>69924</v>
      </c>
      <c r="D1479" s="7" t="s">
        <v>1788</v>
      </c>
      <c r="E1479" s="8" t="s">
        <v>1789</v>
      </c>
      <c r="G1479" s="10">
        <v>0.75</v>
      </c>
    </row>
    <row r="1480" spans="1:8">
      <c r="A1480" s="5">
        <v>45282</v>
      </c>
      <c r="B1480" s="6">
        <v>69924</v>
      </c>
      <c r="D1480" s="7" t="s">
        <v>1788</v>
      </c>
      <c r="E1480" s="8" t="s">
        <v>1790</v>
      </c>
      <c r="G1480" s="10">
        <v>0.25</v>
      </c>
    </row>
    <row r="1481" spans="1:8">
      <c r="A1481" s="5">
        <v>45303</v>
      </c>
      <c r="B1481" s="6">
        <v>69924</v>
      </c>
      <c r="D1481" s="7" t="s">
        <v>1791</v>
      </c>
      <c r="E1481" s="8" t="s">
        <v>101</v>
      </c>
      <c r="G1481" s="10">
        <v>0.5</v>
      </c>
    </row>
    <row r="1482" spans="1:8">
      <c r="A1482" s="5">
        <v>45149</v>
      </c>
      <c r="B1482" s="6">
        <v>69936</v>
      </c>
      <c r="D1482" s="7" t="s">
        <v>1792</v>
      </c>
      <c r="E1482" s="8" t="s">
        <v>1793</v>
      </c>
      <c r="G1482" s="10">
        <v>0.5</v>
      </c>
    </row>
    <row r="1483" spans="1:8" ht="25.5">
      <c r="A1483" s="5">
        <v>45224</v>
      </c>
      <c r="B1483" s="6">
        <v>69955</v>
      </c>
      <c r="D1483" s="7" t="s">
        <v>1750</v>
      </c>
      <c r="E1483" s="8" t="s">
        <v>1794</v>
      </c>
      <c r="G1483" s="10">
        <v>1</v>
      </c>
    </row>
    <row r="1484" spans="1:8">
      <c r="A1484" s="5">
        <v>45565</v>
      </c>
      <c r="B1484" s="6">
        <v>69956</v>
      </c>
      <c r="D1484" s="7" t="s">
        <v>1752</v>
      </c>
      <c r="E1484" s="8" t="s">
        <v>1795</v>
      </c>
      <c r="G1484" s="10">
        <v>0.25</v>
      </c>
    </row>
    <row r="1485" spans="1:8">
      <c r="A1485" s="5">
        <v>44770</v>
      </c>
      <c r="B1485" s="6">
        <v>69957</v>
      </c>
      <c r="D1485" s="7" t="s">
        <v>1796</v>
      </c>
      <c r="E1485" s="8" t="s">
        <v>1797</v>
      </c>
      <c r="G1485" s="10">
        <v>0.75</v>
      </c>
    </row>
    <row r="1486" spans="1:8">
      <c r="A1486" s="5">
        <v>44735</v>
      </c>
      <c r="B1486" s="6">
        <v>69958</v>
      </c>
      <c r="D1486" s="7" t="s">
        <v>1798</v>
      </c>
      <c r="E1486" s="8" t="s">
        <v>1799</v>
      </c>
      <c r="G1486" s="10">
        <v>0.25</v>
      </c>
    </row>
    <row r="1487" spans="1:8">
      <c r="A1487" s="5">
        <v>44694</v>
      </c>
      <c r="B1487" s="6">
        <v>69964</v>
      </c>
      <c r="D1487" s="7" t="s">
        <v>1800</v>
      </c>
      <c r="E1487" s="8" t="s">
        <v>1801</v>
      </c>
      <c r="G1487" s="10">
        <v>0.5</v>
      </c>
    </row>
    <row r="1488" spans="1:8">
      <c r="A1488" s="5">
        <v>44998</v>
      </c>
      <c r="B1488" s="6">
        <v>69964</v>
      </c>
      <c r="D1488" s="7" t="s">
        <v>1800</v>
      </c>
      <c r="E1488" s="8" t="s">
        <v>1802</v>
      </c>
      <c r="G1488" s="10">
        <v>0.25</v>
      </c>
    </row>
    <row r="1489" spans="1:7" ht="25.5">
      <c r="A1489" s="5">
        <v>44998</v>
      </c>
      <c r="B1489" s="6">
        <v>69964</v>
      </c>
      <c r="D1489" s="7" t="s">
        <v>1800</v>
      </c>
      <c r="E1489" s="8" t="s">
        <v>1803</v>
      </c>
      <c r="G1489" s="10">
        <v>1</v>
      </c>
    </row>
    <row r="1490" spans="1:7" ht="25.5">
      <c r="A1490" s="5">
        <v>45265</v>
      </c>
      <c r="B1490" s="6">
        <v>69964</v>
      </c>
      <c r="D1490" s="7" t="s">
        <v>1800</v>
      </c>
      <c r="E1490" s="8" t="s">
        <v>1804</v>
      </c>
      <c r="G1490" s="10">
        <v>4</v>
      </c>
    </row>
    <row r="1497" spans="1:7">
      <c r="A1497" s="5">
        <v>45152</v>
      </c>
      <c r="B1497" s="6">
        <v>69985</v>
      </c>
      <c r="D1497" s="7" t="s">
        <v>1805</v>
      </c>
      <c r="E1497" s="8" t="s">
        <v>1806</v>
      </c>
      <c r="G1497" s="10">
        <v>0.25</v>
      </c>
    </row>
    <row r="1498" spans="1:7">
      <c r="A1498" s="5">
        <v>45474</v>
      </c>
      <c r="B1498" s="6">
        <v>69985</v>
      </c>
      <c r="D1498" s="7" t="s">
        <v>1805</v>
      </c>
      <c r="E1498" s="8" t="s">
        <v>1807</v>
      </c>
      <c r="G1498" s="10">
        <v>0.5</v>
      </c>
    </row>
    <row r="1499" spans="1:7" ht="16.5" customHeight="1">
      <c r="A1499" s="5">
        <v>45562</v>
      </c>
      <c r="B1499" s="6">
        <v>69987</v>
      </c>
      <c r="D1499" s="7" t="s">
        <v>1808</v>
      </c>
      <c r="E1499" s="8" t="s">
        <v>1809</v>
      </c>
      <c r="G1499" s="10">
        <v>0.25</v>
      </c>
    </row>
    <row r="1500" spans="1:7">
      <c r="A1500" s="5">
        <v>45609</v>
      </c>
      <c r="B1500" s="6">
        <v>69987</v>
      </c>
      <c r="D1500" s="7" t="s">
        <v>1808</v>
      </c>
      <c r="E1500" s="8" t="s">
        <v>1810</v>
      </c>
      <c r="G1500" s="10">
        <v>0.75</v>
      </c>
    </row>
    <row r="1501" spans="1:7">
      <c r="A1501" s="5">
        <v>45378</v>
      </c>
      <c r="B1501" s="6">
        <v>70001</v>
      </c>
      <c r="D1501" s="7" t="s">
        <v>1811</v>
      </c>
      <c r="E1501" s="8" t="s">
        <v>1812</v>
      </c>
      <c r="G1501" s="10">
        <v>1.5</v>
      </c>
    </row>
    <row r="1502" spans="1:7">
      <c r="A1502" s="5">
        <v>45401</v>
      </c>
      <c r="B1502" s="6">
        <v>70001</v>
      </c>
      <c r="D1502" s="7" t="s">
        <v>1813</v>
      </c>
      <c r="E1502" s="8" t="s">
        <v>1814</v>
      </c>
      <c r="G1502" s="10">
        <v>0.5</v>
      </c>
    </row>
    <row r="1503" spans="1:7">
      <c r="A1503" s="5">
        <v>45671</v>
      </c>
      <c r="B1503" s="6">
        <v>70001</v>
      </c>
      <c r="D1503" s="7" t="s">
        <v>1811</v>
      </c>
      <c r="E1503" s="8" t="s">
        <v>43</v>
      </c>
      <c r="G1503" s="10">
        <v>0.5</v>
      </c>
    </row>
    <row r="1504" spans="1:7" ht="25.5">
      <c r="A1504" s="5">
        <v>44603</v>
      </c>
      <c r="B1504" s="6">
        <v>70010</v>
      </c>
      <c r="D1504" s="7" t="s">
        <v>1815</v>
      </c>
      <c r="E1504" s="8" t="s">
        <v>1816</v>
      </c>
      <c r="G1504" s="10">
        <v>3</v>
      </c>
    </row>
    <row r="1505" spans="1:7">
      <c r="A1505" s="5">
        <v>44615</v>
      </c>
      <c r="B1505" s="6">
        <v>70010</v>
      </c>
      <c r="D1505" s="7" t="s">
        <v>1815</v>
      </c>
      <c r="E1505" s="8" t="s">
        <v>974</v>
      </c>
      <c r="G1505" s="10">
        <v>0.25</v>
      </c>
    </row>
    <row r="1506" spans="1:7">
      <c r="A1506" s="5">
        <v>44670</v>
      </c>
      <c r="B1506" s="6">
        <v>70010</v>
      </c>
      <c r="D1506" s="7" t="s">
        <v>1817</v>
      </c>
      <c r="E1506" s="8" t="s">
        <v>1818</v>
      </c>
      <c r="G1506" s="10">
        <v>0.5</v>
      </c>
    </row>
    <row r="1507" spans="1:7">
      <c r="A1507" s="5">
        <v>44963</v>
      </c>
      <c r="B1507" s="6">
        <v>70010</v>
      </c>
      <c r="D1507" s="7" t="s">
        <v>1815</v>
      </c>
      <c r="E1507" s="8" t="s">
        <v>1819</v>
      </c>
      <c r="G1507" s="10">
        <v>0.5</v>
      </c>
    </row>
    <row r="1508" spans="1:7" ht="25.5">
      <c r="A1508" s="5">
        <v>44965</v>
      </c>
      <c r="B1508" s="6">
        <v>70010</v>
      </c>
      <c r="D1508" s="7" t="s">
        <v>1815</v>
      </c>
      <c r="E1508" s="8" t="s">
        <v>1820</v>
      </c>
      <c r="G1508" s="10">
        <v>1</v>
      </c>
    </row>
    <row r="1509" spans="1:7">
      <c r="A1509" s="5">
        <v>45005</v>
      </c>
      <c r="B1509" s="6">
        <v>70010</v>
      </c>
      <c r="D1509" s="7" t="s">
        <v>1815</v>
      </c>
      <c r="E1509" s="8" t="s">
        <v>1821</v>
      </c>
      <c r="G1509" s="10">
        <v>1</v>
      </c>
    </row>
    <row r="1510" spans="1:7">
      <c r="A1510" s="5">
        <v>45063</v>
      </c>
      <c r="B1510" s="6">
        <v>70010</v>
      </c>
      <c r="D1510" s="7" t="s">
        <v>1815</v>
      </c>
      <c r="E1510" s="8" t="s">
        <v>699</v>
      </c>
      <c r="G1510" s="10">
        <v>0.25</v>
      </c>
    </row>
    <row r="1511" spans="1:7">
      <c r="A1511" s="5">
        <v>45434</v>
      </c>
      <c r="B1511" s="6">
        <v>70010</v>
      </c>
      <c r="D1511" s="7" t="s">
        <v>1815</v>
      </c>
      <c r="E1511" s="8" t="s">
        <v>1822</v>
      </c>
      <c r="G1511" s="10">
        <v>0.5</v>
      </c>
    </row>
    <row r="1512" spans="1:7">
      <c r="A1512" s="5">
        <v>45448</v>
      </c>
      <c r="B1512" s="6">
        <v>70010</v>
      </c>
      <c r="D1512" s="7" t="s">
        <v>1815</v>
      </c>
      <c r="E1512" s="8" t="s">
        <v>1823</v>
      </c>
      <c r="G1512" s="10">
        <v>0.5</v>
      </c>
    </row>
    <row r="1513" spans="1:7">
      <c r="A1513" s="5">
        <v>45554</v>
      </c>
      <c r="B1513" s="6">
        <v>70010</v>
      </c>
      <c r="D1513" s="7" t="s">
        <v>1817</v>
      </c>
      <c r="E1513" s="8" t="s">
        <v>1824</v>
      </c>
      <c r="G1513" s="10">
        <v>5</v>
      </c>
    </row>
    <row r="1514" spans="1:7">
      <c r="A1514" s="5">
        <v>44825</v>
      </c>
      <c r="B1514" s="6">
        <v>10205</v>
      </c>
      <c r="D1514" s="7" t="s">
        <v>257</v>
      </c>
      <c r="E1514" s="8" t="s">
        <v>1825</v>
      </c>
      <c r="G1514" s="10">
        <v>0.25</v>
      </c>
    </row>
    <row r="1515" spans="1:7">
      <c r="A1515" s="5">
        <v>45236</v>
      </c>
      <c r="B1515" s="6">
        <v>70239</v>
      </c>
      <c r="D1515" s="7" t="s">
        <v>1826</v>
      </c>
      <c r="E1515" s="8" t="s">
        <v>1827</v>
      </c>
      <c r="G1515" s="10">
        <v>0.5</v>
      </c>
    </row>
    <row r="1516" spans="1:7">
      <c r="A1516" s="5">
        <v>44823</v>
      </c>
      <c r="B1516" s="6">
        <v>71095</v>
      </c>
      <c r="D1516" s="7" t="s">
        <v>1828</v>
      </c>
      <c r="E1516" s="8" t="s">
        <v>1829</v>
      </c>
      <c r="G1516" s="10">
        <v>0.75</v>
      </c>
    </row>
    <row r="1517" spans="1:7">
      <c r="A1517" s="5">
        <v>44945</v>
      </c>
      <c r="B1517" s="6">
        <v>71095</v>
      </c>
      <c r="D1517" s="7" t="s">
        <v>1828</v>
      </c>
      <c r="E1517" s="8" t="s">
        <v>1830</v>
      </c>
      <c r="G1517" s="10">
        <v>0.25</v>
      </c>
    </row>
    <row r="1518" spans="1:7">
      <c r="A1518" s="5">
        <v>45044</v>
      </c>
      <c r="B1518" s="6">
        <v>71095</v>
      </c>
      <c r="D1518" s="7" t="s">
        <v>1828</v>
      </c>
      <c r="E1518" s="8" t="s">
        <v>1831</v>
      </c>
      <c r="G1518" s="10">
        <v>0.25</v>
      </c>
    </row>
    <row r="1519" spans="1:7">
      <c r="A1519" s="5">
        <v>45156</v>
      </c>
      <c r="B1519" s="6">
        <v>71095</v>
      </c>
      <c r="D1519" s="7" t="s">
        <v>1828</v>
      </c>
      <c r="E1519" s="8" t="s">
        <v>1832</v>
      </c>
      <c r="G1519" s="10">
        <v>1</v>
      </c>
    </row>
    <row r="1520" spans="1:7">
      <c r="A1520" s="5">
        <v>45644</v>
      </c>
      <c r="B1520" s="6">
        <v>71095</v>
      </c>
      <c r="D1520" s="7" t="s">
        <v>1828</v>
      </c>
      <c r="E1520" s="8" t="s">
        <v>1833</v>
      </c>
      <c r="G1520" s="10">
        <v>1.5</v>
      </c>
    </row>
    <row r="1530" spans="1:8">
      <c r="A1530" s="5">
        <v>45715</v>
      </c>
      <c r="B1530" s="6">
        <v>60253</v>
      </c>
      <c r="D1530" s="7" t="s">
        <v>1834</v>
      </c>
      <c r="E1530" s="8" t="s">
        <v>1835</v>
      </c>
      <c r="G1530" s="10">
        <v>0.5</v>
      </c>
      <c r="H1530" s="19" t="s">
        <v>15</v>
      </c>
    </row>
    <row r="1531" spans="1:8" ht="25.5">
      <c r="A1531" s="5">
        <v>45715</v>
      </c>
      <c r="B1531" s="6">
        <v>60158</v>
      </c>
      <c r="D1531" s="7" t="s">
        <v>1836</v>
      </c>
      <c r="E1531" s="8" t="s">
        <v>1837</v>
      </c>
      <c r="G1531" s="10">
        <v>3</v>
      </c>
      <c r="H1531" s="19" t="s">
        <v>15</v>
      </c>
    </row>
    <row r="1532" spans="1:8">
      <c r="A1532" s="5">
        <v>45715</v>
      </c>
      <c r="B1532" s="6">
        <v>10000</v>
      </c>
      <c r="D1532" s="7" t="s">
        <v>91</v>
      </c>
      <c r="E1532" s="8" t="s">
        <v>1838</v>
      </c>
      <c r="G1532" s="10">
        <v>0.75</v>
      </c>
    </row>
    <row r="1533" spans="1:8">
      <c r="A1533" s="5">
        <v>45715</v>
      </c>
      <c r="B1533" s="6">
        <v>69982</v>
      </c>
      <c r="D1533" s="7" t="s">
        <v>1839</v>
      </c>
      <c r="E1533" s="8" t="s">
        <v>1840</v>
      </c>
      <c r="G1533" s="10">
        <v>1</v>
      </c>
      <c r="H1533" s="19" t="s">
        <v>15</v>
      </c>
    </row>
    <row r="1534" spans="1:8">
      <c r="A1534" s="5">
        <v>45715</v>
      </c>
      <c r="B1534" s="6">
        <v>10209</v>
      </c>
      <c r="D1534" s="7" t="s">
        <v>223</v>
      </c>
      <c r="E1534" s="8" t="s">
        <v>1841</v>
      </c>
      <c r="G1534" s="10">
        <v>0.25</v>
      </c>
    </row>
    <row r="1535" spans="1:8">
      <c r="A1535" s="18">
        <v>45715</v>
      </c>
      <c r="B1535" s="6">
        <v>69984</v>
      </c>
      <c r="D1535" s="7" t="s">
        <v>371</v>
      </c>
      <c r="E1535" s="11" t="s">
        <v>1842</v>
      </c>
      <c r="G1535" s="10">
        <v>0.5</v>
      </c>
      <c r="H1535" s="19" t="s">
        <v>15</v>
      </c>
    </row>
    <row r="1536" spans="1:8" ht="25.5">
      <c r="A1536" s="5">
        <v>45715</v>
      </c>
      <c r="B1536" s="6">
        <v>10183</v>
      </c>
      <c r="D1536" s="7" t="s">
        <v>1843</v>
      </c>
      <c r="E1536" s="8" t="s">
        <v>1844</v>
      </c>
      <c r="G1536" s="10">
        <v>4</v>
      </c>
    </row>
    <row r="1539" spans="1:7" ht="25.5">
      <c r="A1539" s="5">
        <v>45716</v>
      </c>
      <c r="B1539" s="6">
        <v>10329</v>
      </c>
      <c r="D1539" s="7" t="s">
        <v>1845</v>
      </c>
      <c r="E1539" s="8" t="s">
        <v>1846</v>
      </c>
      <c r="G1539" s="10">
        <v>0.75</v>
      </c>
    </row>
    <row r="1540" spans="1:7">
      <c r="A1540" s="5">
        <v>45716</v>
      </c>
      <c r="B1540" s="6">
        <v>10180</v>
      </c>
      <c r="D1540" s="7" t="s">
        <v>161</v>
      </c>
      <c r="E1540" s="8" t="s">
        <v>1847</v>
      </c>
      <c r="G1540" s="10">
        <v>0.25</v>
      </c>
    </row>
    <row r="1541" spans="1:7">
      <c r="A1541" s="5">
        <v>45716</v>
      </c>
      <c r="B1541" s="6">
        <v>10240</v>
      </c>
      <c r="D1541" s="7" t="s">
        <v>321</v>
      </c>
      <c r="E1541" s="8" t="s">
        <v>1848</v>
      </c>
      <c r="G1541" s="10">
        <v>0.25</v>
      </c>
    </row>
    <row r="1542" spans="1:7" ht="25.5">
      <c r="A1542" s="5">
        <v>45716</v>
      </c>
      <c r="B1542" s="6">
        <v>10329</v>
      </c>
      <c r="D1542" s="7" t="s">
        <v>1845</v>
      </c>
      <c r="E1542" s="8" t="s">
        <v>1849</v>
      </c>
      <c r="G1542" s="10">
        <v>0.5</v>
      </c>
    </row>
    <row r="1543" spans="1:7" ht="25.5">
      <c r="A1543" s="5">
        <v>45716</v>
      </c>
      <c r="B1543" s="6">
        <v>10183</v>
      </c>
      <c r="D1543" s="7" t="s">
        <v>176</v>
      </c>
      <c r="E1543" s="8" t="s">
        <v>1850</v>
      </c>
      <c r="G1543" s="10">
        <v>5</v>
      </c>
    </row>
    <row r="1544" spans="1:7" ht="25.5">
      <c r="A1544" s="5">
        <v>45716</v>
      </c>
      <c r="B1544" s="6">
        <v>60372</v>
      </c>
      <c r="D1544" s="7" t="s">
        <v>1446</v>
      </c>
      <c r="E1544" s="8" t="s">
        <v>1851</v>
      </c>
      <c r="G1544" s="10">
        <v>0.25</v>
      </c>
    </row>
    <row r="1545" spans="1:7">
      <c r="A1545" s="5">
        <v>45716</v>
      </c>
      <c r="B1545" s="6">
        <v>10113</v>
      </c>
      <c r="D1545" s="7" t="s">
        <v>61</v>
      </c>
      <c r="E1545" s="8" t="s">
        <v>1852</v>
      </c>
      <c r="G1545" s="10">
        <v>1.25</v>
      </c>
    </row>
    <row r="1546" spans="1:7">
      <c r="A1546" s="5">
        <v>45716</v>
      </c>
      <c r="B1546" s="6">
        <v>10412</v>
      </c>
      <c r="D1546" s="7" t="s">
        <v>188</v>
      </c>
      <c r="E1546" s="8" t="s">
        <v>104</v>
      </c>
      <c r="G1546" s="10">
        <v>0.25</v>
      </c>
    </row>
    <row r="1549" spans="1:7">
      <c r="A1549" s="5">
        <v>45719</v>
      </c>
      <c r="B1549" s="6">
        <v>10000</v>
      </c>
      <c r="D1549" s="7" t="s">
        <v>91</v>
      </c>
      <c r="E1549" s="8" t="s">
        <v>1853</v>
      </c>
      <c r="G1549" s="10">
        <v>0.75</v>
      </c>
    </row>
    <row r="1550" spans="1:7">
      <c r="A1550" s="5">
        <v>45719</v>
      </c>
      <c r="B1550" s="6">
        <v>60210</v>
      </c>
      <c r="D1550" s="7" t="s">
        <v>1133</v>
      </c>
      <c r="E1550" s="8" t="s">
        <v>1854</v>
      </c>
      <c r="G1550" s="10">
        <v>0.5</v>
      </c>
    </row>
    <row r="1551" spans="1:7">
      <c r="A1551" s="5">
        <v>45719</v>
      </c>
      <c r="B1551" s="6">
        <v>10180</v>
      </c>
      <c r="D1551" s="7" t="s">
        <v>161</v>
      </c>
      <c r="E1551" s="8" t="s">
        <v>1855</v>
      </c>
      <c r="G1551" s="10">
        <v>0.75</v>
      </c>
    </row>
    <row r="1552" spans="1:7">
      <c r="A1552" s="5">
        <v>45719</v>
      </c>
      <c r="B1552" s="6">
        <v>10404</v>
      </c>
      <c r="D1552" s="7" t="s">
        <v>523</v>
      </c>
      <c r="E1552" s="8" t="s">
        <v>1856</v>
      </c>
      <c r="G1552" s="10">
        <v>0.5</v>
      </c>
    </row>
    <row r="1553" spans="1:8">
      <c r="A1553" s="5">
        <v>45719</v>
      </c>
      <c r="B1553" s="6">
        <v>10291</v>
      </c>
      <c r="D1553" s="7" t="s">
        <v>1857</v>
      </c>
      <c r="E1553" s="8" t="s">
        <v>1858</v>
      </c>
      <c r="G1553" s="10">
        <v>0.5</v>
      </c>
    </row>
    <row r="1554" spans="1:8">
      <c r="A1554" s="5">
        <v>45719</v>
      </c>
      <c r="B1554" s="6">
        <v>51286</v>
      </c>
      <c r="D1554" s="7" t="s">
        <v>783</v>
      </c>
      <c r="E1554" s="8" t="s">
        <v>1859</v>
      </c>
      <c r="G1554" s="10">
        <v>0.5</v>
      </c>
    </row>
    <row r="1555" spans="1:8">
      <c r="A1555" s="5">
        <v>45719</v>
      </c>
      <c r="B1555" s="6">
        <v>10180</v>
      </c>
      <c r="D1555" s="7" t="s">
        <v>161</v>
      </c>
      <c r="E1555" s="8" t="s">
        <v>1860</v>
      </c>
      <c r="G1555" s="10">
        <v>0.25</v>
      </c>
    </row>
    <row r="1556" spans="1:8">
      <c r="A1556" s="5">
        <v>45719</v>
      </c>
      <c r="B1556" s="6">
        <v>10183</v>
      </c>
      <c r="D1556" s="7" t="s">
        <v>1861</v>
      </c>
      <c r="E1556" s="8" t="s">
        <v>1862</v>
      </c>
      <c r="G1556" s="10">
        <v>0.5</v>
      </c>
    </row>
    <row r="1557" spans="1:8" ht="25.5">
      <c r="A1557" s="5">
        <v>45719</v>
      </c>
      <c r="B1557" s="6">
        <v>10221</v>
      </c>
      <c r="D1557" s="7" t="s">
        <v>277</v>
      </c>
      <c r="E1557" s="8" t="s">
        <v>1863</v>
      </c>
      <c r="G1557" s="10">
        <v>1.5</v>
      </c>
    </row>
    <row r="1558" spans="1:8">
      <c r="A1558" s="5">
        <v>45719</v>
      </c>
      <c r="B1558" s="6">
        <v>10287</v>
      </c>
      <c r="D1558" s="7" t="s">
        <v>445</v>
      </c>
      <c r="E1558" s="8" t="s">
        <v>1864</v>
      </c>
      <c r="G1558" s="10">
        <v>1.25</v>
      </c>
    </row>
    <row r="1559" spans="1:8">
      <c r="A1559" s="5">
        <v>45719</v>
      </c>
      <c r="B1559" s="6">
        <v>60230</v>
      </c>
      <c r="D1559" s="7" t="s">
        <v>152</v>
      </c>
      <c r="E1559" s="8" t="s">
        <v>1865</v>
      </c>
      <c r="G1559" s="10">
        <v>0.5</v>
      </c>
      <c r="H1559" s="19" t="s">
        <v>15</v>
      </c>
    </row>
    <row r="1560" spans="1:8">
      <c r="A1560" s="5">
        <v>45719</v>
      </c>
    </row>
    <row r="1561" spans="1:8">
      <c r="A1561" s="5">
        <v>45719</v>
      </c>
    </row>
    <row r="1562" spans="1:8">
      <c r="A1562" s="5">
        <v>45719</v>
      </c>
    </row>
    <row r="1563" spans="1:8">
      <c r="A1563" s="5">
        <v>45719</v>
      </c>
    </row>
    <row r="1564" spans="1:8">
      <c r="A1564" s="5">
        <v>45719</v>
      </c>
    </row>
    <row r="1565" spans="1:8">
      <c r="A1565" s="5">
        <v>45719</v>
      </c>
    </row>
    <row r="1566" spans="1:8">
      <c r="A1566" s="5">
        <v>45719</v>
      </c>
    </row>
    <row r="1567" spans="1:8">
      <c r="A1567" s="5">
        <v>45719</v>
      </c>
    </row>
    <row r="1568" spans="1:8">
      <c r="A1568" s="5">
        <v>45719</v>
      </c>
      <c r="F1568" s="9">
        <f>16.25-G1568</f>
        <v>8.75</v>
      </c>
      <c r="G1568" s="10">
        <f>SUM(G1549:G1562)</f>
        <v>7.5</v>
      </c>
    </row>
  </sheetData>
  <sheetProtection selectLockedCells="1" selectUnlockedCells="1"/>
  <pageMargins left="0.78740157480314965" right="0.78740157480314965" top="0.98425196850393704" bottom="0.98425196850393704" header="0.51181102362204722" footer="0.51181102362204722"/>
  <pageSetup paperSize="9" scale="10" firstPageNumber="0"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5387-D9FF-4707-BB1F-73F4260D4163}">
  <dimension ref="A1:I159"/>
  <sheetViews>
    <sheetView topLeftCell="D1" workbookViewId="0">
      <selection activeCell="E11" sqref="E11"/>
    </sheetView>
  </sheetViews>
  <sheetFormatPr defaultColWidth="11.42578125" defaultRowHeight="12.75"/>
  <cols>
    <col min="5" max="5" width="82.85546875" customWidth="1"/>
  </cols>
  <sheetData>
    <row r="1" spans="1:9" s="1" customFormat="1" ht="25.5">
      <c r="A1" s="34" t="s">
        <v>0</v>
      </c>
      <c r="B1" s="35" t="s">
        <v>6</v>
      </c>
      <c r="C1" s="36" t="s">
        <v>1</v>
      </c>
      <c r="D1" s="37" t="s">
        <v>3</v>
      </c>
      <c r="E1" s="36" t="s">
        <v>4</v>
      </c>
      <c r="F1" s="38" t="s">
        <v>1866</v>
      </c>
      <c r="G1" s="39" t="s">
        <v>5</v>
      </c>
      <c r="H1" s="40"/>
      <c r="I1" s="41"/>
    </row>
    <row r="2" spans="1:9" s="27" customFormat="1" ht="25.5">
      <c r="A2" s="31">
        <v>45666</v>
      </c>
      <c r="B2" s="32" t="s">
        <v>15</v>
      </c>
      <c r="C2" s="32">
        <v>10252</v>
      </c>
      <c r="D2" s="27" t="s">
        <v>1867</v>
      </c>
      <c r="E2" s="27" t="s">
        <v>1868</v>
      </c>
      <c r="G2" s="33">
        <v>1</v>
      </c>
    </row>
    <row r="3" spans="1:9">
      <c r="A3" s="4">
        <v>45684</v>
      </c>
      <c r="B3" s="2"/>
      <c r="C3" s="2">
        <v>10252</v>
      </c>
      <c r="D3" s="27" t="s">
        <v>1867</v>
      </c>
      <c r="E3" s="27" t="s">
        <v>1869</v>
      </c>
      <c r="G3" s="3">
        <v>0.5</v>
      </c>
    </row>
    <row r="4" spans="1:9" s="27" customFormat="1" ht="25.5">
      <c r="A4" s="31">
        <v>45695</v>
      </c>
      <c r="B4" s="32" t="s">
        <v>15</v>
      </c>
      <c r="C4" s="32">
        <v>10252</v>
      </c>
      <c r="D4" s="27" t="s">
        <v>1867</v>
      </c>
      <c r="E4" s="27" t="s">
        <v>1870</v>
      </c>
      <c r="G4" s="33">
        <v>7</v>
      </c>
    </row>
    <row r="5" spans="1:9">
      <c r="A5" s="4">
        <v>45698</v>
      </c>
      <c r="B5" s="2" t="s">
        <v>15</v>
      </c>
      <c r="C5" s="2">
        <v>10252</v>
      </c>
      <c r="D5" t="s">
        <v>1867</v>
      </c>
      <c r="E5" t="s">
        <v>1871</v>
      </c>
      <c r="G5" s="3">
        <v>0.75</v>
      </c>
    </row>
    <row r="6" spans="1:9">
      <c r="B6" s="2"/>
      <c r="C6" s="2"/>
      <c r="G6" s="3"/>
    </row>
    <row r="7" spans="1:9">
      <c r="A7" s="4">
        <v>45707</v>
      </c>
      <c r="B7" s="2"/>
      <c r="C7" s="2">
        <v>10414</v>
      </c>
      <c r="D7" t="s">
        <v>1872</v>
      </c>
      <c r="E7" t="s">
        <v>1873</v>
      </c>
      <c r="G7" s="3"/>
    </row>
    <row r="8" spans="1:9">
      <c r="A8" s="4">
        <v>45707</v>
      </c>
      <c r="B8" s="2"/>
      <c r="C8" s="2">
        <v>10215</v>
      </c>
      <c r="D8" t="s">
        <v>1874</v>
      </c>
      <c r="E8" t="s">
        <v>1875</v>
      </c>
      <c r="G8" s="3"/>
    </row>
    <row r="9" spans="1:9">
      <c r="A9" s="4">
        <v>45707</v>
      </c>
      <c r="B9" s="2"/>
      <c r="C9" s="2">
        <v>10215</v>
      </c>
      <c r="D9" t="s">
        <v>1876</v>
      </c>
      <c r="E9" t="s">
        <v>1875</v>
      </c>
      <c r="G9" s="3"/>
    </row>
    <row r="10" spans="1:9">
      <c r="A10" s="4">
        <v>45708</v>
      </c>
      <c r="B10" s="2"/>
      <c r="C10" s="2">
        <v>10113</v>
      </c>
      <c r="D10" t="s">
        <v>1877</v>
      </c>
      <c r="E10" t="s">
        <v>1875</v>
      </c>
      <c r="G10" s="3"/>
    </row>
    <row r="11" spans="1:9">
      <c r="A11" s="4">
        <v>45708</v>
      </c>
      <c r="B11" s="2"/>
      <c r="C11" s="2">
        <v>10275</v>
      </c>
      <c r="D11" t="s">
        <v>1878</v>
      </c>
      <c r="E11" t="s">
        <v>1879</v>
      </c>
      <c r="G11" s="3"/>
    </row>
    <row r="12" spans="1:9">
      <c r="A12" s="4">
        <v>45708</v>
      </c>
      <c r="B12" s="2"/>
      <c r="C12" s="2">
        <v>10286</v>
      </c>
      <c r="D12" t="s">
        <v>441</v>
      </c>
      <c r="E12" t="s">
        <v>1880</v>
      </c>
      <c r="G12" s="3">
        <v>0.25</v>
      </c>
    </row>
    <row r="13" spans="1:9">
      <c r="A13" s="4">
        <v>45708</v>
      </c>
      <c r="B13" s="2"/>
      <c r="C13" s="2">
        <v>10209</v>
      </c>
      <c r="D13" t="s">
        <v>221</v>
      </c>
      <c r="E13" t="s">
        <v>1875</v>
      </c>
      <c r="G13" s="3"/>
    </row>
    <row r="14" spans="1:9">
      <c r="A14" s="4">
        <v>45708</v>
      </c>
      <c r="B14" s="2"/>
      <c r="C14" s="2">
        <v>10414</v>
      </c>
      <c r="D14" t="s">
        <v>1872</v>
      </c>
      <c r="E14" t="s">
        <v>1881</v>
      </c>
      <c r="G14" s="3">
        <v>0.5</v>
      </c>
    </row>
    <row r="15" spans="1:9">
      <c r="A15" s="4">
        <v>45709</v>
      </c>
      <c r="B15" s="2"/>
      <c r="C15" s="2">
        <v>60357</v>
      </c>
      <c r="D15" t="s">
        <v>1882</v>
      </c>
      <c r="G15" s="3"/>
    </row>
    <row r="16" spans="1:9">
      <c r="A16" s="4">
        <v>45709</v>
      </c>
      <c r="B16" s="2"/>
      <c r="C16" s="2">
        <v>10418</v>
      </c>
      <c r="D16" t="s">
        <v>1883</v>
      </c>
      <c r="E16" t="s">
        <v>1884</v>
      </c>
      <c r="G16" s="3"/>
    </row>
    <row r="17" spans="1:7">
      <c r="A17" s="4">
        <v>45709</v>
      </c>
      <c r="B17" s="2"/>
      <c r="C17" s="2">
        <v>10229</v>
      </c>
      <c r="D17" t="s">
        <v>1885</v>
      </c>
      <c r="E17" t="s">
        <v>1886</v>
      </c>
      <c r="G17" s="3">
        <v>0.25</v>
      </c>
    </row>
    <row r="18" spans="1:7">
      <c r="A18" s="4">
        <v>45709</v>
      </c>
      <c r="B18" s="2" t="s">
        <v>15</v>
      </c>
      <c r="C18" s="2">
        <v>10230</v>
      </c>
      <c r="D18" t="s">
        <v>1887</v>
      </c>
      <c r="E18" t="s">
        <v>1888</v>
      </c>
      <c r="G18" s="3">
        <v>0.75</v>
      </c>
    </row>
    <row r="19" spans="1:7">
      <c r="A19" s="4">
        <v>45709</v>
      </c>
      <c r="B19" s="2"/>
      <c r="C19" s="2">
        <v>10332</v>
      </c>
      <c r="D19" t="s">
        <v>1889</v>
      </c>
      <c r="E19" t="s">
        <v>1890</v>
      </c>
      <c r="G19" s="3">
        <v>0.25</v>
      </c>
    </row>
    <row r="20" spans="1:7">
      <c r="A20" s="4">
        <v>45709</v>
      </c>
      <c r="B20" s="2"/>
      <c r="C20" s="2">
        <v>10221</v>
      </c>
      <c r="D20" t="s">
        <v>1891</v>
      </c>
      <c r="E20" t="s">
        <v>1892</v>
      </c>
      <c r="G20" s="3">
        <v>0.25</v>
      </c>
    </row>
    <row r="21" spans="1:7">
      <c r="A21" s="4">
        <v>45710</v>
      </c>
      <c r="B21" s="2"/>
      <c r="C21" s="2">
        <v>10209</v>
      </c>
      <c r="D21" t="s">
        <v>221</v>
      </c>
      <c r="E21" t="s">
        <v>1893</v>
      </c>
      <c r="G21" s="3">
        <v>0.25</v>
      </c>
    </row>
    <row r="22" spans="1:7">
      <c r="A22" s="4">
        <v>45710</v>
      </c>
      <c r="B22" s="2"/>
      <c r="C22" s="2">
        <v>10000</v>
      </c>
      <c r="D22" t="s">
        <v>91</v>
      </c>
      <c r="E22" t="s">
        <v>1894</v>
      </c>
      <c r="G22" s="3">
        <v>3.5</v>
      </c>
    </row>
    <row r="23" spans="1:7">
      <c r="A23" s="4">
        <v>45712</v>
      </c>
      <c r="B23" s="2"/>
      <c r="C23" s="2">
        <v>10332</v>
      </c>
      <c r="D23" t="s">
        <v>1889</v>
      </c>
      <c r="E23" t="s">
        <v>1895</v>
      </c>
      <c r="G23" s="3">
        <v>0.75</v>
      </c>
    </row>
    <row r="24" spans="1:7">
      <c r="A24" s="4">
        <v>45712</v>
      </c>
      <c r="B24" s="2"/>
      <c r="C24" s="2">
        <v>10000</v>
      </c>
      <c r="D24" t="s">
        <v>91</v>
      </c>
      <c r="E24" t="s">
        <v>1896</v>
      </c>
      <c r="F24" s="3">
        <v>0.5</v>
      </c>
      <c r="G24" s="3"/>
    </row>
    <row r="25" spans="1:7">
      <c r="A25" s="4">
        <v>45712</v>
      </c>
      <c r="B25" s="2"/>
      <c r="C25" s="2">
        <v>10229</v>
      </c>
      <c r="D25" t="s">
        <v>1885</v>
      </c>
      <c r="E25" t="s">
        <v>1897</v>
      </c>
      <c r="G25" s="3">
        <v>0.5</v>
      </c>
    </row>
    <row r="26" spans="1:7">
      <c r="A26" s="4">
        <v>45712</v>
      </c>
      <c r="B26" s="2"/>
      <c r="C26" s="2">
        <v>10138</v>
      </c>
      <c r="D26" t="s">
        <v>1898</v>
      </c>
      <c r="E26" t="s">
        <v>1899</v>
      </c>
      <c r="G26" s="3">
        <v>0.25</v>
      </c>
    </row>
    <row r="27" spans="1:7">
      <c r="A27" s="4">
        <v>45712</v>
      </c>
      <c r="B27" s="2"/>
      <c r="C27" s="2">
        <v>10332</v>
      </c>
      <c r="D27" t="s">
        <v>1889</v>
      </c>
      <c r="E27" t="s">
        <v>1900</v>
      </c>
      <c r="G27" s="3">
        <v>0.5</v>
      </c>
    </row>
    <row r="28" spans="1:7">
      <c r="A28" s="4">
        <v>45712</v>
      </c>
      <c r="B28" s="2"/>
      <c r="C28" s="2">
        <v>10261</v>
      </c>
      <c r="D28" t="s">
        <v>1901</v>
      </c>
      <c r="E28" t="s">
        <v>1902</v>
      </c>
      <c r="G28" s="3"/>
    </row>
    <row r="29" spans="1:7">
      <c r="A29" s="4">
        <v>45712</v>
      </c>
      <c r="B29" s="2"/>
      <c r="C29" s="2">
        <v>10221</v>
      </c>
      <c r="D29" t="s">
        <v>1891</v>
      </c>
      <c r="E29" t="s">
        <v>1903</v>
      </c>
      <c r="G29" s="3">
        <v>0.5</v>
      </c>
    </row>
    <row r="30" spans="1:7">
      <c r="A30" s="4">
        <v>45712</v>
      </c>
      <c r="B30" s="2"/>
      <c r="C30" s="2">
        <v>10220</v>
      </c>
      <c r="D30" t="s">
        <v>1891</v>
      </c>
      <c r="E30" t="s">
        <v>1904</v>
      </c>
      <c r="G30" s="3">
        <v>0.25</v>
      </c>
    </row>
    <row r="31" spans="1:7">
      <c r="A31" s="4">
        <v>45713</v>
      </c>
      <c r="B31" s="2"/>
      <c r="C31" s="2">
        <v>10252</v>
      </c>
      <c r="D31" t="s">
        <v>1867</v>
      </c>
      <c r="E31" t="s">
        <v>1905</v>
      </c>
      <c r="G31" s="3">
        <v>0.5</v>
      </c>
    </row>
    <row r="32" spans="1:7">
      <c r="A32" s="4">
        <v>45713</v>
      </c>
      <c r="B32" s="2"/>
      <c r="C32" s="2">
        <v>10414</v>
      </c>
      <c r="D32" t="s">
        <v>1872</v>
      </c>
      <c r="E32" t="s">
        <v>1906</v>
      </c>
      <c r="G32" s="3">
        <v>0.5</v>
      </c>
    </row>
    <row r="33" spans="1:7">
      <c r="A33" s="4">
        <v>45713</v>
      </c>
      <c r="B33" s="2"/>
      <c r="C33" s="2">
        <v>10261</v>
      </c>
      <c r="D33" t="s">
        <v>1901</v>
      </c>
      <c r="E33" t="s">
        <v>1907</v>
      </c>
      <c r="G33" s="3">
        <v>2.75</v>
      </c>
    </row>
    <row r="34" spans="1:7" s="27" customFormat="1" ht="25.5">
      <c r="A34" s="4">
        <v>45713</v>
      </c>
      <c r="B34" s="32"/>
      <c r="C34" s="32">
        <v>10261</v>
      </c>
      <c r="D34" s="27" t="s">
        <v>1901</v>
      </c>
      <c r="E34" s="27" t="s">
        <v>1908</v>
      </c>
      <c r="G34" s="33">
        <v>2.5</v>
      </c>
    </row>
    <row r="35" spans="1:7">
      <c r="A35" s="4">
        <v>45713</v>
      </c>
      <c r="B35" s="2"/>
      <c r="C35" s="2">
        <v>60227</v>
      </c>
      <c r="D35" t="s">
        <v>1909</v>
      </c>
      <c r="E35" t="s">
        <v>1910</v>
      </c>
      <c r="G35" s="3">
        <v>0.25</v>
      </c>
    </row>
    <row r="36" spans="1:7">
      <c r="A36" s="4">
        <v>45713</v>
      </c>
      <c r="B36" s="2"/>
      <c r="C36" s="2">
        <v>60228</v>
      </c>
      <c r="D36" t="s">
        <v>1911</v>
      </c>
      <c r="E36" t="s">
        <v>1910</v>
      </c>
      <c r="G36" s="3">
        <v>0.25</v>
      </c>
    </row>
    <row r="37" spans="1:7">
      <c r="A37" s="4">
        <v>45713</v>
      </c>
      <c r="B37" s="2"/>
      <c r="C37" s="2">
        <v>10099</v>
      </c>
      <c r="D37" t="s">
        <v>1912</v>
      </c>
      <c r="E37" t="s">
        <v>1913</v>
      </c>
      <c r="G37" s="3">
        <v>0.5</v>
      </c>
    </row>
    <row r="38" spans="1:7">
      <c r="A38" s="4">
        <v>45713</v>
      </c>
      <c r="B38" s="2"/>
      <c r="C38" s="2">
        <v>10099</v>
      </c>
      <c r="D38" t="s">
        <v>1914</v>
      </c>
      <c r="E38" t="s">
        <v>1915</v>
      </c>
      <c r="G38" s="3">
        <v>0.5</v>
      </c>
    </row>
    <row r="39" spans="1:7">
      <c r="A39" s="4">
        <v>45713</v>
      </c>
      <c r="B39" s="2"/>
      <c r="C39" s="2">
        <v>10107</v>
      </c>
      <c r="D39" t="s">
        <v>1916</v>
      </c>
      <c r="E39" t="s">
        <v>1910</v>
      </c>
      <c r="G39" s="3">
        <v>0.25</v>
      </c>
    </row>
    <row r="40" spans="1:7">
      <c r="A40" s="4">
        <v>45713</v>
      </c>
      <c r="B40" s="2"/>
      <c r="C40" s="2">
        <v>10413</v>
      </c>
      <c r="D40" t="s">
        <v>565</v>
      </c>
      <c r="E40" t="s">
        <v>1917</v>
      </c>
      <c r="G40" s="3">
        <v>0.25</v>
      </c>
    </row>
    <row r="41" spans="1:7">
      <c r="A41" s="4">
        <v>45713</v>
      </c>
      <c r="B41" s="2"/>
      <c r="C41" s="2">
        <v>10113</v>
      </c>
      <c r="D41" t="s">
        <v>1877</v>
      </c>
      <c r="E41" t="s">
        <v>1918</v>
      </c>
      <c r="G41" s="3">
        <v>0.25</v>
      </c>
    </row>
    <row r="42" spans="1:7">
      <c r="A42" s="4">
        <v>45714</v>
      </c>
      <c r="B42" s="2"/>
      <c r="C42" s="2"/>
      <c r="G42" s="3"/>
    </row>
    <row r="43" spans="1:7">
      <c r="A43" s="4">
        <v>45714</v>
      </c>
      <c r="B43" s="2"/>
      <c r="C43" s="2">
        <v>60307</v>
      </c>
      <c r="D43" t="s">
        <v>1919</v>
      </c>
      <c r="E43" t="s">
        <v>1920</v>
      </c>
      <c r="G43" s="3">
        <v>0.25</v>
      </c>
    </row>
    <row r="44" spans="1:7">
      <c r="A44" s="4">
        <v>45714</v>
      </c>
      <c r="B44" s="2"/>
      <c r="C44" s="2">
        <v>60049</v>
      </c>
      <c r="D44" t="s">
        <v>1921</v>
      </c>
      <c r="E44" t="s">
        <v>1922</v>
      </c>
      <c r="G44" s="3">
        <v>0.5</v>
      </c>
    </row>
    <row r="45" spans="1:7">
      <c r="A45" s="4">
        <v>45714</v>
      </c>
      <c r="B45" s="2"/>
      <c r="C45" s="2">
        <v>69984</v>
      </c>
      <c r="D45" t="s">
        <v>1923</v>
      </c>
      <c r="E45" t="s">
        <v>1924</v>
      </c>
      <c r="G45" s="3">
        <v>0.25</v>
      </c>
    </row>
    <row r="46" spans="1:7">
      <c r="A46" s="4">
        <v>45714</v>
      </c>
      <c r="B46" s="2"/>
      <c r="C46" s="2">
        <v>60340</v>
      </c>
      <c r="D46" t="s">
        <v>1925</v>
      </c>
      <c r="E46" t="s">
        <v>1926</v>
      </c>
      <c r="G46" s="3">
        <v>0.25</v>
      </c>
    </row>
    <row r="47" spans="1:7">
      <c r="A47" s="4">
        <v>45714</v>
      </c>
      <c r="B47" s="2"/>
      <c r="C47" s="2">
        <v>10252</v>
      </c>
      <c r="D47" t="s">
        <v>1867</v>
      </c>
      <c r="E47" t="s">
        <v>1927</v>
      </c>
      <c r="G47" s="3">
        <v>0.5</v>
      </c>
    </row>
    <row r="48" spans="1:7">
      <c r="A48" s="4">
        <v>45714</v>
      </c>
      <c r="B48" s="2" t="s">
        <v>15</v>
      </c>
      <c r="C48" s="2">
        <v>60253</v>
      </c>
      <c r="D48" t="s">
        <v>1928</v>
      </c>
      <c r="E48" t="s">
        <v>1929</v>
      </c>
      <c r="G48" s="3">
        <v>4</v>
      </c>
    </row>
    <row r="49" spans="1:7">
      <c r="A49" s="4">
        <v>45715</v>
      </c>
      <c r="B49" s="2" t="s">
        <v>15</v>
      </c>
      <c r="C49" s="2">
        <v>60253</v>
      </c>
      <c r="D49" t="s">
        <v>1928</v>
      </c>
      <c r="E49" t="s">
        <v>1930</v>
      </c>
      <c r="G49" s="3">
        <v>1.5</v>
      </c>
    </row>
    <row r="50" spans="1:7">
      <c r="A50" s="4">
        <v>45715</v>
      </c>
      <c r="B50" s="2"/>
      <c r="C50" s="2">
        <v>10252</v>
      </c>
      <c r="D50" t="s">
        <v>1867</v>
      </c>
      <c r="E50" t="s">
        <v>1931</v>
      </c>
      <c r="G50" s="3">
        <v>0.5</v>
      </c>
    </row>
    <row r="51" spans="1:7" s="27" customFormat="1" ht="25.5">
      <c r="A51" s="31">
        <v>45715</v>
      </c>
      <c r="B51" s="32"/>
      <c r="C51" s="32">
        <v>10132</v>
      </c>
      <c r="D51" s="27" t="s">
        <v>1932</v>
      </c>
      <c r="E51" s="27" t="s">
        <v>1933</v>
      </c>
      <c r="G51" s="33">
        <v>0.5</v>
      </c>
    </row>
    <row r="52" spans="1:7" s="27" customFormat="1" ht="25.5">
      <c r="A52" s="31">
        <v>45715</v>
      </c>
      <c r="B52" s="32"/>
      <c r="C52" s="32">
        <v>60320</v>
      </c>
      <c r="D52" s="27" t="s">
        <v>1934</v>
      </c>
      <c r="E52" s="27" t="s">
        <v>1935</v>
      </c>
      <c r="G52" s="33">
        <v>1</v>
      </c>
    </row>
    <row r="53" spans="1:7">
      <c r="A53" s="4">
        <v>45715</v>
      </c>
      <c r="B53" s="2"/>
      <c r="C53" s="2">
        <v>10209</v>
      </c>
      <c r="D53" t="s">
        <v>221</v>
      </c>
      <c r="E53" t="s">
        <v>1936</v>
      </c>
      <c r="G53" s="3">
        <v>0.5</v>
      </c>
    </row>
    <row r="54" spans="1:7">
      <c r="A54" s="4">
        <v>45715</v>
      </c>
      <c r="B54" s="2"/>
      <c r="C54" s="2">
        <v>60377</v>
      </c>
      <c r="D54" t="s">
        <v>1937</v>
      </c>
      <c r="E54" t="s">
        <v>1938</v>
      </c>
      <c r="G54" s="3">
        <v>4.5</v>
      </c>
    </row>
    <row r="55" spans="1:7">
      <c r="A55" s="4">
        <v>45715</v>
      </c>
      <c r="B55" s="2"/>
      <c r="C55" s="2">
        <v>60340</v>
      </c>
      <c r="D55" t="s">
        <v>1925</v>
      </c>
      <c r="E55" t="s">
        <v>1939</v>
      </c>
      <c r="G55" s="3">
        <v>0.25</v>
      </c>
    </row>
    <row r="56" spans="1:7">
      <c r="A56" s="4">
        <v>45715</v>
      </c>
      <c r="B56" s="2"/>
      <c r="C56" s="2">
        <v>10413</v>
      </c>
      <c r="D56" t="s">
        <v>565</v>
      </c>
      <c r="E56" t="s">
        <v>1940</v>
      </c>
      <c r="G56" s="3">
        <v>0.25</v>
      </c>
    </row>
    <row r="57" spans="1:7">
      <c r="A57" s="4">
        <v>45716</v>
      </c>
      <c r="B57" s="2"/>
      <c r="C57" s="2">
        <v>10252</v>
      </c>
      <c r="D57" t="s">
        <v>1867</v>
      </c>
      <c r="E57" t="s">
        <v>1941</v>
      </c>
      <c r="G57" s="3">
        <v>0.5</v>
      </c>
    </row>
    <row r="58" spans="1:7">
      <c r="A58" s="4">
        <v>45716</v>
      </c>
      <c r="B58" s="2"/>
      <c r="C58" s="2">
        <v>10261</v>
      </c>
      <c r="D58" t="s">
        <v>1901</v>
      </c>
      <c r="E58" t="s">
        <v>1942</v>
      </c>
      <c r="G58" s="3">
        <v>0.5</v>
      </c>
    </row>
    <row r="59" spans="1:7">
      <c r="A59" s="4">
        <v>45716</v>
      </c>
      <c r="B59" s="2"/>
      <c r="C59" s="2">
        <v>10132</v>
      </c>
      <c r="D59" t="s">
        <v>1932</v>
      </c>
      <c r="E59" t="s">
        <v>1943</v>
      </c>
      <c r="G59" s="3">
        <v>1</v>
      </c>
    </row>
    <row r="60" spans="1:7">
      <c r="A60" s="4">
        <v>45716</v>
      </c>
      <c r="B60" s="2"/>
      <c r="C60" s="2">
        <v>60307</v>
      </c>
      <c r="D60" t="s">
        <v>1919</v>
      </c>
      <c r="E60" t="s">
        <v>1944</v>
      </c>
      <c r="G60" s="3">
        <v>2.5</v>
      </c>
    </row>
    <row r="61" spans="1:7">
      <c r="B61" s="2"/>
      <c r="C61" s="2"/>
      <c r="G61" s="3"/>
    </row>
    <row r="62" spans="1:7">
      <c r="B62" s="2"/>
      <c r="C62" s="2"/>
      <c r="G62" s="3"/>
    </row>
    <row r="63" spans="1:7">
      <c r="B63" s="2"/>
      <c r="C63" s="2"/>
      <c r="G63" s="3"/>
    </row>
    <row r="64" spans="1:7">
      <c r="B64" s="2"/>
      <c r="C64" s="2"/>
      <c r="G64" s="3"/>
    </row>
    <row r="65" spans="2:7">
      <c r="B65" s="2"/>
      <c r="C65" s="2"/>
      <c r="G65" s="3"/>
    </row>
    <row r="66" spans="2:7">
      <c r="B66" s="2"/>
      <c r="C66" s="2"/>
      <c r="G66" s="3"/>
    </row>
    <row r="67" spans="2:7">
      <c r="B67" s="2"/>
      <c r="C67" s="2"/>
      <c r="G67" s="3"/>
    </row>
    <row r="68" spans="2:7">
      <c r="B68" s="2"/>
      <c r="C68" s="2"/>
      <c r="G68" s="3"/>
    </row>
    <row r="69" spans="2:7">
      <c r="B69" s="2"/>
      <c r="C69" s="2"/>
      <c r="G69" s="3"/>
    </row>
    <row r="70" spans="2:7">
      <c r="B70" s="2"/>
      <c r="C70" s="2"/>
      <c r="G70" s="3"/>
    </row>
    <row r="71" spans="2:7">
      <c r="B71" s="2"/>
      <c r="C71" s="2"/>
      <c r="G71" s="3"/>
    </row>
    <row r="72" spans="2:7">
      <c r="B72" s="2"/>
      <c r="C72" s="2"/>
      <c r="G72" s="3"/>
    </row>
    <row r="73" spans="2:7">
      <c r="B73" s="2"/>
      <c r="C73" s="2"/>
      <c r="G73" s="3"/>
    </row>
    <row r="74" spans="2:7">
      <c r="B74" s="2"/>
      <c r="C74" s="2"/>
      <c r="G74" s="3"/>
    </row>
    <row r="75" spans="2:7">
      <c r="B75" s="2"/>
      <c r="C75" s="2"/>
      <c r="G75" s="3"/>
    </row>
    <row r="76" spans="2:7">
      <c r="B76" s="2"/>
      <c r="C76" s="2"/>
      <c r="G76" s="3"/>
    </row>
    <row r="77" spans="2:7">
      <c r="B77" s="2"/>
      <c r="C77" s="2"/>
      <c r="G77" s="3"/>
    </row>
    <row r="78" spans="2:7">
      <c r="B78" s="2"/>
      <c r="C78" s="2"/>
      <c r="G78" s="3"/>
    </row>
    <row r="79" spans="2:7">
      <c r="B79" s="2"/>
      <c r="C79" s="2"/>
      <c r="G79" s="3"/>
    </row>
    <row r="80" spans="2:7">
      <c r="B80" s="2"/>
      <c r="C80" s="2"/>
      <c r="G80" s="3"/>
    </row>
    <row r="81" spans="2:7">
      <c r="B81" s="2"/>
      <c r="C81" s="2"/>
      <c r="G81" s="3"/>
    </row>
    <row r="82" spans="2:7">
      <c r="B82" s="2"/>
      <c r="C82" s="2"/>
      <c r="G82" s="3"/>
    </row>
    <row r="83" spans="2:7">
      <c r="B83" s="2"/>
      <c r="C83" s="2"/>
      <c r="G83" s="3"/>
    </row>
    <row r="84" spans="2:7">
      <c r="B84" s="2"/>
      <c r="C84" s="2"/>
      <c r="G84" s="3"/>
    </row>
    <row r="85" spans="2:7">
      <c r="B85" s="2"/>
      <c r="C85" s="2"/>
      <c r="G85" s="3"/>
    </row>
    <row r="86" spans="2:7">
      <c r="B86" s="2"/>
      <c r="C86" s="2"/>
      <c r="G86" s="3"/>
    </row>
    <row r="87" spans="2:7">
      <c r="B87" s="2"/>
      <c r="C87" s="2"/>
      <c r="G87" s="3"/>
    </row>
    <row r="88" spans="2:7">
      <c r="B88" s="2"/>
      <c r="C88" s="2"/>
      <c r="G88" s="3"/>
    </row>
    <row r="89" spans="2:7">
      <c r="B89" s="2"/>
      <c r="C89" s="2"/>
      <c r="G89" s="3"/>
    </row>
    <row r="90" spans="2:7">
      <c r="B90" s="2"/>
      <c r="C90" s="2"/>
      <c r="G90" s="3"/>
    </row>
    <row r="91" spans="2:7">
      <c r="B91" s="2"/>
      <c r="C91" s="2"/>
      <c r="G91" s="3"/>
    </row>
    <row r="92" spans="2:7">
      <c r="B92" s="2"/>
      <c r="C92" s="2"/>
      <c r="G92" s="3"/>
    </row>
    <row r="93" spans="2:7">
      <c r="B93" s="2"/>
      <c r="C93" s="2"/>
      <c r="G93" s="3"/>
    </row>
    <row r="94" spans="2:7">
      <c r="B94" s="2"/>
      <c r="C94" s="2"/>
      <c r="G94" s="3"/>
    </row>
    <row r="95" spans="2:7">
      <c r="B95" s="2"/>
      <c r="C95" s="2"/>
      <c r="G95" s="3"/>
    </row>
    <row r="96" spans="2:7">
      <c r="B96" s="2"/>
      <c r="C96" s="2"/>
      <c r="G96" s="3"/>
    </row>
    <row r="97" spans="2:7">
      <c r="B97" s="2"/>
      <c r="C97" s="2"/>
      <c r="G97" s="3"/>
    </row>
    <row r="98" spans="2:7">
      <c r="B98" s="2"/>
      <c r="C98" s="2"/>
      <c r="G98" s="3"/>
    </row>
    <row r="99" spans="2:7">
      <c r="B99" s="2"/>
      <c r="C99" s="2"/>
      <c r="G99" s="3"/>
    </row>
    <row r="100" spans="2:7">
      <c r="B100" s="2"/>
      <c r="C100" s="2"/>
      <c r="G100" s="3"/>
    </row>
    <row r="101" spans="2:7">
      <c r="B101" s="2"/>
      <c r="C101" s="2"/>
      <c r="G101" s="3"/>
    </row>
    <row r="102" spans="2:7">
      <c r="B102" s="2"/>
      <c r="C102" s="2"/>
      <c r="G102" s="3"/>
    </row>
    <row r="103" spans="2:7">
      <c r="B103" s="2"/>
      <c r="C103" s="2"/>
      <c r="G103" s="3"/>
    </row>
    <row r="104" spans="2:7">
      <c r="B104" s="2"/>
      <c r="C104" s="2"/>
      <c r="G104" s="3"/>
    </row>
    <row r="105" spans="2:7">
      <c r="B105" s="2"/>
      <c r="C105" s="2"/>
      <c r="G105" s="3"/>
    </row>
    <row r="106" spans="2:7">
      <c r="B106" s="2"/>
      <c r="C106" s="2"/>
      <c r="G106" s="3"/>
    </row>
    <row r="107" spans="2:7">
      <c r="B107" s="2"/>
      <c r="C107" s="2"/>
      <c r="G107" s="3"/>
    </row>
    <row r="108" spans="2:7">
      <c r="B108" s="2"/>
      <c r="C108" s="2"/>
      <c r="G108" s="3"/>
    </row>
    <row r="109" spans="2:7">
      <c r="B109" s="2"/>
      <c r="C109" s="2"/>
      <c r="G109" s="3"/>
    </row>
    <row r="110" spans="2:7">
      <c r="B110" s="2"/>
      <c r="C110" s="2"/>
      <c r="G110" s="3"/>
    </row>
    <row r="111" spans="2:7">
      <c r="B111" s="2"/>
      <c r="C111" s="2"/>
      <c r="G111" s="3"/>
    </row>
    <row r="112" spans="2:7">
      <c r="B112" s="2"/>
      <c r="C112" s="2"/>
      <c r="G112" s="3"/>
    </row>
    <row r="113" spans="2:7">
      <c r="B113" s="2"/>
      <c r="C113" s="2"/>
      <c r="G113" s="3"/>
    </row>
    <row r="114" spans="2:7">
      <c r="B114" s="2"/>
      <c r="C114" s="2"/>
      <c r="G114" s="3"/>
    </row>
    <row r="115" spans="2:7">
      <c r="B115" s="2"/>
      <c r="C115" s="2"/>
      <c r="G115" s="3"/>
    </row>
    <row r="116" spans="2:7">
      <c r="B116" s="2"/>
      <c r="C116" s="2"/>
      <c r="G116" s="3"/>
    </row>
    <row r="117" spans="2:7">
      <c r="B117" s="2"/>
      <c r="C117" s="2"/>
      <c r="G117" s="3"/>
    </row>
    <row r="118" spans="2:7">
      <c r="B118" s="2"/>
      <c r="C118" s="2"/>
      <c r="G118" s="3"/>
    </row>
    <row r="119" spans="2:7">
      <c r="B119" s="2"/>
      <c r="C119" s="2"/>
      <c r="G119" s="3"/>
    </row>
    <row r="120" spans="2:7">
      <c r="B120" s="2"/>
      <c r="C120" s="2"/>
      <c r="G120" s="3"/>
    </row>
    <row r="121" spans="2:7">
      <c r="B121" s="2"/>
      <c r="C121" s="2"/>
      <c r="G121" s="3"/>
    </row>
    <row r="122" spans="2:7">
      <c r="B122" s="2"/>
      <c r="C122" s="2"/>
      <c r="G122" s="3"/>
    </row>
    <row r="123" spans="2:7">
      <c r="B123" s="2"/>
      <c r="C123" s="2"/>
      <c r="G123" s="3"/>
    </row>
    <row r="124" spans="2:7">
      <c r="B124" s="2"/>
      <c r="C124" s="2"/>
      <c r="G124" s="3"/>
    </row>
    <row r="125" spans="2:7">
      <c r="B125" s="2"/>
      <c r="C125" s="2"/>
      <c r="G125" s="3"/>
    </row>
    <row r="126" spans="2:7">
      <c r="B126" s="2"/>
      <c r="C126" s="2"/>
      <c r="G126" s="3"/>
    </row>
    <row r="127" spans="2:7">
      <c r="B127" s="2"/>
      <c r="C127" s="2"/>
      <c r="G127" s="3"/>
    </row>
    <row r="128" spans="2:7">
      <c r="B128" s="2"/>
      <c r="C128" s="2"/>
      <c r="G128" s="3"/>
    </row>
    <row r="129" spans="2:7">
      <c r="B129" s="2"/>
      <c r="C129" s="2"/>
      <c r="G129" s="3"/>
    </row>
    <row r="130" spans="2:7">
      <c r="B130" s="2"/>
      <c r="C130" s="2"/>
      <c r="G130" s="3"/>
    </row>
    <row r="131" spans="2:7">
      <c r="B131" s="2"/>
      <c r="C131" s="2"/>
      <c r="G131" s="3"/>
    </row>
    <row r="132" spans="2:7">
      <c r="B132" s="2"/>
      <c r="C132" s="2"/>
      <c r="G132" s="3"/>
    </row>
    <row r="133" spans="2:7">
      <c r="B133" s="2"/>
      <c r="C133" s="2"/>
      <c r="G133" s="3"/>
    </row>
    <row r="134" spans="2:7">
      <c r="B134" s="2"/>
      <c r="C134" s="2"/>
      <c r="G134" s="3"/>
    </row>
    <row r="135" spans="2:7">
      <c r="B135" s="2"/>
      <c r="C135" s="2"/>
      <c r="G135" s="3"/>
    </row>
    <row r="136" spans="2:7">
      <c r="B136" s="2"/>
      <c r="C136" s="2"/>
      <c r="G136" s="3"/>
    </row>
    <row r="137" spans="2:7">
      <c r="B137" s="2"/>
      <c r="C137" s="2"/>
      <c r="G137" s="3"/>
    </row>
    <row r="138" spans="2:7">
      <c r="B138" s="2"/>
      <c r="C138" s="2"/>
      <c r="G138" s="3"/>
    </row>
    <row r="139" spans="2:7">
      <c r="B139" s="2"/>
      <c r="C139" s="2"/>
      <c r="G139" s="3"/>
    </row>
    <row r="140" spans="2:7">
      <c r="B140" s="2"/>
      <c r="C140" s="2"/>
      <c r="G140" s="3"/>
    </row>
    <row r="141" spans="2:7">
      <c r="B141" s="2"/>
      <c r="C141" s="2"/>
      <c r="G141" s="3"/>
    </row>
    <row r="142" spans="2:7">
      <c r="B142" s="2"/>
      <c r="C142" s="2"/>
      <c r="G142" s="3"/>
    </row>
    <row r="143" spans="2:7">
      <c r="B143" s="2"/>
      <c r="C143" s="2"/>
      <c r="G143" s="3"/>
    </row>
    <row r="144" spans="2:7">
      <c r="B144" s="2"/>
      <c r="C144" s="2"/>
      <c r="G144" s="3"/>
    </row>
    <row r="145" spans="2:7">
      <c r="B145" s="2"/>
      <c r="C145" s="2"/>
      <c r="G145" s="3"/>
    </row>
    <row r="146" spans="2:7">
      <c r="B146" s="2"/>
      <c r="C146" s="2"/>
      <c r="G146" s="3"/>
    </row>
    <row r="147" spans="2:7">
      <c r="B147" s="2"/>
      <c r="C147" s="2"/>
      <c r="G147" s="3"/>
    </row>
    <row r="148" spans="2:7">
      <c r="B148" s="2"/>
      <c r="C148" s="2"/>
      <c r="G148" s="3"/>
    </row>
    <row r="149" spans="2:7">
      <c r="B149" s="2"/>
      <c r="C149" s="2"/>
      <c r="G149" s="3"/>
    </row>
    <row r="150" spans="2:7">
      <c r="B150" s="2"/>
      <c r="C150" s="2"/>
      <c r="G150" s="3"/>
    </row>
    <row r="151" spans="2:7">
      <c r="B151" s="2"/>
      <c r="C151" s="2"/>
      <c r="G151" s="3"/>
    </row>
    <row r="152" spans="2:7">
      <c r="B152" s="2"/>
      <c r="C152" s="2"/>
      <c r="G152" s="3"/>
    </row>
    <row r="153" spans="2:7">
      <c r="B153" s="2"/>
      <c r="C153" s="2"/>
      <c r="G153" s="3"/>
    </row>
    <row r="154" spans="2:7">
      <c r="B154" s="2"/>
      <c r="C154" s="2"/>
      <c r="G154" s="3"/>
    </row>
    <row r="155" spans="2:7">
      <c r="B155" s="2"/>
      <c r="C155" s="2"/>
      <c r="G155" s="3"/>
    </row>
    <row r="156" spans="2:7">
      <c r="B156" s="2"/>
      <c r="C156" s="2"/>
      <c r="G156" s="3"/>
    </row>
    <row r="157" spans="2:7">
      <c r="B157" s="2"/>
      <c r="C157" s="2"/>
      <c r="G157" s="3"/>
    </row>
    <row r="158" spans="2:7">
      <c r="B158" s="2"/>
      <c r="C158" s="2"/>
      <c r="G158" s="3"/>
    </row>
    <row r="159" spans="2:7">
      <c r="B159" s="2"/>
      <c r="C159" s="2"/>
      <c r="G159" s="3"/>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AA91-FB17-4DD3-9E49-4824BC24E350}">
  <dimension ref="A1:I64"/>
  <sheetViews>
    <sheetView workbookViewId="0">
      <selection sqref="A1:G1"/>
    </sheetView>
  </sheetViews>
  <sheetFormatPr defaultColWidth="11.42578125" defaultRowHeight="12.75"/>
  <sheetData>
    <row r="1" spans="1:9" ht="25.5">
      <c r="A1" s="34" t="s">
        <v>0</v>
      </c>
      <c r="B1" s="35" t="s">
        <v>6</v>
      </c>
      <c r="C1" s="36" t="s">
        <v>1</v>
      </c>
      <c r="D1" s="36" t="s">
        <v>3</v>
      </c>
      <c r="E1" s="36" t="s">
        <v>4</v>
      </c>
      <c r="F1" s="38" t="s">
        <v>1866</v>
      </c>
      <c r="G1" s="42" t="s">
        <v>5</v>
      </c>
      <c r="H1" s="40"/>
      <c r="I1" s="43"/>
    </row>
    <row r="2" spans="1:9" s="46" customFormat="1">
      <c r="A2" s="44">
        <v>45659</v>
      </c>
      <c r="B2" s="45"/>
      <c r="C2" s="46">
        <v>60228</v>
      </c>
      <c r="D2" s="46" t="s">
        <v>1911</v>
      </c>
      <c r="E2" s="46" t="s">
        <v>1945</v>
      </c>
      <c r="G2" s="46">
        <v>3</v>
      </c>
    </row>
    <row r="3" spans="1:9" s="46" customFormat="1">
      <c r="A3" s="44">
        <v>45659</v>
      </c>
      <c r="B3" s="45"/>
      <c r="C3" s="46">
        <v>10220</v>
      </c>
      <c r="D3" s="46" t="s">
        <v>1946</v>
      </c>
      <c r="E3" s="46" t="s">
        <v>1945</v>
      </c>
      <c r="G3" s="46">
        <v>1</v>
      </c>
    </row>
    <row r="4" spans="1:9" s="46" customFormat="1">
      <c r="A4" s="44">
        <v>45659</v>
      </c>
      <c r="B4" s="45"/>
      <c r="C4" s="46">
        <v>10221</v>
      </c>
      <c r="D4" s="46" t="s">
        <v>1946</v>
      </c>
      <c r="E4" s="46" t="s">
        <v>1945</v>
      </c>
      <c r="G4" s="46">
        <v>3</v>
      </c>
    </row>
    <row r="5" spans="1:9" s="46" customFormat="1">
      <c r="A5" s="44">
        <v>45660</v>
      </c>
      <c r="B5" s="45"/>
      <c r="C5" s="46" t="s">
        <v>1947</v>
      </c>
      <c r="D5" s="46" t="s">
        <v>1946</v>
      </c>
      <c r="E5" s="46" t="s">
        <v>1945</v>
      </c>
      <c r="G5" s="46">
        <v>2</v>
      </c>
    </row>
    <row r="6" spans="1:9" s="46" customFormat="1">
      <c r="A6" s="44">
        <v>45660</v>
      </c>
      <c r="B6" s="45"/>
      <c r="C6" s="46">
        <v>60116</v>
      </c>
      <c r="D6" s="46" t="s">
        <v>1948</v>
      </c>
      <c r="E6" s="46" t="s">
        <v>1949</v>
      </c>
      <c r="G6" s="46">
        <v>4</v>
      </c>
    </row>
    <row r="7" spans="1:9" s="46" customFormat="1">
      <c r="A7" s="44">
        <v>45660</v>
      </c>
      <c r="B7" s="45" t="s">
        <v>15</v>
      </c>
      <c r="C7" s="46">
        <v>10275</v>
      </c>
      <c r="D7" s="46" t="s">
        <v>1950</v>
      </c>
      <c r="E7" s="46" t="s">
        <v>1951</v>
      </c>
      <c r="G7" s="46">
        <v>1</v>
      </c>
    </row>
    <row r="8" spans="1:9" s="46" customFormat="1">
      <c r="A8" s="44">
        <v>45663</v>
      </c>
      <c r="B8" s="45" t="s">
        <v>15</v>
      </c>
      <c r="C8" s="46">
        <v>10275</v>
      </c>
      <c r="D8" s="46" t="s">
        <v>1950</v>
      </c>
      <c r="E8" s="46" t="s">
        <v>1951</v>
      </c>
      <c r="G8" s="46">
        <v>1</v>
      </c>
    </row>
    <row r="9" spans="1:9" s="46" customFormat="1">
      <c r="A9" s="44">
        <v>45663</v>
      </c>
      <c r="B9" s="45"/>
      <c r="C9" s="46">
        <v>60340</v>
      </c>
      <c r="D9" s="46" t="s">
        <v>1952</v>
      </c>
      <c r="E9" s="46" t="s">
        <v>1945</v>
      </c>
      <c r="G9" s="46">
        <v>3</v>
      </c>
    </row>
    <row r="10" spans="1:9" s="46" customFormat="1">
      <c r="A10" s="44">
        <v>45663</v>
      </c>
      <c r="B10" s="45"/>
      <c r="C10" s="46">
        <v>60245</v>
      </c>
      <c r="D10" s="46" t="s">
        <v>1212</v>
      </c>
      <c r="E10" s="46" t="s">
        <v>1945</v>
      </c>
      <c r="G10" s="46">
        <v>3</v>
      </c>
    </row>
    <row r="11" spans="1:9" s="46" customFormat="1">
      <c r="A11" s="44">
        <v>45664</v>
      </c>
      <c r="B11" s="45"/>
      <c r="C11" s="46">
        <v>60116</v>
      </c>
      <c r="D11" s="46" t="s">
        <v>1948</v>
      </c>
      <c r="E11" s="46" t="s">
        <v>1949</v>
      </c>
      <c r="G11" s="46">
        <v>1</v>
      </c>
    </row>
    <row r="12" spans="1:9" s="46" customFormat="1">
      <c r="A12" s="44">
        <v>45664</v>
      </c>
      <c r="B12" s="45"/>
      <c r="C12" s="46">
        <v>60340</v>
      </c>
      <c r="D12" s="46" t="s">
        <v>1952</v>
      </c>
      <c r="E12" s="46" t="s">
        <v>1945</v>
      </c>
      <c r="G12" s="46">
        <v>1</v>
      </c>
    </row>
    <row r="13" spans="1:9" s="46" customFormat="1">
      <c r="A13" s="44">
        <v>45664</v>
      </c>
      <c r="B13" s="45"/>
      <c r="C13" s="46" t="s">
        <v>1947</v>
      </c>
      <c r="D13" s="46" t="s">
        <v>1946</v>
      </c>
      <c r="E13" s="46" t="s">
        <v>1953</v>
      </c>
      <c r="G13" s="46">
        <v>2</v>
      </c>
    </row>
    <row r="14" spans="1:9" s="46" customFormat="1">
      <c r="A14" s="44">
        <v>45664</v>
      </c>
      <c r="B14" s="45"/>
      <c r="C14" s="46">
        <v>60227</v>
      </c>
      <c r="D14" s="46" t="s">
        <v>1954</v>
      </c>
      <c r="E14" s="46" t="s">
        <v>1945</v>
      </c>
      <c r="G14" s="46">
        <v>1</v>
      </c>
    </row>
    <row r="15" spans="1:9" s="46" customFormat="1">
      <c r="A15" s="44">
        <v>45664</v>
      </c>
      <c r="B15" s="45"/>
      <c r="C15" s="46">
        <v>60228</v>
      </c>
      <c r="D15" s="46" t="s">
        <v>1911</v>
      </c>
      <c r="E15" s="46" t="s">
        <v>1945</v>
      </c>
      <c r="G15" s="46">
        <v>1</v>
      </c>
    </row>
    <row r="16" spans="1:9" s="46" customFormat="1">
      <c r="A16" s="44">
        <v>45664</v>
      </c>
      <c r="B16" s="45"/>
      <c r="C16" s="46">
        <v>60245</v>
      </c>
      <c r="D16" s="46" t="s">
        <v>1212</v>
      </c>
      <c r="E16" s="46" t="s">
        <v>1945</v>
      </c>
      <c r="G16" s="46">
        <v>1</v>
      </c>
    </row>
    <row r="17" spans="1:7" s="46" customFormat="1">
      <c r="A17" s="44">
        <v>45665</v>
      </c>
      <c r="B17" s="45"/>
      <c r="C17" s="46">
        <v>10205</v>
      </c>
      <c r="D17" s="46" t="s">
        <v>1955</v>
      </c>
      <c r="E17" s="46" t="s">
        <v>1953</v>
      </c>
      <c r="G17" s="46">
        <v>7</v>
      </c>
    </row>
    <row r="18" spans="1:7" s="46" customFormat="1">
      <c r="A18" s="44">
        <v>45666</v>
      </c>
      <c r="B18" s="45"/>
      <c r="C18" s="46">
        <v>10205</v>
      </c>
      <c r="D18" s="46" t="s">
        <v>1955</v>
      </c>
      <c r="E18" s="46" t="s">
        <v>1956</v>
      </c>
      <c r="G18" s="46">
        <v>7</v>
      </c>
    </row>
    <row r="19" spans="1:7" s="46" customFormat="1">
      <c r="A19" s="44">
        <v>45667</v>
      </c>
      <c r="B19" s="45" t="s">
        <v>15</v>
      </c>
      <c r="C19" s="46">
        <v>69984</v>
      </c>
      <c r="D19" s="46" t="s">
        <v>1957</v>
      </c>
      <c r="E19" s="46" t="s">
        <v>1958</v>
      </c>
      <c r="G19" s="46">
        <v>7</v>
      </c>
    </row>
    <row r="20" spans="1:7" s="46" customFormat="1">
      <c r="A20" s="44">
        <v>45670</v>
      </c>
      <c r="B20" s="45" t="s">
        <v>15</v>
      </c>
      <c r="C20" s="46">
        <v>69984</v>
      </c>
      <c r="D20" s="46" t="s">
        <v>1957</v>
      </c>
      <c r="E20" s="46" t="s">
        <v>1958</v>
      </c>
      <c r="G20" s="46">
        <v>7</v>
      </c>
    </row>
    <row r="21" spans="1:7" s="46" customFormat="1">
      <c r="A21" s="44">
        <v>45671</v>
      </c>
      <c r="B21" s="45" t="s">
        <v>15</v>
      </c>
      <c r="C21" s="46">
        <v>69984</v>
      </c>
      <c r="D21" s="46" t="s">
        <v>1957</v>
      </c>
      <c r="E21" s="46" t="s">
        <v>1959</v>
      </c>
      <c r="G21" s="46">
        <v>5</v>
      </c>
    </row>
    <row r="22" spans="1:7" s="46" customFormat="1">
      <c r="A22" s="44">
        <v>45671</v>
      </c>
      <c r="B22" s="45"/>
      <c r="C22" s="46">
        <v>60227</v>
      </c>
      <c r="D22" s="46" t="s">
        <v>1954</v>
      </c>
      <c r="E22" s="46" t="s">
        <v>1960</v>
      </c>
      <c r="G22" s="46">
        <v>2</v>
      </c>
    </row>
    <row r="23" spans="1:7" s="46" customFormat="1">
      <c r="A23" s="44">
        <v>45673</v>
      </c>
      <c r="B23" s="45"/>
      <c r="C23" s="46">
        <v>60227</v>
      </c>
      <c r="D23" s="46" t="s">
        <v>1954</v>
      </c>
      <c r="E23" s="46" t="s">
        <v>1960</v>
      </c>
      <c r="G23" s="46">
        <v>1.5</v>
      </c>
    </row>
    <row r="24" spans="1:7" s="46" customFormat="1">
      <c r="A24" s="44">
        <v>45674</v>
      </c>
      <c r="B24" s="45"/>
      <c r="C24" s="46">
        <v>60227</v>
      </c>
      <c r="D24" s="46" t="s">
        <v>1954</v>
      </c>
      <c r="E24" s="46" t="s">
        <v>1960</v>
      </c>
      <c r="G24" s="46">
        <v>1.5</v>
      </c>
    </row>
    <row r="25" spans="1:7" s="46" customFormat="1">
      <c r="A25" s="44">
        <v>45674</v>
      </c>
      <c r="B25" s="45"/>
      <c r="C25" s="46">
        <v>60228</v>
      </c>
      <c r="D25" s="46" t="s">
        <v>1911</v>
      </c>
      <c r="E25" s="46" t="s">
        <v>1960</v>
      </c>
      <c r="G25" s="46">
        <v>5.5</v>
      </c>
    </row>
    <row r="26" spans="1:7" s="46" customFormat="1">
      <c r="A26" s="44">
        <v>45677</v>
      </c>
      <c r="C26" s="46">
        <v>60116</v>
      </c>
      <c r="D26" s="46" t="s">
        <v>1948</v>
      </c>
      <c r="E26" s="46" t="s">
        <v>1945</v>
      </c>
      <c r="G26" s="46">
        <v>7</v>
      </c>
    </row>
    <row r="27" spans="1:7" s="46" customFormat="1">
      <c r="A27" s="44">
        <v>45679</v>
      </c>
      <c r="C27" s="46">
        <v>60116</v>
      </c>
      <c r="D27" s="46" t="s">
        <v>1948</v>
      </c>
      <c r="E27" s="46" t="s">
        <v>1960</v>
      </c>
      <c r="G27" s="46">
        <v>6</v>
      </c>
    </row>
    <row r="28" spans="1:7" s="46" customFormat="1">
      <c r="A28" s="44">
        <v>45679</v>
      </c>
      <c r="C28" s="46">
        <v>10117</v>
      </c>
      <c r="D28" s="46" t="s">
        <v>79</v>
      </c>
      <c r="E28" s="46" t="s">
        <v>1961</v>
      </c>
      <c r="G28" s="46">
        <v>1</v>
      </c>
    </row>
    <row r="29" spans="1:7" s="46" customFormat="1">
      <c r="A29" s="44">
        <v>45680</v>
      </c>
      <c r="C29" s="46">
        <v>10117</v>
      </c>
      <c r="D29" s="46" t="s">
        <v>79</v>
      </c>
      <c r="E29" s="46" t="s">
        <v>1961</v>
      </c>
      <c r="G29" s="46">
        <v>1.5</v>
      </c>
    </row>
    <row r="30" spans="1:7" s="46" customFormat="1">
      <c r="A30" s="44">
        <v>45681</v>
      </c>
      <c r="C30" s="46">
        <v>10117</v>
      </c>
      <c r="D30" s="46" t="s">
        <v>79</v>
      </c>
      <c r="E30" s="46" t="s">
        <v>1961</v>
      </c>
      <c r="G30" s="46">
        <v>5</v>
      </c>
    </row>
    <row r="31" spans="1:7" s="46" customFormat="1">
      <c r="A31" s="44">
        <v>45681</v>
      </c>
      <c r="C31" s="46">
        <v>10220</v>
      </c>
      <c r="D31" s="46" t="s">
        <v>1946</v>
      </c>
      <c r="E31" s="46" t="s">
        <v>1960</v>
      </c>
      <c r="G31" s="46">
        <v>1</v>
      </c>
    </row>
    <row r="32" spans="1:7" s="46" customFormat="1">
      <c r="A32" s="44">
        <v>45681</v>
      </c>
      <c r="B32" s="45"/>
      <c r="C32" s="46">
        <v>10221</v>
      </c>
      <c r="D32" s="46" t="s">
        <v>1946</v>
      </c>
      <c r="E32" s="46" t="s">
        <v>1960</v>
      </c>
      <c r="G32" s="46">
        <v>1</v>
      </c>
    </row>
    <row r="33" spans="1:7" s="46" customFormat="1">
      <c r="A33" s="44">
        <v>45684</v>
      </c>
      <c r="B33" s="45"/>
      <c r="C33" s="46" t="s">
        <v>1947</v>
      </c>
      <c r="D33" s="46" t="s">
        <v>1946</v>
      </c>
      <c r="E33" s="46" t="s">
        <v>1960</v>
      </c>
      <c r="G33" s="46">
        <v>3.5</v>
      </c>
    </row>
    <row r="34" spans="1:7" s="46" customFormat="1">
      <c r="A34" s="44">
        <v>45685</v>
      </c>
      <c r="B34" s="45"/>
      <c r="C34" s="46">
        <v>10117</v>
      </c>
      <c r="D34" s="46" t="s">
        <v>79</v>
      </c>
      <c r="E34" s="46" t="s">
        <v>1953</v>
      </c>
      <c r="G34" s="46">
        <v>2</v>
      </c>
    </row>
    <row r="35" spans="1:7" s="46" customFormat="1">
      <c r="A35" s="44">
        <v>45685</v>
      </c>
      <c r="B35" s="45" t="s">
        <v>15</v>
      </c>
      <c r="C35" s="46">
        <v>10275</v>
      </c>
      <c r="D35" s="46" t="s">
        <v>1962</v>
      </c>
      <c r="E35" s="46" t="s">
        <v>1960</v>
      </c>
      <c r="G35" s="46">
        <v>4</v>
      </c>
    </row>
    <row r="36" spans="1:7" s="46" customFormat="1">
      <c r="A36" s="44">
        <v>45687</v>
      </c>
      <c r="B36" s="45" t="s">
        <v>15</v>
      </c>
      <c r="C36" s="46">
        <v>10275</v>
      </c>
      <c r="D36" s="46" t="s">
        <v>1962</v>
      </c>
      <c r="E36" s="46" t="s">
        <v>1960</v>
      </c>
      <c r="G36" s="46">
        <v>7</v>
      </c>
    </row>
    <row r="37" spans="1:7" s="46" customFormat="1">
      <c r="A37" s="44">
        <v>45688</v>
      </c>
      <c r="B37" s="45" t="s">
        <v>15</v>
      </c>
      <c r="C37" s="46">
        <v>10275</v>
      </c>
      <c r="D37" s="46" t="s">
        <v>1962</v>
      </c>
      <c r="E37" s="46" t="s">
        <v>1963</v>
      </c>
      <c r="G37" s="46">
        <v>3</v>
      </c>
    </row>
    <row r="38" spans="1:7" s="46" customFormat="1">
      <c r="A38" s="44">
        <v>45688</v>
      </c>
      <c r="C38" s="46">
        <v>60340</v>
      </c>
      <c r="D38" s="46" t="s">
        <v>1952</v>
      </c>
      <c r="E38" s="46" t="s">
        <v>1960</v>
      </c>
      <c r="G38" s="46">
        <v>4</v>
      </c>
    </row>
    <row r="39" spans="1:7" s="46" customFormat="1">
      <c r="A39" s="44">
        <v>45692</v>
      </c>
      <c r="C39" s="46">
        <v>60245</v>
      </c>
      <c r="D39" s="46" t="s">
        <v>1212</v>
      </c>
      <c r="E39" s="46" t="s">
        <v>1960</v>
      </c>
      <c r="G39" s="46">
        <v>7</v>
      </c>
    </row>
    <row r="40" spans="1:7" s="46" customFormat="1">
      <c r="A40" s="44">
        <v>45693</v>
      </c>
      <c r="B40" s="45" t="s">
        <v>15</v>
      </c>
      <c r="C40" s="46">
        <v>69984</v>
      </c>
      <c r="D40" s="46" t="s">
        <v>1957</v>
      </c>
      <c r="E40" s="46" t="s">
        <v>1959</v>
      </c>
      <c r="G40" s="46">
        <v>5</v>
      </c>
    </row>
    <row r="41" spans="1:7" s="46" customFormat="1">
      <c r="A41" s="44">
        <v>45693</v>
      </c>
      <c r="B41" s="45" t="s">
        <v>15</v>
      </c>
      <c r="C41" s="46">
        <v>10427</v>
      </c>
      <c r="D41" s="46" t="s">
        <v>1964</v>
      </c>
      <c r="E41" s="46" t="s">
        <v>1961</v>
      </c>
      <c r="G41" s="46">
        <v>2</v>
      </c>
    </row>
    <row r="42" spans="1:7" s="46" customFormat="1">
      <c r="A42" s="44">
        <v>45694</v>
      </c>
      <c r="B42" s="45" t="s">
        <v>15</v>
      </c>
      <c r="C42" s="46">
        <v>10427</v>
      </c>
      <c r="D42" s="46" t="s">
        <v>1964</v>
      </c>
      <c r="E42" s="46" t="s">
        <v>1961</v>
      </c>
      <c r="G42" s="46">
        <v>3</v>
      </c>
    </row>
    <row r="43" spans="1:7" s="46" customFormat="1">
      <c r="A43" s="44">
        <v>45695</v>
      </c>
      <c r="B43" s="45" t="s">
        <v>15</v>
      </c>
      <c r="C43" s="46">
        <v>10427</v>
      </c>
      <c r="D43" s="46" t="s">
        <v>1964</v>
      </c>
      <c r="E43" s="46" t="s">
        <v>1961</v>
      </c>
      <c r="G43" s="46">
        <v>8</v>
      </c>
    </row>
    <row r="44" spans="1:7" s="46" customFormat="1">
      <c r="A44" s="44">
        <v>45699</v>
      </c>
      <c r="B44" s="45" t="s">
        <v>15</v>
      </c>
      <c r="C44" s="46">
        <v>10427</v>
      </c>
      <c r="D44" s="46" t="s">
        <v>1964</v>
      </c>
      <c r="E44" s="46" t="s">
        <v>1953</v>
      </c>
      <c r="G44" s="46">
        <v>5.5</v>
      </c>
    </row>
    <row r="45" spans="1:7" s="46" customFormat="1">
      <c r="A45" s="44">
        <v>45699</v>
      </c>
      <c r="C45" s="46">
        <v>60246</v>
      </c>
      <c r="D45" s="46" t="s">
        <v>1965</v>
      </c>
      <c r="E45" s="46" t="s">
        <v>1961</v>
      </c>
      <c r="G45" s="46">
        <v>1.5</v>
      </c>
    </row>
    <row r="46" spans="1:7" s="46" customFormat="1">
      <c r="A46" s="44">
        <v>45700</v>
      </c>
      <c r="C46" s="46">
        <v>60246</v>
      </c>
      <c r="D46" s="46" t="s">
        <v>1965</v>
      </c>
      <c r="E46" s="46" t="s">
        <v>1961</v>
      </c>
      <c r="G46" s="46">
        <v>7</v>
      </c>
    </row>
    <row r="47" spans="1:7" s="46" customFormat="1">
      <c r="A47" s="44">
        <v>45701</v>
      </c>
      <c r="C47" s="46">
        <v>60246</v>
      </c>
      <c r="D47" s="46" t="s">
        <v>1965</v>
      </c>
      <c r="E47" s="46" t="s">
        <v>1961</v>
      </c>
      <c r="G47" s="46">
        <v>3</v>
      </c>
    </row>
    <row r="48" spans="1:7" s="46" customFormat="1">
      <c r="A48" s="44">
        <v>45702</v>
      </c>
      <c r="C48" s="46">
        <v>60246</v>
      </c>
      <c r="D48" s="46" t="s">
        <v>1965</v>
      </c>
      <c r="E48" s="46" t="s">
        <v>1953</v>
      </c>
      <c r="G48" s="46">
        <v>5</v>
      </c>
    </row>
    <row r="49" spans="1:7" s="46" customFormat="1">
      <c r="A49" s="44">
        <v>45702</v>
      </c>
      <c r="C49" s="46">
        <v>10275</v>
      </c>
      <c r="D49" s="46" t="s">
        <v>1962</v>
      </c>
      <c r="E49" s="46" t="s">
        <v>1966</v>
      </c>
      <c r="G49" s="46">
        <v>2</v>
      </c>
    </row>
    <row r="50" spans="1:7" s="46" customFormat="1">
      <c r="A50" s="44">
        <v>45706</v>
      </c>
      <c r="C50" s="46">
        <v>10275</v>
      </c>
      <c r="D50" s="46" t="s">
        <v>1962</v>
      </c>
      <c r="E50" s="46" t="s">
        <v>1966</v>
      </c>
      <c r="G50" s="46">
        <v>7</v>
      </c>
    </row>
    <row r="51" spans="1:7" s="46" customFormat="1">
      <c r="A51" s="44">
        <v>45707</v>
      </c>
      <c r="C51" s="46">
        <v>10275</v>
      </c>
      <c r="D51" s="46" t="s">
        <v>1962</v>
      </c>
      <c r="E51" s="46" t="s">
        <v>1953</v>
      </c>
      <c r="G51" s="46">
        <v>5</v>
      </c>
    </row>
    <row r="52" spans="1:7" s="46" customFormat="1">
      <c r="A52" s="44">
        <v>45707</v>
      </c>
      <c r="C52" s="46">
        <v>10220</v>
      </c>
      <c r="D52" s="46" t="s">
        <v>1946</v>
      </c>
      <c r="E52" s="46" t="s">
        <v>1966</v>
      </c>
      <c r="G52" s="46">
        <v>2</v>
      </c>
    </row>
    <row r="53" spans="1:7" s="46" customFormat="1">
      <c r="A53" s="44">
        <v>45708</v>
      </c>
      <c r="B53" s="45" t="s">
        <v>15</v>
      </c>
      <c r="C53" s="46">
        <v>69984</v>
      </c>
      <c r="D53" s="46" t="s">
        <v>1957</v>
      </c>
      <c r="E53" s="46" t="s">
        <v>1958</v>
      </c>
      <c r="G53" s="46">
        <v>2</v>
      </c>
    </row>
    <row r="54" spans="1:7" s="46" customFormat="1">
      <c r="A54" s="44">
        <v>45708</v>
      </c>
      <c r="C54" s="46">
        <v>10221</v>
      </c>
      <c r="D54" s="46" t="s">
        <v>1946</v>
      </c>
      <c r="E54" s="46" t="s">
        <v>1966</v>
      </c>
      <c r="G54" s="46">
        <v>1</v>
      </c>
    </row>
    <row r="55" spans="1:7" s="46" customFormat="1">
      <c r="A55" s="44">
        <v>45709</v>
      </c>
      <c r="C55" s="46">
        <v>10221</v>
      </c>
      <c r="D55" s="46" t="s">
        <v>1946</v>
      </c>
      <c r="E55" s="46" t="s">
        <v>1966</v>
      </c>
      <c r="G55" s="46">
        <v>5</v>
      </c>
    </row>
    <row r="56" spans="1:7" s="46" customFormat="1">
      <c r="A56" s="44">
        <v>45709</v>
      </c>
      <c r="C56" s="46">
        <v>60227</v>
      </c>
      <c r="D56" s="46" t="s">
        <v>1954</v>
      </c>
      <c r="E56" s="46" t="s">
        <v>1967</v>
      </c>
      <c r="G56" s="46">
        <v>1.5</v>
      </c>
    </row>
    <row r="57" spans="1:7" s="46" customFormat="1">
      <c r="A57" s="44">
        <v>45713</v>
      </c>
      <c r="C57" s="46">
        <v>60227</v>
      </c>
      <c r="D57" s="46" t="s">
        <v>1954</v>
      </c>
      <c r="E57" s="46" t="s">
        <v>1966</v>
      </c>
      <c r="G57" s="46">
        <v>3</v>
      </c>
    </row>
    <row r="58" spans="1:7" s="46" customFormat="1">
      <c r="A58" s="44">
        <v>45713</v>
      </c>
      <c r="C58" s="46">
        <v>60228</v>
      </c>
      <c r="D58" s="46" t="s">
        <v>1911</v>
      </c>
      <c r="E58" s="46" t="s">
        <v>1967</v>
      </c>
      <c r="G58" s="46">
        <v>2.5</v>
      </c>
    </row>
    <row r="59" spans="1:7" s="46" customFormat="1">
      <c r="A59" s="44">
        <v>45713</v>
      </c>
      <c r="C59" s="46">
        <v>60340</v>
      </c>
      <c r="D59" s="46" t="s">
        <v>1952</v>
      </c>
      <c r="E59" s="46" t="s">
        <v>1967</v>
      </c>
      <c r="G59" s="46">
        <v>1.5</v>
      </c>
    </row>
    <row r="60" spans="1:7" s="46" customFormat="1">
      <c r="A60" s="44">
        <v>45714</v>
      </c>
      <c r="C60" s="46">
        <v>60340</v>
      </c>
      <c r="D60" s="46" t="s">
        <v>1952</v>
      </c>
      <c r="E60" s="46" t="s">
        <v>1966</v>
      </c>
      <c r="G60" s="46">
        <v>2.5</v>
      </c>
    </row>
    <row r="61" spans="1:7" s="46" customFormat="1">
      <c r="A61" s="44">
        <v>45714</v>
      </c>
      <c r="B61" s="45" t="s">
        <v>15</v>
      </c>
      <c r="C61" s="46">
        <v>69984</v>
      </c>
      <c r="D61" s="46" t="s">
        <v>1957</v>
      </c>
      <c r="E61" s="46" t="s">
        <v>1958</v>
      </c>
      <c r="G61" s="46">
        <v>4.5</v>
      </c>
    </row>
    <row r="62" spans="1:7" s="46" customFormat="1">
      <c r="A62" s="44">
        <v>45715</v>
      </c>
      <c r="B62" s="45" t="s">
        <v>15</v>
      </c>
      <c r="C62" s="46">
        <v>69984</v>
      </c>
      <c r="D62" s="46" t="s">
        <v>1957</v>
      </c>
      <c r="E62" s="46" t="s">
        <v>1958</v>
      </c>
      <c r="G62" s="46">
        <v>3</v>
      </c>
    </row>
    <row r="63" spans="1:7" s="46" customFormat="1">
      <c r="A63" s="44">
        <v>45716</v>
      </c>
      <c r="B63" s="45"/>
      <c r="C63" s="46">
        <v>60245</v>
      </c>
      <c r="D63" s="46" t="s">
        <v>1212</v>
      </c>
      <c r="E63" s="46" t="s">
        <v>1968</v>
      </c>
      <c r="G63" s="46">
        <v>6</v>
      </c>
    </row>
    <row r="64" spans="1:7" s="46" customFormat="1"/>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BE613-CF69-44B2-B454-AC21391C9B2A}">
  <dimension ref="A1"/>
  <sheetViews>
    <sheetView workbookViewId="0"/>
  </sheetViews>
  <sheetFormatPr defaultRowHeight="12.7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9930-42AB-4CD9-9FC1-945D3550E269}">
  <dimension ref="A1:G3"/>
  <sheetViews>
    <sheetView workbookViewId="0">
      <selection activeCell="F4" sqref="F4"/>
    </sheetView>
  </sheetViews>
  <sheetFormatPr defaultRowHeight="12.75"/>
  <cols>
    <col min="1" max="1" width="11.28515625" customWidth="1"/>
    <col min="2" max="2" width="10.85546875" customWidth="1"/>
    <col min="4" max="4" width="16.85546875" customWidth="1"/>
    <col min="5" max="5" width="37.42578125" customWidth="1"/>
    <col min="6" max="6" width="15.28515625" customWidth="1"/>
    <col min="7" max="7" width="18.28515625" customWidth="1"/>
  </cols>
  <sheetData>
    <row r="1" spans="1:7" ht="20.25" customHeight="1">
      <c r="A1" s="34" t="s">
        <v>0</v>
      </c>
      <c r="B1" s="35" t="s">
        <v>6</v>
      </c>
      <c r="C1" s="36" t="s">
        <v>1</v>
      </c>
      <c r="D1" s="36" t="s">
        <v>3</v>
      </c>
      <c r="E1" s="36" t="s">
        <v>4</v>
      </c>
      <c r="F1" s="42" t="s">
        <v>5</v>
      </c>
      <c r="G1" s="42" t="s">
        <v>1969</v>
      </c>
    </row>
    <row r="2" spans="1:7">
      <c r="A2" s="4">
        <v>45719</v>
      </c>
      <c r="E2" t="s">
        <v>1970</v>
      </c>
      <c r="F2">
        <v>2</v>
      </c>
      <c r="G2" t="s">
        <v>1971</v>
      </c>
    </row>
    <row r="3" spans="1:7">
      <c r="A3" s="4">
        <v>45729</v>
      </c>
      <c r="E3" t="s">
        <v>1972</v>
      </c>
      <c r="F3">
        <v>0.75</v>
      </c>
      <c r="G3" t="s">
        <v>1973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6F47-2C19-4EA9-A3CB-543AC2E3A07E}">
  <dimension ref="A1:G3"/>
  <sheetViews>
    <sheetView tabSelected="1" workbookViewId="0">
      <selection activeCell="E18" sqref="E18"/>
    </sheetView>
  </sheetViews>
  <sheetFormatPr defaultRowHeight="12.75"/>
  <cols>
    <col min="1" max="1" width="10.85546875" customWidth="1"/>
    <col min="2" max="2" width="12.42578125" customWidth="1"/>
    <col min="5" max="5" width="28.5703125" customWidth="1"/>
    <col min="7" max="7" width="15.140625" customWidth="1"/>
  </cols>
  <sheetData>
    <row r="1" spans="1:7" ht="14.25" customHeight="1">
      <c r="A1" s="34" t="s">
        <v>0</v>
      </c>
      <c r="B1" s="35" t="s">
        <v>6</v>
      </c>
      <c r="C1" s="36" t="s">
        <v>1</v>
      </c>
      <c r="D1" s="36" t="s">
        <v>3</v>
      </c>
      <c r="E1" s="36" t="s">
        <v>4</v>
      </c>
      <c r="F1" s="42" t="s">
        <v>5</v>
      </c>
      <c r="G1" s="47" t="s">
        <v>1969</v>
      </c>
    </row>
    <row r="2" spans="1:7" ht="25.5" customHeight="1">
      <c r="A2" s="4">
        <v>45719</v>
      </c>
      <c r="E2" s="27" t="s">
        <v>1974</v>
      </c>
      <c r="F2">
        <v>2</v>
      </c>
      <c r="G2" t="s">
        <v>1971</v>
      </c>
    </row>
    <row r="3" spans="1:7">
      <c r="A3" s="4">
        <v>45729</v>
      </c>
      <c r="E3" t="s">
        <v>1972</v>
      </c>
      <c r="F3">
        <v>0.75</v>
      </c>
      <c r="G3" t="s">
        <v>1973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hartmut ahting</dc:creator>
  <cp:keywords/>
  <dc:description/>
  <cp:lastModifiedBy/>
  <cp:revision/>
  <dcterms:created xsi:type="dcterms:W3CDTF">2019-12-03T18:50:56Z</dcterms:created>
  <dcterms:modified xsi:type="dcterms:W3CDTF">2025-07-17T18:50:16Z</dcterms:modified>
  <cp:category/>
  <cp:contentStatus/>
</cp:coreProperties>
</file>