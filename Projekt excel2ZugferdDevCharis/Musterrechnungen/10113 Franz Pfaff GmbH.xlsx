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drawings/drawing1.xml" ContentType="application/vnd.openxmlformats-officedocument.drawing+xml"/>
  <Override PartName="/xl/worksheets/sheet72.xml" ContentType="application/vnd.openxmlformats-officedocument.spreadsheetml.worksheet+xml"/>
  <Override PartName="/xl/drawings/drawing2.xml" ContentType="application/vnd.openxmlformats-officedocument.drawing+xml"/>
  <Override PartName="/xl/worksheets/sheet73.xml" ContentType="application/vnd.openxmlformats-officedocument.spreadsheetml.worksheet+xml"/>
  <Override PartName="/xl/drawings/drawing3.xml" ContentType="application/vnd.openxmlformats-officedocument.drawing+xml"/>
  <Override PartName="/xl/worksheets/sheet74.xml" ContentType="application/vnd.openxmlformats-officedocument.spreadsheetml.worksheet+xml"/>
  <Override PartName="/xl/drawings/drawing4.xml" ContentType="application/vnd.openxmlformats-officedocument.drawing+xml"/>
  <Override PartName="/xl/worksheets/sheet75.xml" ContentType="application/vnd.openxmlformats-officedocument.spreadsheetml.worksheet+xml"/>
  <Override PartName="/xl/drawings/drawing5.xml" ContentType="application/vnd.openxmlformats-officedocument.drawing+xml"/>
  <Override PartName="/xl/worksheets/sheet76.xml" ContentType="application/vnd.openxmlformats-officedocument.spreadsheetml.worksheet+xml"/>
  <Override PartName="/xl/drawings/drawing6.xml" ContentType="application/vnd.openxmlformats-officedocument.drawing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drawings/drawing7.xml" ContentType="application/vnd.openxmlformats-officedocument.drawing+xml"/>
  <Override PartName="/xl/worksheets/sheet80.xml" ContentType="application/vnd.openxmlformats-officedocument.spreadsheetml.worksheet+xml"/>
  <Override PartName="/xl/drawings/drawing8.xml" ContentType="application/vnd.openxmlformats-officedocument.drawing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15" yWindow="1500" windowWidth="27285" windowHeight="14700" tabRatio="600" firstSheet="71" activeTab="78" autoFilterDateGrouping="1"/>
  </bookViews>
  <sheets>
    <sheet xmlns:r="http://schemas.openxmlformats.org/officeDocument/2006/relationships" name="DRV-Prüfung" sheetId="1" state="visible" r:id="rId1"/>
    <sheet xmlns:r="http://schemas.openxmlformats.org/officeDocument/2006/relationships" name="JA 2014" sheetId="2" state="visible" r:id="rId2"/>
    <sheet xmlns:r="http://schemas.openxmlformats.org/officeDocument/2006/relationships" name="Fibu III-2017" sheetId="3" state="visible" r:id="rId3"/>
    <sheet xmlns:r="http://schemas.openxmlformats.org/officeDocument/2006/relationships" name="Löhne IV-2017" sheetId="4" state="visible" r:id="rId4"/>
    <sheet xmlns:r="http://schemas.openxmlformats.org/officeDocument/2006/relationships" name="Fibu IV-2017" sheetId="5" state="visible" r:id="rId5"/>
    <sheet xmlns:r="http://schemas.openxmlformats.org/officeDocument/2006/relationships" name="Löhne I-2018" sheetId="6" state="visible" r:id="rId6"/>
    <sheet xmlns:r="http://schemas.openxmlformats.org/officeDocument/2006/relationships" name="Fibu I-2018" sheetId="7" state="visible" r:id="rId7"/>
    <sheet xmlns:r="http://schemas.openxmlformats.org/officeDocument/2006/relationships" name="Löhne II-2018" sheetId="8" state="visible" r:id="rId8"/>
    <sheet xmlns:r="http://schemas.openxmlformats.org/officeDocument/2006/relationships" name="Fibu II-2018" sheetId="9" state="visible" r:id="rId9"/>
    <sheet xmlns:r="http://schemas.openxmlformats.org/officeDocument/2006/relationships" name="JA 2017" sheetId="10" state="visible" r:id="rId10"/>
    <sheet xmlns:r="http://schemas.openxmlformats.org/officeDocument/2006/relationships" name="Löhne III-2018" sheetId="11" state="visible" r:id="rId11"/>
    <sheet xmlns:r="http://schemas.openxmlformats.org/officeDocument/2006/relationships" name="Fibu III-2018" sheetId="12" state="visible" r:id="rId12"/>
    <sheet xmlns:r="http://schemas.openxmlformats.org/officeDocument/2006/relationships" name="Löhne IV-2018 " sheetId="13" state="visible" r:id="rId13"/>
    <sheet xmlns:r="http://schemas.openxmlformats.org/officeDocument/2006/relationships" name="DRV 15-18" sheetId="14" state="visible" r:id="rId14"/>
    <sheet xmlns:r="http://schemas.openxmlformats.org/officeDocument/2006/relationships" name="Fibu IV-2018" sheetId="15" state="visible" r:id="rId15"/>
    <sheet xmlns:r="http://schemas.openxmlformats.org/officeDocument/2006/relationships" name="Löhne I-2019" sheetId="16" state="visible" r:id="rId16"/>
    <sheet xmlns:r="http://schemas.openxmlformats.org/officeDocument/2006/relationships" name="Fibu I-2019" sheetId="17" state="visible" r:id="rId17"/>
    <sheet xmlns:r="http://schemas.openxmlformats.org/officeDocument/2006/relationships" name="Löhne II-2019" sheetId="18" state="visible" r:id="rId18"/>
    <sheet xmlns:r="http://schemas.openxmlformats.org/officeDocument/2006/relationships" name="Fibu II-2019" sheetId="19" state="visible" r:id="rId19"/>
    <sheet xmlns:r="http://schemas.openxmlformats.org/officeDocument/2006/relationships" name="Löhne III-2019" sheetId="20" state="visible" r:id="rId20"/>
    <sheet xmlns:r="http://schemas.openxmlformats.org/officeDocument/2006/relationships" name="Fibu III-2019" sheetId="21" state="visible" r:id="rId21"/>
    <sheet xmlns:r="http://schemas.openxmlformats.org/officeDocument/2006/relationships" name="JA 2018" sheetId="22" state="visible" r:id="rId22"/>
    <sheet xmlns:r="http://schemas.openxmlformats.org/officeDocument/2006/relationships" name="Löhne IV-2019" sheetId="23" state="visible" r:id="rId23"/>
    <sheet xmlns:r="http://schemas.openxmlformats.org/officeDocument/2006/relationships" name="Fibu IV-2019" sheetId="24" state="visible" r:id="rId24"/>
    <sheet xmlns:r="http://schemas.openxmlformats.org/officeDocument/2006/relationships" name="Löhne I-2020" sheetId="25" state="visible" r:id="rId25"/>
    <sheet xmlns:r="http://schemas.openxmlformats.org/officeDocument/2006/relationships" name="Fibu I-2020" sheetId="26" state="visible" r:id="rId26"/>
    <sheet xmlns:r="http://schemas.openxmlformats.org/officeDocument/2006/relationships" name="Löhne II-2020" sheetId="27" state="visible" r:id="rId27"/>
    <sheet xmlns:r="http://schemas.openxmlformats.org/officeDocument/2006/relationships" name="Fibu II-2020" sheetId="28" state="visible" r:id="rId28"/>
    <sheet xmlns:r="http://schemas.openxmlformats.org/officeDocument/2006/relationships" name="Löhne III-2020" sheetId="29" state="visible" r:id="rId29"/>
    <sheet xmlns:r="http://schemas.openxmlformats.org/officeDocument/2006/relationships" name="Fibu III-2020" sheetId="30" state="visible" r:id="rId30"/>
    <sheet xmlns:r="http://schemas.openxmlformats.org/officeDocument/2006/relationships" name="Löhne IV-2020" sheetId="31" state="visible" r:id="rId31"/>
    <sheet xmlns:r="http://schemas.openxmlformats.org/officeDocument/2006/relationships" name="Fibu IV-2020" sheetId="32" state="visible" r:id="rId32"/>
    <sheet xmlns:r="http://schemas.openxmlformats.org/officeDocument/2006/relationships" name="Löhne I-2021" sheetId="33" state="visible" r:id="rId33"/>
    <sheet xmlns:r="http://schemas.openxmlformats.org/officeDocument/2006/relationships" name="Fibu I-2021" sheetId="34" state="visible" r:id="rId34"/>
    <sheet xmlns:r="http://schemas.openxmlformats.org/officeDocument/2006/relationships" name="Löhne II-2021" sheetId="35" state="visible" r:id="rId35"/>
    <sheet xmlns:r="http://schemas.openxmlformats.org/officeDocument/2006/relationships" name="Fibu II-2021" sheetId="36" state="visible" r:id="rId36"/>
    <sheet xmlns:r="http://schemas.openxmlformats.org/officeDocument/2006/relationships" name="Fibu III-2021" sheetId="37" state="visible" r:id="rId37"/>
    <sheet xmlns:r="http://schemas.openxmlformats.org/officeDocument/2006/relationships" name="Löhne III-2021" sheetId="38" state="visible" r:id="rId38"/>
    <sheet xmlns:r="http://schemas.openxmlformats.org/officeDocument/2006/relationships" name="JA 2020" sheetId="39" state="visible" r:id="rId39"/>
    <sheet xmlns:r="http://schemas.openxmlformats.org/officeDocument/2006/relationships" name="Löhne IV-2021" sheetId="40" state="visible" r:id="rId40"/>
    <sheet xmlns:r="http://schemas.openxmlformats.org/officeDocument/2006/relationships" name="Fibu IV-2021" sheetId="41" state="visible" r:id="rId41"/>
    <sheet xmlns:r="http://schemas.openxmlformats.org/officeDocument/2006/relationships" name="Löhne I-2022" sheetId="42" state="visible" r:id="rId42"/>
    <sheet xmlns:r="http://schemas.openxmlformats.org/officeDocument/2006/relationships" name="Fibu I-2022" sheetId="43" state="visible" r:id="rId43"/>
    <sheet xmlns:r="http://schemas.openxmlformats.org/officeDocument/2006/relationships" name="Löhne II-2022" sheetId="44" state="visible" r:id="rId44"/>
    <sheet xmlns:r="http://schemas.openxmlformats.org/officeDocument/2006/relationships" name="Fibu II-2022" sheetId="45" state="visible" r:id="rId45"/>
    <sheet xmlns:r="http://schemas.openxmlformats.org/officeDocument/2006/relationships" name="JA 2021" sheetId="46" state="visible" r:id="rId46"/>
    <sheet xmlns:r="http://schemas.openxmlformats.org/officeDocument/2006/relationships" name="Rat" sheetId="47" state="visible" r:id="rId47"/>
    <sheet xmlns:r="http://schemas.openxmlformats.org/officeDocument/2006/relationships" name="Löhne III-2022" sheetId="48" state="visible" r:id="rId48"/>
    <sheet xmlns:r="http://schemas.openxmlformats.org/officeDocument/2006/relationships" name="Fibu III-2022" sheetId="49" state="visible" r:id="rId49"/>
    <sheet xmlns:r="http://schemas.openxmlformats.org/officeDocument/2006/relationships" name="Löhne IV-2022" sheetId="50" state="visible" r:id="rId50"/>
    <sheet xmlns:r="http://schemas.openxmlformats.org/officeDocument/2006/relationships" name="DRV 2019-2022" sheetId="51" state="visible" r:id="rId51"/>
    <sheet xmlns:r="http://schemas.openxmlformats.org/officeDocument/2006/relationships" name="Fibu IV-2022" sheetId="52" state="visible" r:id="rId52"/>
    <sheet xmlns:r="http://schemas.openxmlformats.org/officeDocument/2006/relationships" name="Löhne I-2023" sheetId="53" state="visible" r:id="rId53"/>
    <sheet xmlns:r="http://schemas.openxmlformats.org/officeDocument/2006/relationships" name="Fibu I-2023" sheetId="54" state="visible" r:id="rId54"/>
    <sheet xmlns:r="http://schemas.openxmlformats.org/officeDocument/2006/relationships" name="Löhne II-2023" sheetId="55" state="visible" r:id="rId55"/>
    <sheet xmlns:r="http://schemas.openxmlformats.org/officeDocument/2006/relationships" name="Löhne III-2023" sheetId="56" state="visible" r:id="rId56"/>
    <sheet xmlns:r="http://schemas.openxmlformats.org/officeDocument/2006/relationships" name="Fibu II-2023" sheetId="57" state="visible" r:id="rId57"/>
    <sheet xmlns:r="http://schemas.openxmlformats.org/officeDocument/2006/relationships" name="Fibu III-2023" sheetId="58" state="visible" r:id="rId58"/>
    <sheet xmlns:r="http://schemas.openxmlformats.org/officeDocument/2006/relationships" name="JA 2022" sheetId="59" state="visible" r:id="rId59"/>
    <sheet xmlns:r="http://schemas.openxmlformats.org/officeDocument/2006/relationships" name="Löhne IV-2023" sheetId="60" state="visible" r:id="rId60"/>
    <sheet xmlns:r="http://schemas.openxmlformats.org/officeDocument/2006/relationships" name="Fibu IV-2023" sheetId="61" state="visible" r:id="rId61"/>
    <sheet xmlns:r="http://schemas.openxmlformats.org/officeDocument/2006/relationships" name="Löhne I-2024" sheetId="62" state="visible" r:id="rId62"/>
    <sheet xmlns:r="http://schemas.openxmlformats.org/officeDocument/2006/relationships" name="Löhne II-2024" sheetId="63" state="visible" r:id="rId63"/>
    <sheet xmlns:r="http://schemas.openxmlformats.org/officeDocument/2006/relationships" name="Fibu I-2024" sheetId="64" state="visible" r:id="rId64"/>
    <sheet xmlns:r="http://schemas.openxmlformats.org/officeDocument/2006/relationships" name="Fibu II-2024" sheetId="65" state="visible" r:id="rId65"/>
    <sheet xmlns:r="http://schemas.openxmlformats.org/officeDocument/2006/relationships" name="Löhne III-2024" sheetId="66" state="visible" r:id="rId66"/>
    <sheet xmlns:r="http://schemas.openxmlformats.org/officeDocument/2006/relationships" name="Fibu III-2024" sheetId="67" state="visible" r:id="rId67"/>
    <sheet xmlns:r="http://schemas.openxmlformats.org/officeDocument/2006/relationships" name="JA 2023" sheetId="68" state="visible" r:id="rId68"/>
    <sheet xmlns:r="http://schemas.openxmlformats.org/officeDocument/2006/relationships" name="Löhne IV-2024" sheetId="69" state="visible" r:id="rId69"/>
    <sheet xmlns:r="http://schemas.openxmlformats.org/officeDocument/2006/relationships" name="Fibu IV-2024" sheetId="70" state="visible" r:id="rId70"/>
    <sheet xmlns:r="http://schemas.openxmlformats.org/officeDocument/2006/relationships" name="BP 2020-2022" sheetId="71" state="visible" r:id="rId71"/>
    <sheet xmlns:r="http://schemas.openxmlformats.org/officeDocument/2006/relationships" name="Löhne I-2025" sheetId="72" state="visible" r:id="rId72"/>
    <sheet xmlns:r="http://schemas.openxmlformats.org/officeDocument/2006/relationships" name="Fibu I-2025" sheetId="73" state="visible" r:id="rId73"/>
    <sheet xmlns:r="http://schemas.openxmlformats.org/officeDocument/2006/relationships" name="Fibu II-2025" sheetId="74" state="visible" r:id="rId74"/>
    <sheet xmlns:r="http://schemas.openxmlformats.org/officeDocument/2006/relationships" name="Löhne II-2025" sheetId="75" state="visible" r:id="rId75"/>
    <sheet xmlns:r="http://schemas.openxmlformats.org/officeDocument/2006/relationships" name="Löhne III-2025" sheetId="76" state="visible" r:id="rId76"/>
    <sheet xmlns:r="http://schemas.openxmlformats.org/officeDocument/2006/relationships" name="Fibu III-2025" sheetId="77" state="visible" r:id="rId77"/>
    <sheet xmlns:r="http://schemas.openxmlformats.org/officeDocument/2006/relationships" name="JA 2024" sheetId="78" state="visible" r:id="rId78"/>
    <sheet xmlns:r="http://schemas.openxmlformats.org/officeDocument/2006/relationships" name="Fibu IV-2025" sheetId="79" state="visible" r:id="rId79"/>
    <sheet xmlns:r="http://schemas.openxmlformats.org/officeDocument/2006/relationships" name="Löhne IV-2025" sheetId="80" state="visible" r:id="rId80"/>
    <sheet xmlns:r="http://schemas.openxmlformats.org/officeDocument/2006/relationships" name="Löhne_Test" sheetId="81" state="visible" r:id="rId81"/>
  </sheets>
  <definedNames>
    <definedName name="_xlnm.Print_Area" localSheetId="68">'Löhne IV-2024'!$A$1:$H$54</definedName>
    <definedName name="_xlnm.Print_Area" localSheetId="69">'Fibu IV-2024'!$A$1:$H$51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0\ [$€-1]"/>
    <numFmt numFmtId="165" formatCode="#,##0.00\ &quot;€/AN&quot;"/>
    <numFmt numFmtId="166" formatCode="0\ &quot;AN&quot;"/>
    <numFmt numFmtId="167" formatCode="#,##0.00\ [$€/Std.-1]"/>
    <numFmt numFmtId="168" formatCode="0.00\ &quot;Std.&quot;"/>
    <numFmt numFmtId="169" formatCode="0.00\ &quot;Std&quot;"/>
    <numFmt numFmtId="170" formatCode="#,##0.00\ &quot;€/Std.&quot;"/>
    <numFmt numFmtId="171" formatCode="#,##0.0"/>
    <numFmt numFmtId="172" formatCode="#,##0.00\ &quot;€/Std&quot;"/>
    <numFmt numFmtId="173" formatCode="mmmm\ yyyy"/>
    <numFmt numFmtId="174" formatCode="d/\ mmmm\ yyyy"/>
    <numFmt numFmtId="175" formatCode="yyyy-mm-dd h:mm:ss"/>
    <numFmt numFmtId="176" formatCode="DD.MM.YYYY"/>
  </numFmts>
  <fonts count="16">
    <font>
      <name val="Arial"/>
      <sz val="10"/>
    </font>
    <font>
      <name val="Arial"/>
      <family val="2"/>
      <sz val="10"/>
    </font>
    <font>
      <name val="Times New Roman"/>
      <family val="1"/>
      <color indexed="8"/>
      <sz val="6"/>
    </font>
    <font>
      <name val="Times New Roman"/>
      <family val="1"/>
      <i val="1"/>
      <sz val="12"/>
    </font>
    <font>
      <name val="Times New Roman"/>
      <family val="1"/>
      <sz val="12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1"/>
    </font>
    <font>
      <name val="Times New Roman"/>
      <family val="1"/>
      <sz val="10"/>
    </font>
    <font>
      <name val="Times New Roman"/>
      <family val="1"/>
      <sz val="11.5"/>
    </font>
    <font>
      <name val="Arial"/>
      <family val="2"/>
      <sz val="11.5"/>
    </font>
    <font>
      <name val="Times New Roman"/>
      <family val="1"/>
      <b val="1"/>
      <sz val="11.5"/>
    </font>
    <font>
      <name val="Times New Roman"/>
      <family val="1"/>
      <sz val="10.5"/>
    </font>
    <font>
      <name val="Arial"/>
      <family val="2"/>
      <sz val="10.5"/>
    </font>
    <font>
      <name val="Times New Roman"/>
      <family val="1"/>
      <sz val="5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4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4" fontId="5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5" fillId="0" borderId="2" applyAlignment="1" pivotButton="0" quotePrefix="0" xfId="0">
      <alignment horizontal="left"/>
    </xf>
    <xf numFmtId="0" fontId="5" fillId="0" borderId="0" applyAlignment="1" pivotButton="0" quotePrefix="0" xfId="0">
      <alignment horizontal="centerContinuous"/>
    </xf>
    <xf numFmtId="2" fontId="5" fillId="0" borderId="0" pivotButton="0" quotePrefix="0" xfId="0"/>
    <xf numFmtId="0" fontId="7" fillId="0" borderId="0" applyAlignment="1" pivotButton="0" quotePrefix="0" xfId="0">
      <alignment horizontal="centerContinuous"/>
    </xf>
    <xf numFmtId="2" fontId="5" fillId="0" borderId="0" applyAlignment="1" pivotButton="0" quotePrefix="0" xfId="0">
      <alignment horizontal="center"/>
    </xf>
    <xf numFmtId="0" fontId="5" fillId="0" borderId="1" pivotButton="0" quotePrefix="0" xfId="0"/>
    <xf numFmtId="3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4" fontId="5" fillId="0" borderId="1" pivotButton="0" quotePrefix="0" xfId="0"/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0" fontId="5" fillId="0" borderId="3" pivotButton="0" quotePrefix="0" xfId="0"/>
    <xf numFmtId="0" fontId="5" fillId="0" borderId="4" pivotButton="0" quotePrefix="0" xfId="0"/>
    <xf numFmtId="164" fontId="5" fillId="0" borderId="4" applyAlignment="1" pivotButton="0" quotePrefix="0" xfId="0">
      <alignment horizontal="right"/>
    </xf>
    <xf numFmtId="2" fontId="5" fillId="0" borderId="4" applyAlignment="1" pivotButton="0" quotePrefix="0" xfId="0">
      <alignment horizontal="right"/>
    </xf>
    <xf numFmtId="164" fontId="5" fillId="0" borderId="4" pivotButton="0" quotePrefix="0" xfId="0"/>
    <xf numFmtId="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4" fontId="5" fillId="0" borderId="0" pivotButton="0" quotePrefix="0" xfId="0"/>
    <xf numFmtId="0" fontId="5" fillId="0" borderId="5" pivotButton="0" quotePrefix="0" xfId="0"/>
    <xf numFmtId="164" fontId="5" fillId="0" borderId="5" applyAlignment="1" pivotButton="0" quotePrefix="0" xfId="0">
      <alignment horizontal="right"/>
    </xf>
    <xf numFmtId="2" fontId="5" fillId="0" borderId="5" applyAlignment="1" pivotButton="0" quotePrefix="0" xfId="0">
      <alignment horizontal="right"/>
    </xf>
    <xf numFmtId="164" fontId="5" fillId="0" borderId="5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3" fontId="9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center"/>
    </xf>
    <xf numFmtId="4" fontId="9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9" fillId="0" borderId="0" applyAlignment="1" pivotButton="0" quotePrefix="0" xfId="0">
      <alignment horizontal="centerContinuous"/>
    </xf>
    <xf numFmtId="0" fontId="10" fillId="0" borderId="0" applyAlignment="1" pivotButton="0" quotePrefix="0" xfId="0">
      <alignment horizontal="centerContinuous"/>
    </xf>
    <xf numFmtId="3" fontId="9" fillId="0" borderId="0" applyAlignment="1" pivotButton="0" quotePrefix="0" xfId="0">
      <alignment horizontal="center"/>
    </xf>
    <xf numFmtId="4" fontId="9" fillId="0" borderId="0" applyAlignment="1" pivotButton="0" quotePrefix="0" xfId="0">
      <alignment horizontal="center"/>
    </xf>
    <xf numFmtId="0" fontId="9" fillId="0" borderId="1" pivotButton="0" quotePrefix="0" xfId="0"/>
    <xf numFmtId="3" fontId="9" fillId="0" borderId="1" applyAlignment="1" pivotButton="0" quotePrefix="0" xfId="0">
      <alignment horizontal="center"/>
    </xf>
    <xf numFmtId="4" fontId="9" fillId="0" borderId="1" applyAlignment="1" pivotButton="0" quotePrefix="0" xfId="0">
      <alignment horizontal="center"/>
    </xf>
    <xf numFmtId="9" fontId="9" fillId="0" borderId="1" applyAlignment="1" pivotButton="0" quotePrefix="0" xfId="0">
      <alignment horizontal="center"/>
    </xf>
    <xf numFmtId="0" fontId="12" fillId="0" borderId="0" pivotButton="0" quotePrefix="0" xfId="0"/>
    <xf numFmtId="14" fontId="12" fillId="0" borderId="0" applyAlignment="1" pivotButton="0" quotePrefix="0" xfId="0">
      <alignment horizontal="center"/>
    </xf>
    <xf numFmtId="17" fontId="12" fillId="0" borderId="0" applyAlignment="1" pivotButton="0" quotePrefix="0" xfId="0">
      <alignment horizontal="center"/>
    </xf>
    <xf numFmtId="4" fontId="12" fillId="0" borderId="0" applyAlignment="1" pivotButton="0" quotePrefix="0" xfId="0">
      <alignment horizontal="center"/>
    </xf>
    <xf numFmtId="4" fontId="12" fillId="0" borderId="0" pivotButton="0" quotePrefix="0" xfId="0"/>
    <xf numFmtId="0" fontId="12" fillId="0" borderId="0" pivotButton="0" quotePrefix="1" xfId="0"/>
    <xf numFmtId="165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0" pivotButton="0" quotePrefix="0" xfId="0"/>
    <xf numFmtId="164" fontId="12" fillId="0" borderId="1" applyAlignment="1" pivotButton="0" quotePrefix="0" xfId="0">
      <alignment horizontal="center"/>
    </xf>
    <xf numFmtId="0" fontId="12" fillId="0" borderId="1" pivotButton="0" quotePrefix="0" xfId="0"/>
    <xf numFmtId="4" fontId="12" fillId="0" borderId="1" applyAlignment="1" pivotButton="0" quotePrefix="0" xfId="0">
      <alignment horizontal="center"/>
    </xf>
    <xf numFmtId="164" fontId="12" fillId="0" borderId="1" pivotButton="0" quotePrefix="0" xfId="0"/>
    <xf numFmtId="0" fontId="13" fillId="0" borderId="0" pivotButton="0" quotePrefix="0" xfId="0"/>
    <xf numFmtId="3" fontId="12" fillId="0" borderId="0" applyAlignment="1" pivotButton="0" quotePrefix="0" xfId="0">
      <alignment horizontal="center"/>
    </xf>
    <xf numFmtId="164" fontId="12" fillId="0" borderId="0" pivotButton="0" quotePrefix="0" xfId="0"/>
    <xf numFmtId="4" fontId="12" fillId="0" borderId="0" applyAlignment="1" pivotButton="0" quotePrefix="0" xfId="0">
      <alignment horizontal="left"/>
    </xf>
    <xf numFmtId="3" fontId="12" fillId="0" borderId="5" applyAlignment="1" pivotButton="0" quotePrefix="0" xfId="0">
      <alignment horizontal="left"/>
    </xf>
    <xf numFmtId="4" fontId="12" fillId="0" borderId="5" applyAlignment="1" pivotButton="0" quotePrefix="0" xfId="0">
      <alignment horizontal="center"/>
    </xf>
    <xf numFmtId="3" fontId="12" fillId="0" borderId="5" applyAlignment="1" pivotButton="0" quotePrefix="0" xfId="0">
      <alignment horizontal="center"/>
    </xf>
    <xf numFmtId="164" fontId="12" fillId="0" borderId="5" pivotButton="0" quotePrefix="0" xfId="0"/>
    <xf numFmtId="3" fontId="12" fillId="0" borderId="0" applyAlignment="1" pivotButton="0" quotePrefix="0" xfId="0">
      <alignment horizontal="left"/>
    </xf>
    <xf numFmtId="4" fontId="12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4" fontId="5" fillId="0" borderId="6" applyAlignment="1" pivotButton="0" quotePrefix="0" xfId="0">
      <alignment horizontal="left"/>
    </xf>
    <xf numFmtId="169" fontId="12" fillId="0" borderId="0" applyAlignment="1" pivotButton="0" quotePrefix="0" xfId="0">
      <alignment horizontal="center"/>
    </xf>
    <xf numFmtId="170" fontId="12" fillId="0" borderId="0" applyAlignment="1" pivotButton="0" quotePrefix="0" xfId="0">
      <alignment horizontal="center"/>
    </xf>
    <xf numFmtId="4" fontId="5" fillId="0" borderId="7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17" fontId="5" fillId="0" borderId="0" applyAlignment="1" pivotButton="0" quotePrefix="0" xfId="0">
      <alignment horizontal="center"/>
    </xf>
    <xf numFmtId="3" fontId="5" fillId="0" borderId="0" pivotButton="0" quotePrefix="0" xfId="0"/>
    <xf numFmtId="171" fontId="5" fillId="0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71" fontId="5" fillId="0" borderId="1" applyAlignment="1" pivotButton="0" quotePrefix="0" xfId="0">
      <alignment horizontal="center"/>
    </xf>
    <xf numFmtId="164" fontId="5" fillId="0" borderId="1" pivotButton="0" quotePrefix="0" xfId="0"/>
    <xf numFmtId="0" fontId="7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left"/>
    </xf>
    <xf numFmtId="3" fontId="5" fillId="0" borderId="5" applyAlignment="1" pivotButton="0" quotePrefix="0" xfId="0">
      <alignment horizontal="left"/>
    </xf>
    <xf numFmtId="4" fontId="5" fillId="0" borderId="5" applyAlignment="1" pivotButton="0" quotePrefix="0" xfId="0">
      <alignment horizontal="center"/>
    </xf>
    <xf numFmtId="3" fontId="5" fillId="0" borderId="5" applyAlignment="1" pivotButton="0" quotePrefix="0" xfId="0">
      <alignment horizontal="center"/>
    </xf>
    <xf numFmtId="3" fontId="5" fillId="0" borderId="0" applyAlignment="1" pivotButton="0" quotePrefix="0" xfId="0">
      <alignment horizontal="left"/>
    </xf>
    <xf numFmtId="14" fontId="5" fillId="0" borderId="0" applyAlignment="1" pivotButton="0" quotePrefix="0" xfId="0">
      <alignment horizontal="center"/>
    </xf>
    <xf numFmtId="170" fontId="5" fillId="0" borderId="0" pivotButton="0" quotePrefix="0" xfId="0"/>
    <xf numFmtId="168" fontId="5" fillId="0" borderId="0" pivotButton="0" quotePrefix="0" xfId="0"/>
    <xf numFmtId="0" fontId="5" fillId="0" borderId="0" pivotButton="0" quotePrefix="1" xfId="0"/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72" fontId="5" fillId="0" borderId="0" applyAlignment="1" pivotButton="0" quotePrefix="0" xfId="0">
      <alignment horizontal="center"/>
    </xf>
    <xf numFmtId="0" fontId="14" fillId="0" borderId="3" pivotButton="0" quotePrefix="0" xfId="0"/>
    <xf numFmtId="0" fontId="14" fillId="0" borderId="0" pivotButton="0" quotePrefix="0" xfId="0"/>
    <xf numFmtId="14" fontId="12" fillId="0" borderId="0" applyAlignment="1" pivotButton="0" quotePrefix="1" xfId="0">
      <alignment horizontal="center"/>
    </xf>
    <xf numFmtId="4" fontId="5" fillId="0" borderId="8" applyAlignment="1" pivotButton="0" quotePrefix="0" xfId="0">
      <alignment horizontal="center"/>
    </xf>
    <xf numFmtId="0" fontId="9" fillId="0" borderId="6" pivotButton="0" quotePrefix="0" xfId="0"/>
    <xf numFmtId="14" fontId="5" fillId="0" borderId="0" pivotButton="0" quotePrefix="0" xfId="0"/>
    <xf numFmtId="4" fontId="5" fillId="0" borderId="9" applyAlignment="1" pivotButton="0" quotePrefix="0" xfId="0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14" fontId="12" fillId="0" borderId="0" pivotButton="0" quotePrefix="0" xfId="1"/>
    <xf numFmtId="17" fontId="12" fillId="0" borderId="0" applyAlignment="1" pivotButton="0" quotePrefix="0" xfId="1">
      <alignment horizontal="center"/>
    </xf>
    <xf numFmtId="165" fontId="12" fillId="0" borderId="0" applyAlignment="1" pivotButton="0" quotePrefix="0" xfId="1">
      <alignment horizontal="center"/>
    </xf>
    <xf numFmtId="166" fontId="12" fillId="0" borderId="0" applyAlignment="1" pivotButton="0" quotePrefix="0" xfId="1">
      <alignment horizontal="center"/>
    </xf>
    <xf numFmtId="164" fontId="12" fillId="0" borderId="0" pivotButton="0" quotePrefix="0" xfId="1"/>
    <xf numFmtId="164" fontId="12" fillId="0" borderId="1" applyAlignment="1" pivotButton="0" quotePrefix="0" xfId="1">
      <alignment horizontal="center"/>
    </xf>
    <xf numFmtId="0" fontId="12" fillId="0" borderId="1" pivotButton="0" quotePrefix="0" xfId="1"/>
    <xf numFmtId="4" fontId="12" fillId="0" borderId="1" applyAlignment="1" pivotButton="0" quotePrefix="0" xfId="1">
      <alignment horizontal="center"/>
    </xf>
    <xf numFmtId="164" fontId="12" fillId="0" borderId="1" pivotButton="0" quotePrefix="0" xfId="1"/>
    <xf numFmtId="0" fontId="13" fillId="0" borderId="0" pivotButton="0" quotePrefix="0" xfId="1"/>
    <xf numFmtId="3" fontId="12" fillId="0" borderId="0" applyAlignment="1" pivotButton="0" quotePrefix="0" xfId="1">
      <alignment horizontal="center"/>
    </xf>
    <xf numFmtId="4" fontId="12" fillId="0" borderId="0" applyAlignment="1" pivotButton="0" quotePrefix="0" xfId="1">
      <alignment horizontal="left"/>
    </xf>
    <xf numFmtId="3" fontId="12" fillId="0" borderId="5" applyAlignment="1" pivotButton="0" quotePrefix="0" xfId="1">
      <alignment horizontal="left"/>
    </xf>
    <xf numFmtId="4" fontId="12" fillId="0" borderId="5" applyAlignment="1" pivotButton="0" quotePrefix="0" xfId="1">
      <alignment horizontal="center"/>
    </xf>
    <xf numFmtId="3" fontId="12" fillId="0" borderId="5" applyAlignment="1" pivotButton="0" quotePrefix="0" xfId="1">
      <alignment horizontal="center"/>
    </xf>
    <xf numFmtId="164" fontId="12" fillId="0" borderId="5" pivotButton="0" quotePrefix="0" xfId="1"/>
    <xf numFmtId="3" fontId="12" fillId="0" borderId="0" applyAlignment="1" pivotButton="0" quotePrefix="0" xfId="1">
      <alignment horizontal="left"/>
    </xf>
    <xf numFmtId="4" fontId="12" fillId="0" borderId="0" applyAlignment="1" pivotButton="0" quotePrefix="0" xfId="1">
      <alignment horizontal="center"/>
    </xf>
    <xf numFmtId="4" fontId="12" fillId="0" borderId="0" pivotButton="0" quotePrefix="0" xfId="1"/>
    <xf numFmtId="0" fontId="9" fillId="0" borderId="0" pivotButton="0" quotePrefix="0" xfId="0"/>
    <xf numFmtId="0" fontId="9" fillId="0" borderId="7" pivotButton="0" quotePrefix="0" xfId="0"/>
    <xf numFmtId="14" fontId="12" fillId="0" borderId="0" pivotButton="0" quotePrefix="0" xfId="0"/>
    <xf numFmtId="0" fontId="12" fillId="0" borderId="0" applyAlignment="1" pivotButton="0" quotePrefix="1" xfId="0">
      <alignment horizontal="center"/>
    </xf>
    <xf numFmtId="14" fontId="5" fillId="0" borderId="0" applyAlignment="1" pivotButton="0" quotePrefix="0" xfId="0">
      <alignment horizontal="left"/>
    </xf>
    <xf numFmtId="4" fontId="5" fillId="0" borderId="1" applyAlignment="1" pivotButton="0" quotePrefix="0" xfId="0">
      <alignment horizontal="left"/>
    </xf>
    <xf numFmtId="173" fontId="5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10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4" fontId="5" fillId="0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" fontId="5" fillId="0" borderId="9" applyAlignment="1" pivotButton="0" quotePrefix="0" xfId="0">
      <alignment horizontal="left"/>
    </xf>
    <xf numFmtId="4" fontId="5" fillId="0" borderId="3" applyAlignment="1" pivotButton="0" quotePrefix="0" xfId="0">
      <alignment horizontal="left"/>
    </xf>
    <xf numFmtId="174" fontId="5" fillId="0" borderId="3" applyAlignment="1" pivotButton="0" quotePrefix="0" xfId="0">
      <alignment horizontal="center"/>
    </xf>
    <xf numFmtId="174" fontId="5" fillId="0" borderId="10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4" fontId="5" fillId="0" borderId="6" applyAlignment="1" pivotButton="0" quotePrefix="0" xfId="0">
      <alignment horizontal="left"/>
    </xf>
    <xf numFmtId="4" fontId="5" fillId="0" borderId="1" applyAlignment="1" pivotButton="0" quotePrefix="0" xfId="0">
      <alignment horizontal="left"/>
    </xf>
    <xf numFmtId="174" fontId="5" fillId="0" borderId="1" applyAlignment="1" pivotButton="0" quotePrefix="0" xfId="0">
      <alignment horizontal="center"/>
    </xf>
    <xf numFmtId="174" fontId="5" fillId="0" borderId="8" applyAlignment="1" pivotButton="0" quotePrefix="0" xfId="0">
      <alignment horizontal="center"/>
    </xf>
    <xf numFmtId="14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4" fontId="9" fillId="0" borderId="9" applyAlignment="1" pivotButton="0" quotePrefix="0" xfId="0">
      <alignment horizontal="left"/>
    </xf>
    <xf numFmtId="4" fontId="9" fillId="0" borderId="3" applyAlignment="1" pivotButton="0" quotePrefix="0" xfId="0">
      <alignment horizontal="left"/>
    </xf>
    <xf numFmtId="174" fontId="9" fillId="0" borderId="3" applyAlignment="1" pivotButton="0" quotePrefix="0" xfId="0">
      <alignment horizontal="center"/>
    </xf>
    <xf numFmtId="174" fontId="9" fillId="0" borderId="10" applyAlignment="1" pivotButton="0" quotePrefix="0" xfId="0">
      <alignment horizontal="center"/>
    </xf>
    <xf numFmtId="0" fontId="9" fillId="0" borderId="7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6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4" fontId="5" fillId="0" borderId="2" applyAlignment="1" pivotButton="0" quotePrefix="0" xfId="0">
      <alignment horizontal="center"/>
    </xf>
    <xf numFmtId="174" fontId="9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8" pivotButton="0" quotePrefix="0" xfId="0"/>
    <xf numFmtId="170" fontId="5" fillId="0" borderId="0" pivotButton="0" quotePrefix="0" xfId="0"/>
    <xf numFmtId="168" fontId="5" fillId="0" borderId="0" pivotButton="0" quotePrefix="0" xfId="0"/>
    <xf numFmtId="164" fontId="5" fillId="0" borderId="0" pivotButton="0" quotePrefix="0" xfId="0"/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72" fontId="5" fillId="0" borderId="0" applyAlignment="1" pivotButton="0" quotePrefix="0" xfId="0">
      <alignment horizontal="center"/>
    </xf>
    <xf numFmtId="164" fontId="5" fillId="0" borderId="4" applyAlignment="1" pivotButton="0" quotePrefix="0" xfId="0">
      <alignment horizontal="right"/>
    </xf>
    <xf numFmtId="164" fontId="5" fillId="0" borderId="4" pivotButton="0" quotePrefix="0" xfId="0"/>
    <xf numFmtId="164" fontId="5" fillId="0" borderId="0" applyAlignment="1" pivotButton="0" quotePrefix="0" xfId="0">
      <alignment horizontal="right"/>
    </xf>
    <xf numFmtId="164" fontId="5" fillId="0" borderId="5" applyAlignment="1" pivotButton="0" quotePrefix="0" xfId="0">
      <alignment horizontal="right"/>
    </xf>
    <xf numFmtId="164" fontId="5" fillId="0" borderId="5" pivotButton="0" quotePrefix="0" xfId="0"/>
    <xf numFmtId="164" fontId="5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171" fontId="5" fillId="0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71" fontId="5" fillId="0" borderId="1" applyAlignment="1" pivotButton="0" quotePrefix="0" xfId="0">
      <alignment horizontal="center"/>
    </xf>
    <xf numFmtId="164" fontId="5" fillId="0" borderId="1" pivotButton="0" quotePrefix="0" xfId="0"/>
    <xf numFmtId="170" fontId="12" fillId="0" borderId="0" applyAlignment="1" pivotButton="0" quotePrefix="0" xfId="0">
      <alignment horizontal="center"/>
    </xf>
    <xf numFmtId="169" fontId="12" fillId="0" borderId="0" applyAlignment="1" pivotButton="0" quotePrefix="0" xfId="0">
      <alignment horizontal="center"/>
    </xf>
    <xf numFmtId="164" fontId="12" fillId="0" borderId="0" pivotButton="0" quotePrefix="0" xfId="0"/>
    <xf numFmtId="165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12" fillId="0" borderId="1" pivotButton="0" quotePrefix="0" xfId="0"/>
    <xf numFmtId="164" fontId="12" fillId="0" borderId="5" pivotButton="0" quotePrefix="0" xfId="0"/>
    <xf numFmtId="174" fontId="9" fillId="0" borderId="2" applyAlignment="1" pivotButton="0" quotePrefix="0" xfId="0">
      <alignment horizontal="center"/>
    </xf>
    <xf numFmtId="165" fontId="12" fillId="0" borderId="0" applyAlignment="1" pivotButton="0" quotePrefix="0" xfId="1">
      <alignment horizontal="center"/>
    </xf>
    <xf numFmtId="166" fontId="12" fillId="0" borderId="0" applyAlignment="1" pivotButton="0" quotePrefix="0" xfId="1">
      <alignment horizontal="center"/>
    </xf>
    <xf numFmtId="164" fontId="12" fillId="0" borderId="0" pivotButton="0" quotePrefix="0" xfId="1"/>
    <xf numFmtId="164" fontId="12" fillId="0" borderId="1" applyAlignment="1" pivotButton="0" quotePrefix="0" xfId="1">
      <alignment horizontal="center"/>
    </xf>
    <xf numFmtId="164" fontId="12" fillId="0" borderId="1" pivotButton="0" quotePrefix="0" xfId="1"/>
    <xf numFmtId="164" fontId="12" fillId="0" borderId="5" pivotButton="0" quotePrefix="0" xfId="1"/>
    <xf numFmtId="173" fontId="5" fillId="0" borderId="0" applyAlignment="1" pivotButton="0" quotePrefix="0" xfId="0">
      <alignment horizontal="left"/>
    </xf>
    <xf numFmtId="176" fontId="0" fillId="0" borderId="0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styles" Target="styles.xml" Id="rId82"/><Relationship Type="http://schemas.openxmlformats.org/officeDocument/2006/relationships/theme" Target="theme/theme1.xml" Id="rId8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28575</colOff>
      <row>40</row>
      <rowOff>190500</rowOff>
    </from>
    <to>
      <col>2</col>
      <colOff>257175</colOff>
      <row>48</row>
      <rowOff>76200</rowOff>
    </to>
    <pic>
      <nvPicPr>
        <cNvPr id="2072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575" y="7362825"/>
          <a:ext cx="2505075" cy="14192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44</row>
      <rowOff>142875</rowOff>
    </from>
    <to>
      <col>2</col>
      <colOff>85725</colOff>
      <row>52</row>
      <rowOff>57150</rowOff>
    </to>
    <pic>
      <nvPicPr>
        <cNvPr id="3094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343775"/>
          <a:ext cx="2362200" cy="1352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41</row>
      <rowOff>161925</rowOff>
    </from>
    <to>
      <col>2</col>
      <colOff>457200</colOff>
      <row>48</row>
      <rowOff>47625</rowOff>
    </to>
    <pic>
      <nvPicPr>
        <cNvPr id="4118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275333">
          <a:off x="0" y="7315200"/>
          <a:ext cx="2600325" cy="11620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40</row>
      <rowOff>285750</rowOff>
    </from>
    <to>
      <col>2</col>
      <colOff>428625</colOff>
      <row>47</row>
      <rowOff>171450</rowOff>
    </to>
    <pic>
      <nvPicPr>
        <cNvPr id="7184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153275"/>
          <a:ext cx="2705100" cy="1276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44</row>
      <rowOff>142875</rowOff>
    </from>
    <to>
      <col>2</col>
      <colOff>85725</colOff>
      <row>52</row>
      <rowOff>57150</rowOff>
    </to>
    <pic>
      <nvPicPr>
        <cNvPr id="5139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458075"/>
          <a:ext cx="2362200" cy="1352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40</row>
      <rowOff>142875</rowOff>
    </from>
    <to>
      <col>2</col>
      <colOff>85725</colOff>
      <row>48</row>
      <rowOff>57150</rowOff>
    </to>
    <pic>
      <nvPicPr>
        <cNvPr id="8210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105650"/>
          <a:ext cx="2362200" cy="1352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57150</colOff>
      <row>41</row>
      <rowOff>180975</rowOff>
    </from>
    <to>
      <col>2</col>
      <colOff>342900</colOff>
      <row>48</row>
      <rowOff>66675</rowOff>
    </to>
    <pic>
      <nvPicPr>
        <cNvPr id="12292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363558">
          <a:off x="57150" y="7572375"/>
          <a:ext cx="2562225" cy="11620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40</row>
      <rowOff>142875</rowOff>
    </from>
    <to>
      <col>2</col>
      <colOff>85725</colOff>
      <row>48</row>
      <rowOff>57150</rowOff>
    </to>
    <pic>
      <nvPicPr>
        <cNvPr id="13319" name="Grafik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7134225"/>
          <a:ext cx="2362200" cy="1352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5:H48"/>
  <sheetViews>
    <sheetView workbookViewId="0">
      <selection activeCell="G8" sqref="G8:H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8554687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42305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10113-2015-007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 xml:space="preserve">BIC (SWIFT): 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n"/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29</v>
      </c>
      <c r="B24" s="15" t="inlineStr">
        <is>
          <t>Teilnahme an der Prüfung der DRV für</t>
        </is>
      </c>
      <c r="C24" s="169" t="n"/>
      <c r="D24" s="93" t="n"/>
      <c r="E24" s="191" t="n">
        <v>80</v>
      </c>
      <c r="F24" s="15" t="inlineStr">
        <is>
          <t>Zeitgeb.</t>
        </is>
      </c>
      <c r="G24" s="192" t="n">
        <v>3</v>
      </c>
      <c r="H24" s="193">
        <f>+G24*E24</f>
        <v/>
      </c>
    </row>
    <row r="25" ht="15" customFormat="1" customHeight="1" s="15">
      <c r="B25" s="108" t="inlineStr">
        <is>
          <t>2011-2014</t>
        </is>
      </c>
      <c r="C25" s="169" t="n"/>
      <c r="D25" s="93" t="n"/>
    </row>
    <row r="26" ht="15" customFormat="1" customHeight="1" s="15">
      <c r="B26" s="108" t="inlineStr">
        <is>
          <t xml:space="preserve"> - Vorbereitung der Prüfung und Zusammen-</t>
        </is>
      </c>
      <c r="C26" s="169" t="n"/>
      <c r="D26" s="93" t="n"/>
      <c r="E26" s="194" t="n"/>
      <c r="G26" s="195" t="n"/>
      <c r="H26" s="193" t="n"/>
    </row>
    <row r="27" ht="15" customFormat="1" customHeight="1" s="15">
      <c r="B27" s="15" t="inlineStr">
        <is>
          <t xml:space="preserve">   stellung vn Unterlagen vom 02.-15.10.2015</t>
        </is>
      </c>
      <c r="C27" s="169" t="n"/>
      <c r="D27" s="93" t="n"/>
      <c r="E27" s="194" t="n"/>
      <c r="G27" s="195" t="n"/>
      <c r="H27" s="193" t="n"/>
    </row>
    <row r="28" ht="15" customFormat="1" customHeight="1" s="15">
      <c r="B28" s="15" t="inlineStr">
        <is>
          <t xml:space="preserve"> - telefonische Klärung von Rüßckfragen durch den Prüfer</t>
        </is>
      </c>
      <c r="D28" s="90" t="n"/>
      <c r="E28" s="183" t="n"/>
      <c r="F28" s="10" t="n"/>
    </row>
    <row r="29" ht="15" customFormat="1" customHeight="1" s="15">
      <c r="B29" s="15" t="inlineStr">
        <is>
          <t xml:space="preserve">   am 19.10.2015</t>
        </is>
      </c>
      <c r="D29" s="90" t="n"/>
      <c r="E29" s="183" t="n"/>
      <c r="F29" s="10" t="n"/>
    </row>
    <row r="30" ht="15" customFormat="1" customHeight="1" s="15">
      <c r="B30" s="15" t="inlineStr">
        <is>
          <t xml:space="preserve"> - Abschluß der Prüfung durch Prüfung des Prüfberichts</t>
        </is>
      </c>
      <c r="D30" s="90" t="n"/>
      <c r="E30" s="183" t="n"/>
      <c r="F30" s="10" t="n"/>
    </row>
    <row r="31" ht="15" customFormat="1" customHeight="1" s="15">
      <c r="B31" s="15" t="inlineStr">
        <is>
          <t xml:space="preserve">   am 28.10.2015</t>
        </is>
      </c>
      <c r="D31" s="93" t="n"/>
      <c r="E31" s="196" t="n"/>
      <c r="F31" s="195" t="n"/>
      <c r="G31" s="192" t="n"/>
      <c r="H31" s="193" t="n"/>
    </row>
    <row r="32" ht="15" customFormat="1" customHeight="1" s="15">
      <c r="D32" s="93" t="n"/>
      <c r="E32" s="196" t="n"/>
      <c r="F32" s="195" t="n"/>
      <c r="G32" s="192" t="n"/>
      <c r="H32" s="193" t="n"/>
    </row>
    <row r="33" ht="15" customFormat="1" customHeight="1" s="15">
      <c r="A33" s="15" t="n">
        <v>16</v>
      </c>
      <c r="B33" s="15" t="inlineStr">
        <is>
          <t xml:space="preserve">Auslagenersatz für Post- und </t>
        </is>
      </c>
      <c r="C33" s="169" t="n"/>
      <c r="D33" s="93" t="n"/>
      <c r="E33" s="194" t="n"/>
      <c r="G33" s="195" t="n"/>
      <c r="H33" s="193" t="n"/>
    </row>
    <row r="34" ht="15" customFormat="1" customHeight="1" s="15">
      <c r="B34" s="15" t="inlineStr">
        <is>
          <t>Telekommunikation</t>
        </is>
      </c>
      <c r="C34" s="169" t="n"/>
      <c r="D34" s="93" t="n"/>
      <c r="E34" s="193">
        <f>+H24*0.2</f>
        <v/>
      </c>
      <c r="G34" s="193" t="n"/>
      <c r="H34" s="193" t="n">
        <v>20</v>
      </c>
    </row>
    <row r="35" ht="15" customFormat="1" customHeight="1" s="15">
      <c r="A35" s="28" t="n"/>
      <c r="B35" s="28" t="n"/>
      <c r="C35" s="28" t="n"/>
      <c r="D35" s="28" t="n"/>
      <c r="E35" s="29" t="inlineStr">
        <is>
          <t>Zwischensumme</t>
        </is>
      </c>
      <c r="F35" s="197" t="n"/>
      <c r="G35" s="31" t="n"/>
      <c r="H35" s="198">
        <f>SUM(H24:H34)</f>
        <v/>
      </c>
    </row>
    <row r="36" ht="15.75" customFormat="1" customHeight="1" s="15">
      <c r="A36" s="15" t="n"/>
      <c r="B36" s="15" t="n"/>
      <c r="C36" s="15" t="n"/>
      <c r="D36" s="15" t="n"/>
      <c r="E36" s="100" t="inlineStr">
        <is>
          <t>Umsatzsteuer 19%</t>
        </is>
      </c>
      <c r="F36" s="199" t="n"/>
      <c r="G36" s="35" t="n"/>
      <c r="H36" s="193">
        <f>+H35*0.19</f>
        <v/>
      </c>
    </row>
    <row r="37" customFormat="1" s="15" thickBot="1">
      <c r="A37" s="15" t="n"/>
      <c r="B37" s="15" t="n"/>
      <c r="C37" s="15" t="n"/>
      <c r="D37" s="15" t="n"/>
      <c r="E37" s="37" t="inlineStr">
        <is>
          <t>Rechnungsbetrag</t>
        </is>
      </c>
      <c r="F37" s="200" t="n"/>
      <c r="G37" s="39" t="n"/>
      <c r="H37" s="201">
        <f>SUM(H35:H36)</f>
        <v/>
      </c>
    </row>
    <row r="38" ht="6" customFormat="1" customHeight="1" s="15" thickTop="1">
      <c r="E38" s="104" t="n"/>
      <c r="F38" s="183" t="n"/>
      <c r="G38" s="90" t="n"/>
      <c r="H38" s="193" t="n"/>
    </row>
    <row r="39" ht="15" customFormat="1" customHeight="1" s="15">
      <c r="A39" s="15" t="inlineStr">
        <is>
          <t>Die Leistung wurde - sofern nicht anders angegeben - im Monat der Rechnungsstellung erbracht.</t>
        </is>
      </c>
      <c r="D39" s="90" t="n"/>
      <c r="E39" s="183" t="n"/>
      <c r="F39" s="90" t="n"/>
      <c r="G39" s="10" t="n"/>
    </row>
    <row r="40" ht="15" customFormat="1" customHeight="1" s="15">
      <c r="A40" s="15" t="inlineStr">
        <is>
          <t>Bitte überweisen Sie den Betrag ohne Abzüge auf die angegebene Bankverbindung.</t>
        </is>
      </c>
      <c r="B40" s="13" t="n"/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4">
      <c r="B44" s="21" t="n"/>
    </row>
    <row r="45" ht="15" customFormat="1" customHeight="1" s="15">
      <c r="D45" s="90" t="n"/>
      <c r="E45" s="183" t="n"/>
      <c r="F45" s="10" t="n"/>
    </row>
    <row r="46" ht="15" customFormat="1" customHeight="1" s="15"/>
    <row r="47" ht="15" customFormat="1" customHeight="1" s="15"/>
    <row r="48">
      <c r="A48" s="147" t="inlineStr">
        <is>
          <t>Steuernummer: 012 801 35159</t>
        </is>
      </c>
    </row>
  </sheetData>
  <mergeCells count="10">
    <mergeCell ref="A48:H48"/>
    <mergeCell ref="F10:H10"/>
    <mergeCell ref="F11:H11"/>
    <mergeCell ref="G7:H7"/>
    <mergeCell ref="E7:F7"/>
    <mergeCell ref="A16:H16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5:H52"/>
  <sheetViews>
    <sheetView topLeftCell="A15" workbookViewId="0">
      <selection activeCell="G8" sqref="G8:H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42270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10113-2015-008</t>
        </is>
      </c>
      <c r="H9" s="188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+G7-1</f>
        <v/>
      </c>
      <c r="H10" s="190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</row>
    <row r="12">
      <c r="E12" s="165" t="inlineStr">
        <is>
          <t xml:space="preserve">BIC (SWIFT): </t>
        </is>
      </c>
      <c r="F12" s="151" t="inlineStr">
        <is>
          <t>DEUTDEDBFRA</t>
        </is>
      </c>
      <c r="G12" s="189" t="n"/>
      <c r="H12" s="190" t="n"/>
    </row>
    <row r="14" ht="14.25" customFormat="1" customHeight="1" s="12">
      <c r="A14" s="152" t="inlineStr">
        <is>
          <t xml:space="preserve">Rechnung über Honorare </t>
        </is>
      </c>
    </row>
    <row r="15" ht="14.25" customFormat="1" customHeight="1" s="12">
      <c r="A15" s="152" t="n"/>
      <c r="B15" s="152" t="n"/>
      <c r="C15" s="152" t="n"/>
      <c r="D15" s="152" t="n"/>
      <c r="E15" s="152" t="n"/>
      <c r="F15" s="152" t="n"/>
      <c r="G15" s="152" t="n"/>
      <c r="H15" s="152" t="n"/>
    </row>
    <row r="16" ht="15" customFormat="1" customHeight="1" s="15">
      <c r="A16" s="15" t="inlineStr">
        <is>
          <t xml:space="preserve">Für die nachfolgend aufgeführten Leistungen erlaube ich mir nach der Steuerberatervergütungs- </t>
        </is>
      </c>
      <c r="B16" s="13" t="n"/>
      <c r="D16" s="90" t="n"/>
      <c r="E16" s="183" t="n"/>
      <c r="F16" s="90" t="n"/>
      <c r="G16" s="18" t="n"/>
    </row>
    <row r="17" ht="15" customFormat="1" customHeight="1" s="15">
      <c r="A17" s="15" t="inlineStr">
        <is>
          <t>verordnung wie folgt abzurechnen:</t>
        </is>
      </c>
      <c r="B17" s="13" t="n"/>
      <c r="D17" s="90" t="n"/>
      <c r="E17" s="183" t="n"/>
      <c r="F17" s="90" t="n"/>
      <c r="G17" s="18" t="n"/>
    </row>
    <row r="18" ht="9" customFormat="1" customHeight="1" s="15">
      <c r="D18" s="90" t="n"/>
      <c r="E18" s="183" t="n"/>
      <c r="F18" s="10" t="n"/>
      <c r="G18" s="18" t="n"/>
    </row>
    <row r="19" ht="15" customFormat="1" customHeight="1" s="15">
      <c r="A19" s="17" t="inlineStr">
        <is>
          <t>Leistung</t>
        </is>
      </c>
      <c r="B19" s="19" t="n"/>
      <c r="C19" s="17" t="n"/>
      <c r="D19" s="90" t="n"/>
      <c r="E19" s="90" t="inlineStr">
        <is>
          <t>Gegenstands-</t>
        </is>
      </c>
      <c r="F19" s="183" t="inlineStr">
        <is>
          <t>Tabelle</t>
        </is>
      </c>
      <c r="G19" s="20" t="inlineStr">
        <is>
          <t>Geb.-</t>
        </is>
      </c>
      <c r="H19" s="183" t="inlineStr">
        <is>
          <t>Gebühr</t>
        </is>
      </c>
    </row>
    <row r="20" ht="15" customFormat="1" customHeight="1" s="15">
      <c r="A20" s="21" t="inlineStr">
        <is>
          <t>§§</t>
        </is>
      </c>
      <c r="B20" s="21" t="n"/>
      <c r="C20" s="21" t="n"/>
      <c r="D20" s="22" t="n"/>
      <c r="E20" s="22" t="inlineStr">
        <is>
          <t xml:space="preserve"> wert</t>
        </is>
      </c>
      <c r="F20" s="150" t="n"/>
      <c r="G20" s="24" t="inlineStr">
        <is>
          <t>satz</t>
        </is>
      </c>
      <c r="H20" s="25" t="n"/>
    </row>
    <row r="21" ht="16.5" customFormat="1" customHeight="1" s="15">
      <c r="A21" s="15" t="n">
        <v>35</v>
      </c>
      <c r="B21" s="15" t="inlineStr">
        <is>
          <t>Jahresabschluß</t>
        </is>
      </c>
      <c r="C21" s="159" t="n">
        <v>2014</v>
      </c>
      <c r="E21" s="202">
        <f>+(652336.86+247762.04)/2</f>
        <v/>
      </c>
      <c r="F21" s="183" t="inlineStr">
        <is>
          <t>B</t>
        </is>
      </c>
      <c r="G21" s="20" t="n">
        <v>23</v>
      </c>
      <c r="H21" s="193">
        <f>G21/10*701</f>
        <v/>
      </c>
    </row>
    <row r="22" ht="5.25" customFormat="1" customHeight="1" s="15">
      <c r="C22" s="159" t="n"/>
      <c r="E22" s="202" t="n"/>
      <c r="F22" s="183" t="n"/>
      <c r="G22" s="20" t="n"/>
      <c r="H22" s="193" t="n"/>
    </row>
    <row r="23" ht="16.5" customFormat="1" customHeight="1" s="15">
      <c r="A23" s="15" t="n">
        <v>35</v>
      </c>
      <c r="B23" s="15" t="inlineStr">
        <is>
          <t>Anhang</t>
        </is>
      </c>
      <c r="C23" s="159">
        <f>+C21</f>
        <v/>
      </c>
      <c r="E23" s="202">
        <f>+E21</f>
        <v/>
      </c>
      <c r="F23" s="183" t="inlineStr">
        <is>
          <t>B</t>
        </is>
      </c>
      <c r="G23" s="20" t="n">
        <v>6</v>
      </c>
      <c r="H23" s="193">
        <f>+H21/G21*G23</f>
        <v/>
      </c>
    </row>
    <row r="24" ht="5.25" customFormat="1" customHeight="1" s="15">
      <c r="C24" s="159" t="n"/>
      <c r="E24" s="202" t="n"/>
      <c r="F24" s="183" t="n"/>
      <c r="G24" s="20" t="n"/>
      <c r="H24" s="193" t="n"/>
    </row>
    <row r="25" ht="15" customFormat="1" customHeight="1" s="15">
      <c r="A25" s="15" t="n">
        <v>24</v>
      </c>
      <c r="B25" s="15" t="inlineStr">
        <is>
          <t>Umsatzsteuerjahreserklärung</t>
        </is>
      </c>
      <c r="C25" s="159">
        <f>+C23</f>
        <v/>
      </c>
      <c r="E25" s="202">
        <f>+(469613+197367+196088-1800)/10</f>
        <v/>
      </c>
      <c r="F25" s="183" t="inlineStr">
        <is>
          <t>A</t>
        </is>
      </c>
      <c r="G25" s="20" t="n">
        <v>2</v>
      </c>
      <c r="H25" s="193">
        <f>G25/10*1341</f>
        <v/>
      </c>
    </row>
    <row r="26" ht="5.25" customFormat="1" customHeight="1" s="15">
      <c r="C26" s="159" t="n"/>
      <c r="E26" s="202" t="n"/>
      <c r="F26" s="183" t="n"/>
      <c r="G26" s="20" t="n"/>
      <c r="H26" s="193" t="n"/>
    </row>
    <row r="27" ht="15" customFormat="1" customHeight="1" s="15">
      <c r="A27" s="15" t="n">
        <v>24</v>
      </c>
      <c r="B27" s="15" t="inlineStr">
        <is>
          <t>Gewerbesteuererklärung nach dem Gewerbe-</t>
        </is>
      </c>
      <c r="C27" s="159" t="n"/>
      <c r="E27" s="202">
        <f>+E30</f>
        <v/>
      </c>
      <c r="F27" s="183" t="inlineStr">
        <is>
          <t>A</t>
        </is>
      </c>
      <c r="G27" s="20" t="n">
        <v>2</v>
      </c>
      <c r="H27" s="193">
        <f>G27/10*636</f>
        <v/>
      </c>
    </row>
    <row r="28" ht="15" customFormat="1" customHeight="1" s="15">
      <c r="B28" s="15" t="inlineStr">
        <is>
          <t xml:space="preserve">ertrag für </t>
        </is>
      </c>
      <c r="C28" s="159">
        <f>+C23</f>
        <v/>
      </c>
      <c r="E28" s="202" t="n"/>
      <c r="F28" s="183" t="n"/>
      <c r="G28" s="20" t="n"/>
      <c r="H28" s="193" t="n"/>
    </row>
    <row r="29" ht="5.25" customFormat="1" customHeight="1" s="15">
      <c r="C29" s="159" t="n"/>
      <c r="E29" s="202" t="n"/>
      <c r="F29" s="183" t="n"/>
      <c r="G29" s="20" t="n"/>
      <c r="H29" s="193" t="n"/>
    </row>
    <row r="30" ht="15" customFormat="1" customHeight="1" s="15">
      <c r="A30" s="15" t="n">
        <v>24</v>
      </c>
      <c r="B30" s="15" t="inlineStr">
        <is>
          <t xml:space="preserve">Körperschaftsteuererklärung für </t>
        </is>
      </c>
      <c r="C30" s="159">
        <f>+C28</f>
        <v/>
      </c>
      <c r="E30" s="202" t="n">
        <v>16050</v>
      </c>
      <c r="F30" s="183" t="inlineStr">
        <is>
          <t>A</t>
        </is>
      </c>
      <c r="G30" s="20" t="n">
        <v>2</v>
      </c>
      <c r="H30" s="193">
        <f>G30/10*636</f>
        <v/>
      </c>
    </row>
    <row r="31" ht="5.25" customFormat="1" customHeight="1" s="15">
      <c r="C31" s="159" t="n"/>
      <c r="E31" s="202" t="n"/>
      <c r="F31" s="183" t="n"/>
      <c r="G31" s="20" t="n"/>
      <c r="H31" s="193" t="n"/>
    </row>
    <row r="32" ht="15" customFormat="1" customHeight="1" s="15">
      <c r="A32" s="15" t="n">
        <v>24</v>
      </c>
      <c r="B32" s="15" t="inlineStr">
        <is>
          <t>Erklärung zur gesonderten Ermittlung von Be-</t>
        </is>
      </c>
      <c r="C32" s="159" t="n"/>
      <c r="E32" s="202" t="n">
        <v>8000</v>
      </c>
      <c r="F32" s="183" t="inlineStr">
        <is>
          <t>A</t>
        </is>
      </c>
      <c r="G32" s="20" t="n">
        <v>1</v>
      </c>
      <c r="H32" s="193">
        <f>G32/10*443</f>
        <v/>
      </c>
    </row>
    <row r="33" ht="15" customFormat="1" customHeight="1" s="15">
      <c r="B33" s="15" t="inlineStr">
        <is>
          <t>steuerungsgrundlagen nach §§ 27 ff. KStG</t>
        </is>
      </c>
      <c r="C33" s="159" t="n"/>
      <c r="E33" s="202" t="n"/>
      <c r="F33" s="183" t="n"/>
      <c r="G33" s="20" t="n"/>
      <c r="H33" s="193" t="n"/>
    </row>
    <row r="34" ht="15" customFormat="1" customHeight="1" s="15">
      <c r="B34" s="15" t="inlineStr">
        <is>
          <t>auf den 31.12.</t>
        </is>
      </c>
      <c r="C34" s="159">
        <f>+C30</f>
        <v/>
      </c>
      <c r="E34" s="202" t="n"/>
      <c r="F34" s="183" t="n"/>
      <c r="G34" s="20" t="n"/>
      <c r="H34" s="193" t="n"/>
    </row>
    <row r="35" ht="5.25" customFormat="1" customHeight="1" s="15">
      <c r="C35" s="159" t="n"/>
      <c r="E35" s="202" t="n"/>
      <c r="F35" s="183" t="n"/>
      <c r="G35" s="20" t="n"/>
      <c r="H35" s="193" t="n"/>
    </row>
    <row r="36" ht="15" customFormat="1" customHeight="1" s="15">
      <c r="A36" s="15" t="n">
        <v>27</v>
      </c>
      <c r="B36" s="15" t="inlineStr">
        <is>
          <t>Prüfung der Bescheide zur Körperschaftsteuer,</t>
        </is>
      </c>
      <c r="C36" s="159" t="n"/>
      <c r="E36" s="203" t="n">
        <v>80</v>
      </c>
      <c r="F36" s="183" t="inlineStr">
        <is>
          <t>Zeitgeb.</t>
        </is>
      </c>
      <c r="G36" s="204" t="n">
        <v>0.5</v>
      </c>
      <c r="H36" s="193">
        <f>+G36*E36</f>
        <v/>
      </c>
    </row>
    <row r="37" ht="15" customFormat="1" customHeight="1" s="15">
      <c r="B37" s="15" t="inlineStr">
        <is>
          <t xml:space="preserve">zum Gewerbesteuermeßbetrag und zur Feststellung </t>
        </is>
      </c>
      <c r="C37" s="159" t="n"/>
      <c r="E37" s="202" t="n"/>
      <c r="F37" s="183" t="n"/>
      <c r="G37" s="20" t="n"/>
      <c r="H37" s="193" t="n"/>
    </row>
    <row r="38" ht="15" customFormat="1" customHeight="1" s="15">
      <c r="B38" s="15" t="inlineStr">
        <is>
          <t>körperschaftsteuerlicher Bemessungsgrundlagen 2012</t>
        </is>
      </c>
      <c r="C38" s="159" t="n"/>
      <c r="E38" s="202" t="n"/>
      <c r="F38" s="183" t="n"/>
      <c r="G38" s="20" t="n"/>
      <c r="H38" s="193" t="n"/>
    </row>
    <row r="39" ht="15" customFormat="1" customHeight="1" s="15">
      <c r="B39" s="15" t="inlineStr">
        <is>
          <t>sowie zum körperschaftsteuerlichen und gewerbesteuerlichen</t>
        </is>
      </c>
      <c r="C39" s="159" t="n"/>
      <c r="E39" s="202" t="n"/>
      <c r="F39" s="183" t="n"/>
      <c r="G39" s="20" t="n"/>
      <c r="H39" s="193" t="n"/>
    </row>
    <row r="40" ht="15" customFormat="1" customHeight="1" s="15">
      <c r="B40" s="15" t="inlineStr">
        <is>
          <t>Verlustvortrag 2013 am 23.10.2014</t>
        </is>
      </c>
      <c r="C40" s="159" t="n"/>
      <c r="E40" s="202" t="n"/>
      <c r="F40" s="183" t="n"/>
      <c r="G40" s="20" t="n"/>
      <c r="H40" s="193" t="n"/>
    </row>
    <row r="41" ht="5.25" customFormat="1" customHeight="1" s="15">
      <c r="C41" s="159" t="n"/>
      <c r="E41" s="202" t="n"/>
      <c r="F41" s="183" t="n"/>
      <c r="G41" s="20" t="n"/>
      <c r="H41" s="193" t="n"/>
    </row>
    <row r="42" ht="15.75" customFormat="1" customHeight="1" s="15">
      <c r="A42" s="15" t="n">
        <v>16</v>
      </c>
      <c r="B42" s="15" t="inlineStr">
        <is>
          <t xml:space="preserve">Auslagenersatz für Post- und </t>
        </is>
      </c>
      <c r="C42" s="159" t="n"/>
      <c r="E42" s="202">
        <f>SUM(H21:H33)*0.15</f>
        <v/>
      </c>
      <c r="F42" s="159" t="n"/>
      <c r="G42" s="20" t="n">
        <v>0</v>
      </c>
      <c r="H42" s="193">
        <f>+G42/10*E42</f>
        <v/>
      </c>
    </row>
    <row r="43" ht="15.75" customFormat="1" customHeight="1" s="15">
      <c r="B43" s="15" t="inlineStr">
        <is>
          <t>Telekommunikation</t>
        </is>
      </c>
      <c r="E43" s="90" t="n"/>
      <c r="G43" s="20" t="n"/>
      <c r="H43" s="193" t="n"/>
    </row>
    <row r="44" ht="15" customFormat="1" customHeight="1" s="15">
      <c r="A44" s="28" t="inlineStr">
        <is>
          <t>*sofern nicht separat anders angegeben</t>
        </is>
      </c>
      <c r="B44" s="28" t="n"/>
      <c r="C44" s="28" t="n"/>
      <c r="D44" s="28" t="n"/>
      <c r="E44" s="29" t="inlineStr">
        <is>
          <t>Zwischensumme</t>
        </is>
      </c>
      <c r="F44" s="197" t="n"/>
      <c r="G44" s="31" t="n"/>
      <c r="H44" s="198">
        <f>SUM(H21:H43)</f>
        <v/>
      </c>
    </row>
    <row r="45" ht="15" customFormat="1" customHeight="1" s="15">
      <c r="A45" s="15" t="n"/>
      <c r="B45" s="15" t="n"/>
      <c r="C45" s="15" t="n"/>
      <c r="D45" s="15" t="n"/>
      <c r="E45" s="100" t="inlineStr">
        <is>
          <t>Umsatzsteuer 19%</t>
        </is>
      </c>
      <c r="F45" s="199" t="n"/>
      <c r="G45" s="35" t="n"/>
      <c r="H45" s="193">
        <f>+H44*0.19</f>
        <v/>
      </c>
    </row>
    <row r="46" customFormat="1" s="15" thickBot="1">
      <c r="A46" s="15" t="n"/>
      <c r="B46" s="15" t="n"/>
      <c r="C46" s="15" t="n"/>
      <c r="D46" s="15" t="n"/>
      <c r="E46" s="37" t="inlineStr">
        <is>
          <t>Rechnungsbetrag</t>
        </is>
      </c>
      <c r="F46" s="200" t="n"/>
      <c r="G46" s="39" t="n"/>
      <c r="H46" s="201">
        <f>SUM(H44:H45)</f>
        <v/>
      </c>
    </row>
    <row r="47" customFormat="1" s="15" thickTop="1">
      <c r="D47" s="90" t="n"/>
      <c r="E47" s="183" t="n"/>
      <c r="F47" s="10" t="n"/>
    </row>
    <row r="48" ht="15" customFormat="1" customHeight="1" s="15">
      <c r="D48" s="90" t="n"/>
      <c r="E48" s="183" t="n"/>
      <c r="F48" s="10" t="n"/>
    </row>
    <row r="49">
      <c r="B49" s="14" t="n"/>
    </row>
    <row r="51" ht="12.75" customFormat="1" customHeight="1" s="41"/>
    <row r="52">
      <c r="A52" s="147" t="inlineStr">
        <is>
          <t xml:space="preserve">Steuernummer: 012 801 35159       </t>
        </is>
      </c>
    </row>
  </sheetData>
  <mergeCells count="11">
    <mergeCell ref="F11:H11"/>
    <mergeCell ref="G7:H7"/>
    <mergeCell ref="E7:F7"/>
    <mergeCell ref="E10:F10"/>
    <mergeCell ref="G10:H10"/>
    <mergeCell ref="A52:H52"/>
    <mergeCell ref="A14:H14"/>
    <mergeCell ref="F12:H12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Tabelle3">
    <outlinePr summaryBelow="1" summaryRight="1"/>
    <pageSetUpPr/>
  </sheetPr>
  <dimension ref="A5:J51"/>
  <sheetViews>
    <sheetView workbookViewId="0">
      <selection activeCell="M44" sqref="M4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43171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10113-2018-001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 xml:space="preserve">BIC (SWIFT): 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717000</v>
      </c>
      <c r="F24" s="159" t="inlineStr">
        <is>
          <t>C</t>
        </is>
      </c>
      <c r="G24" s="183" t="n">
        <v>4</v>
      </c>
      <c r="H24" s="193">
        <f>G24/10*581</f>
        <v/>
      </c>
    </row>
    <row r="25" ht="15" customFormat="1" customHeight="1" s="15">
      <c r="B25" s="15" t="inlineStr">
        <is>
          <t>für 07/2017 am</t>
        </is>
      </c>
      <c r="C25" s="169" t="n">
        <v>42983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G27/10*581</f>
        <v/>
      </c>
    </row>
    <row r="28" ht="15" customFormat="1" customHeight="1" s="15">
      <c r="B28" s="15" t="inlineStr">
        <is>
          <t>für 08/2017 am</t>
        </is>
      </c>
      <c r="C28" s="169" t="n">
        <v>43013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G30/10*581</f>
        <v/>
      </c>
    </row>
    <row r="31" ht="15" customFormat="1" customHeight="1" s="15">
      <c r="B31" s="15" t="inlineStr">
        <is>
          <t>für 09/2017 am</t>
        </is>
      </c>
      <c r="C31" s="169" t="n">
        <v>43054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>Steuernummer: 012 801 35159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Tabelle4">
    <outlinePr summaryBelow="1" summaryRight="1"/>
    <pageSetUpPr/>
  </sheetPr>
  <dimension ref="A5:R60"/>
  <sheetViews>
    <sheetView workbookViewId="0">
      <selection activeCell="M44" sqref="M4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43172</v>
      </c>
      <c r="H7" s="187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L8" s="63" t="inlineStr">
        <is>
          <t>- LFZ-Anträge Mita</t>
        </is>
      </c>
      <c r="M8" s="59" t="n">
        <v>43034</v>
      </c>
      <c r="N8" s="60" t="n"/>
      <c r="O8" s="209" t="n">
        <v>80</v>
      </c>
      <c r="P8" s="58" t="inlineStr">
        <is>
          <t>Zeitgeb.</t>
        </is>
      </c>
      <c r="Q8" s="210" t="n">
        <v>0.5</v>
      </c>
      <c r="R8" s="211">
        <f>+Q8*O8</f>
        <v/>
      </c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10113-2018-002</t>
        </is>
      </c>
      <c r="H9" s="190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  <c r="K17" s="49" t="n"/>
      <c r="L17" s="49" t="n"/>
      <c r="M17" s="49" t="n"/>
      <c r="N17" s="49" t="n"/>
      <c r="O17" s="49" t="n"/>
      <c r="P17" s="49" t="n"/>
      <c r="Q17" s="49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10/2017 </t>
        </is>
      </c>
      <c r="D22" s="60" t="n"/>
    </row>
    <row r="23" ht="13.5" customFormat="1" customHeight="1" s="58">
      <c r="B23" s="63" t="inlineStr">
        <is>
          <t xml:space="preserve"> - Einrichten von Lohnkonten</t>
        </is>
      </c>
      <c r="C23" s="59" t="n">
        <v>43032</v>
      </c>
      <c r="D23" s="60" t="n"/>
      <c r="E23" s="212" t="n">
        <v>9</v>
      </c>
      <c r="G23" s="213" t="n">
        <v>1</v>
      </c>
      <c r="H23" s="211">
        <f>+G23*E23</f>
        <v/>
      </c>
    </row>
    <row r="24" ht="13.5" customFormat="1" customHeight="1" s="58">
      <c r="B24" s="58" t="inlineStr">
        <is>
          <t xml:space="preserve">   (Ante Cesljar)</t>
        </is>
      </c>
      <c r="C24" s="59" t="n"/>
      <c r="D24" s="60" t="n"/>
      <c r="E24" s="212" t="n"/>
      <c r="G24" s="213" t="n"/>
      <c r="H24" s="211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43034</v>
      </c>
      <c r="D26" s="60" t="n"/>
      <c r="E26" s="212" t="n">
        <v>15</v>
      </c>
      <c r="G26" s="213" t="n">
        <v>10</v>
      </c>
      <c r="H26" s="211">
        <f>+G26*E26</f>
        <v/>
      </c>
    </row>
    <row r="27" ht="5.2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11/2017 </t>
        </is>
      </c>
      <c r="D28" s="60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43062</v>
      </c>
      <c r="D30" s="60" t="n"/>
      <c r="E30" s="212" t="n">
        <v>15</v>
      </c>
      <c r="G30" s="213" t="n">
        <v>10</v>
      </c>
      <c r="H30" s="211">
        <f>+G30*E30</f>
        <v/>
      </c>
    </row>
    <row r="31" ht="5.2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12/2017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43088</v>
      </c>
      <c r="D34" s="60" t="n"/>
      <c r="E34" s="212" t="n">
        <v>15</v>
      </c>
      <c r="G34" s="213" t="n">
        <v>11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>
      <c r="A36" s="58" t="n">
        <v>34</v>
      </c>
      <c r="B36" s="58" t="inlineStr">
        <is>
          <t>Hilfeleistung bei sonstigen Tätigkeiten im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58" t="inlineStr">
        <is>
          <t>Zusammenhang mit dem Lohnsteuerabzug/der</t>
        </is>
      </c>
      <c r="C37" s="59" t="n"/>
      <c r="D37" s="60" t="n"/>
      <c r="E37" s="212" t="n"/>
      <c r="G37" s="213" t="n"/>
      <c r="H37" s="211" t="n"/>
    </row>
    <row r="38" ht="13.5" customFormat="1" customHeight="1" s="58">
      <c r="B38" s="58" t="inlineStr">
        <is>
          <t>Lohnbuchführung</t>
        </is>
      </c>
      <c r="C38" s="59" t="n"/>
      <c r="D38" s="60" t="n"/>
      <c r="E38" s="212" t="n"/>
      <c r="G38" s="213" t="n"/>
      <c r="H38" s="211" t="n"/>
    </row>
    <row r="39" ht="13.5" customFormat="1" customHeight="1" s="58">
      <c r="B39" s="63" t="inlineStr">
        <is>
          <t>- LFZ-Anträge Mita, Mario Perikic</t>
        </is>
      </c>
      <c r="C39" s="59">
        <f>+C30</f>
        <v/>
      </c>
      <c r="D39" s="60" t="n"/>
      <c r="E39" s="209" t="n">
        <v>80</v>
      </c>
      <c r="F39" s="58" t="inlineStr">
        <is>
          <t>Zeitgeb.</t>
        </is>
      </c>
      <c r="G39" s="210" t="n">
        <v>0.5</v>
      </c>
      <c r="H39" s="211">
        <f>+G39*E39</f>
        <v/>
      </c>
    </row>
    <row r="40" ht="5.25" customFormat="1" customHeight="1" s="58"/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IV/2017</t>
        </is>
      </c>
      <c r="D42" s="60" t="n"/>
      <c r="E42" s="211">
        <f>SUM(H22:H39)*0.2</f>
        <v/>
      </c>
      <c r="G42" s="211" t="n"/>
      <c r="H42" s="211">
        <f>SUM(G26:G34)*1.3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SUM(H22:H43)</f>
        <v/>
      </c>
      <c r="J44" s="211" t="n"/>
    </row>
    <row r="45" ht="13.5" customFormat="1" customHeight="1" s="58">
      <c r="E45" s="74" t="inlineStr">
        <is>
          <t>USt 19%</t>
        </is>
      </c>
      <c r="F45" s="71" t="n"/>
      <c r="G45" s="81" t="n"/>
      <c r="H45" s="211">
        <f>+H44*0.19</f>
        <v/>
      </c>
    </row>
    <row r="46" ht="14.25" customFormat="1" customHeight="1" s="58" thickBot="1">
      <c r="E46" s="75" t="inlineStr">
        <is>
          <t>Rechnungsendbetrag</t>
        </is>
      </c>
      <c r="F46" s="76" t="n"/>
      <c r="G46" s="77" t="n"/>
      <c r="H46" s="216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D51" s="90" t="n"/>
      <c r="E51" s="183" t="n"/>
      <c r="F51" s="90" t="n"/>
      <c r="G51" s="10" t="n"/>
    </row>
    <row r="52" ht="15" customFormat="1" customHeight="1" s="15">
      <c r="B52" s="21" t="n"/>
      <c r="D52" s="90" t="n"/>
      <c r="E52" s="183" t="n"/>
      <c r="F52" s="90" t="n"/>
      <c r="G52" s="10" t="n"/>
    </row>
    <row r="54" ht="6.75" customHeight="1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/>
    <row r="60">
      <c r="D60" s="6" t="n"/>
      <c r="E60" s="6" t="n"/>
      <c r="F60" s="6" t="n"/>
    </row>
  </sheetData>
  <mergeCells count="10">
    <mergeCell ref="F10:H10"/>
    <mergeCell ref="F11:H11"/>
    <mergeCell ref="A55:H55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Tabelle5">
    <outlinePr summaryBelow="1" summaryRight="1"/>
    <pageSetUpPr/>
  </sheetPr>
  <dimension ref="A5:J51"/>
  <sheetViews>
    <sheetView workbookViewId="0">
      <selection activeCell="B24" sqref="B24:D3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43172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10113-2018-003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717000</v>
      </c>
      <c r="F24" s="159" t="inlineStr">
        <is>
          <t>C</t>
        </is>
      </c>
      <c r="G24" s="183" t="n">
        <v>4</v>
      </c>
      <c r="H24" s="193">
        <f>G24/10*581</f>
        <v/>
      </c>
    </row>
    <row r="25" ht="15" customFormat="1" customHeight="1" s="15">
      <c r="B25" s="15" t="inlineStr">
        <is>
          <t>für 10/2017 am</t>
        </is>
      </c>
      <c r="C25" s="169" t="n">
        <v>43076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G27/10*581</f>
        <v/>
      </c>
    </row>
    <row r="28" ht="15" customFormat="1" customHeight="1" s="15">
      <c r="B28" s="15" t="inlineStr">
        <is>
          <t>für 11/2017 am</t>
        </is>
      </c>
      <c r="C28" s="169" t="n">
        <v>43083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G30/10*581</f>
        <v/>
      </c>
    </row>
    <row r="31" ht="15" customFormat="1" customHeight="1" s="15">
      <c r="B31" s="15" t="inlineStr">
        <is>
          <t>für 12/2017 am</t>
        </is>
      </c>
      <c r="C31" s="169" t="n">
        <v>43143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Tabelle6">
    <outlinePr summaryBelow="1" summaryRight="1"/>
    <pageSetUpPr/>
  </sheetPr>
  <dimension ref="A5:R59"/>
  <sheetViews>
    <sheetView workbookViewId="0">
      <selection activeCell="N47" sqref="N47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43264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10113-2018-004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01/2018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43124</v>
      </c>
      <c r="D24" s="60" t="n"/>
      <c r="E24" s="212" t="n">
        <v>15</v>
      </c>
      <c r="G24" s="213" t="n">
        <v>9</v>
      </c>
      <c r="H24" s="211">
        <f>+G24*E24</f>
        <v/>
      </c>
      <c r="J24" s="58" t="inlineStr">
        <is>
          <t>X AN</t>
        </is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02/2018 </t>
        </is>
      </c>
      <c r="D26" s="60" t="n"/>
    </row>
    <row r="27" ht="13.5" customFormat="1" customHeight="1" s="58">
      <c r="B27" s="63" t="inlineStr">
        <is>
          <t xml:space="preserve"> - Lohnabrechnungen inkl. </t>
        </is>
      </c>
      <c r="C27" s="59" t="n"/>
      <c r="D27" s="60" t="n"/>
    </row>
    <row r="28" ht="13.5" customFormat="1" customHeight="1" s="58">
      <c r="B28" s="58" t="inlineStr">
        <is>
          <t xml:space="preserve">   Sozialvers.-meldungen</t>
        </is>
      </c>
      <c r="C28" s="59" t="n">
        <v>43153</v>
      </c>
      <c r="D28" s="60" t="n"/>
      <c r="E28" s="212" t="n">
        <v>15</v>
      </c>
      <c r="G28" s="213" t="n">
        <v>9</v>
      </c>
      <c r="H28" s="211">
        <f>+G28*E28</f>
        <v/>
      </c>
      <c r="J28" s="58" t="inlineStr">
        <is>
          <t>x</t>
        </is>
      </c>
    </row>
    <row r="29" ht="5.25" customFormat="1" customHeight="1" s="58">
      <c r="C29" s="59" t="n"/>
      <c r="D29" s="60" t="n"/>
      <c r="E29" s="212" t="n"/>
      <c r="G29" s="213" t="n"/>
      <c r="H29" s="211" t="n"/>
    </row>
    <row r="30" ht="13.5" customFormat="1" customHeight="1" s="58">
      <c r="A30" s="58" t="n">
        <v>34</v>
      </c>
      <c r="B30" s="58" t="inlineStr">
        <is>
          <t xml:space="preserve">Löhne/Gehälter 03/2018 </t>
        </is>
      </c>
      <c r="D30" s="60" t="n"/>
    </row>
    <row r="31" ht="13.5" customFormat="1" customHeight="1" s="58">
      <c r="B31" s="63" t="inlineStr">
        <is>
          <t xml:space="preserve"> - Einrichten von Lohnkonten</t>
        </is>
      </c>
      <c r="C31" s="59">
        <f>+C28</f>
        <v/>
      </c>
      <c r="D31" s="60" t="n"/>
      <c r="E31" s="212" t="n">
        <v>9</v>
      </c>
      <c r="G31" s="213" t="n">
        <v>1</v>
      </c>
      <c r="H31" s="211">
        <f>+G31*E31</f>
        <v/>
      </c>
      <c r="J31" s="58" t="inlineStr">
        <is>
          <t>x</t>
        </is>
      </c>
    </row>
    <row r="32" ht="13.5" customFormat="1" customHeight="1" s="58">
      <c r="B32" s="58" t="inlineStr">
        <is>
          <t xml:space="preserve">   (Marko Skupnjak)</t>
        </is>
      </c>
      <c r="C32" s="59" t="n"/>
      <c r="D32" s="60" t="n"/>
      <c r="E32" s="212" t="n"/>
      <c r="G32" s="213" t="n"/>
      <c r="H32" s="211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43185</v>
      </c>
      <c r="D34" s="60" t="n"/>
      <c r="E34" s="212" t="n">
        <v>15</v>
      </c>
      <c r="G34" s="213" t="n">
        <v>10</v>
      </c>
      <c r="H34" s="211">
        <f>+G34*E34</f>
        <v/>
      </c>
      <c r="J34" s="58" t="inlineStr">
        <is>
          <t>x</t>
        </is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/>
    <row r="37" ht="13.5" customFormat="1" customHeight="1" s="58"/>
    <row r="38" ht="13.5" customFormat="1" customHeight="1" s="58"/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I/2018</t>
        </is>
      </c>
      <c r="D41" s="60" t="n"/>
      <c r="E41" s="211">
        <f>SUM(H22:H37)*0.2</f>
        <v/>
      </c>
      <c r="G41" s="211" t="n"/>
      <c r="H41" s="211">
        <f>SUM(G24:G34)*1.3-1.3</f>
        <v/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B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5" customFormat="1" customHeight="1" s="15">
      <c r="D49" s="90" t="n"/>
      <c r="E49" s="183" t="n"/>
      <c r="F49" s="90" t="n"/>
      <c r="G49" s="10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Tabelle7">
    <outlinePr summaryBelow="1" summaryRight="1"/>
    <pageSetUpPr/>
  </sheetPr>
  <dimension ref="A5:J51"/>
  <sheetViews>
    <sheetView workbookViewId="0">
      <selection activeCell="E24" sqref="E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43264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10113-2018-005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1024760</v>
      </c>
      <c r="F24" s="159" t="inlineStr">
        <is>
          <t>C</t>
        </is>
      </c>
      <c r="G24" s="183" t="n">
        <v>2.5</v>
      </c>
      <c r="H24" s="193">
        <f>G24/10*761</f>
        <v/>
      </c>
    </row>
    <row r="25" ht="15" customFormat="1" customHeight="1" s="15">
      <c r="B25" s="15" t="inlineStr">
        <is>
          <t>für 01/2018 am</t>
        </is>
      </c>
      <c r="C25" s="169" t="n">
        <v>43167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G27/10*761</f>
        <v/>
      </c>
    </row>
    <row r="28" ht="15" customFormat="1" customHeight="1" s="15">
      <c r="B28" s="15" t="inlineStr">
        <is>
          <t>für 02/2018 am</t>
        </is>
      </c>
      <c r="C28" s="169" t="n">
        <v>43195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G30/10*761</f>
        <v/>
      </c>
    </row>
    <row r="31" ht="15" customFormat="1" customHeight="1" s="15">
      <c r="B31" s="15" t="inlineStr">
        <is>
          <t>für 03/2018 am</t>
        </is>
      </c>
      <c r="C31" s="169" t="n">
        <v>43227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Tabelle8">
    <outlinePr summaryBelow="1" summaryRight="1"/>
    <pageSetUpPr/>
  </sheetPr>
  <dimension ref="A5:R60"/>
  <sheetViews>
    <sheetView workbookViewId="0">
      <selection activeCell="A22" sqref="A22:IV23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43326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10113-2018-006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14.25" customFormat="1" customHeight="1" s="49">
      <c r="A14" s="170" t="inlineStr">
        <is>
          <t xml:space="preserve">Rechnung über Honorare </t>
        </is>
      </c>
    </row>
    <row r="15" ht="14.25" customFormat="1" customHeight="1" s="49">
      <c r="A15" s="170" t="n"/>
      <c r="B15" s="170" t="n"/>
      <c r="C15" s="170" t="n"/>
      <c r="D15" s="170" t="n"/>
      <c r="E15" s="170" t="n"/>
      <c r="F15" s="170" t="n"/>
      <c r="G15" s="170" t="n"/>
      <c r="H15" s="170" t="n"/>
    </row>
    <row r="16" ht="15" customFormat="1" customHeight="1" s="140">
      <c r="A16" s="140" t="inlineStr">
        <is>
          <t xml:space="preserve">Für die nachfolgend aufgeführten Leistungen erlaube ich mir nach der Steuerberatervergütungs- </t>
        </is>
      </c>
      <c r="B16" s="43" t="n"/>
      <c r="D16" s="52" t="n"/>
      <c r="E16" s="53" t="n"/>
      <c r="F16" s="47" t="n"/>
    </row>
    <row r="17" ht="15" customFormat="1" customHeight="1" s="140">
      <c r="A17" s="140" t="inlineStr">
        <is>
          <t>verordnung wie folgt abzurechnen:</t>
        </is>
      </c>
      <c r="B17" s="43" t="n"/>
      <c r="D17" s="52" t="n"/>
      <c r="E17" s="53" t="n"/>
      <c r="F17" s="47" t="n"/>
    </row>
    <row r="18" ht="4.5" customFormat="1" customHeight="1" s="140">
      <c r="D18" s="52" t="n"/>
      <c r="E18" s="52" t="n"/>
      <c r="F18" s="53" t="n"/>
      <c r="G18" s="52" t="n"/>
    </row>
    <row r="19" ht="15" customFormat="1" customHeight="1" s="140">
      <c r="A19" s="50" t="inlineStr">
        <is>
          <t>Leistung</t>
        </is>
      </c>
      <c r="B19" s="51" t="n"/>
      <c r="C19" s="50" t="n"/>
      <c r="D19" s="52" t="n"/>
      <c r="E19" s="52" t="inlineStr">
        <is>
          <t>Gegenstands-</t>
        </is>
      </c>
      <c r="F19" s="53" t="inlineStr">
        <is>
          <t>Tabelle</t>
        </is>
      </c>
      <c r="G19" s="52" t="inlineStr">
        <is>
          <t>Arbeit-</t>
        </is>
      </c>
      <c r="H19" s="53" t="inlineStr">
        <is>
          <t>Gebühr</t>
        </is>
      </c>
    </row>
    <row r="20" ht="15" customFormat="1" customHeight="1" s="140">
      <c r="A20" s="54" t="inlineStr">
        <is>
          <t>§§</t>
        </is>
      </c>
      <c r="B20" s="54" t="n"/>
      <c r="C20" s="181" t="inlineStr">
        <is>
          <t>am/in:</t>
        </is>
      </c>
      <c r="D20" s="55" t="n"/>
      <c r="E20" s="56" t="inlineStr">
        <is>
          <t>wert</t>
        </is>
      </c>
      <c r="F20" s="56" t="n"/>
      <c r="G20" s="57" t="inlineStr">
        <is>
          <t>nehmer</t>
        </is>
      </c>
      <c r="H20" s="181" t="n"/>
    </row>
    <row r="21" ht="13.5" customFormat="1" customHeight="1" s="58">
      <c r="A21" s="58" t="n">
        <v>34</v>
      </c>
      <c r="B21" s="58" t="inlineStr">
        <is>
          <t xml:space="preserve">Löhne/Gehälter 04/2018 </t>
        </is>
      </c>
      <c r="D21" s="60" t="n"/>
    </row>
    <row r="22" ht="13.5" customFormat="1" customHeight="1" s="58">
      <c r="B22" s="63" t="inlineStr">
        <is>
          <t xml:space="preserve"> - Einrichten von Lohnkonten</t>
        </is>
      </c>
      <c r="C22" s="59" t="n">
        <v>43209</v>
      </c>
      <c r="D22" s="60" t="n"/>
      <c r="E22" s="212" t="n">
        <v>9</v>
      </c>
      <c r="G22" s="213" t="n">
        <v>1</v>
      </c>
      <c r="H22" s="211">
        <f>+G22*E22</f>
        <v/>
      </c>
    </row>
    <row r="23" ht="13.5" customFormat="1" customHeight="1" s="58">
      <c r="B23" s="58" t="inlineStr">
        <is>
          <t xml:space="preserve">   (Zlatko Stjepanovic)</t>
        </is>
      </c>
      <c r="C23" s="59" t="n"/>
      <c r="D23" s="60" t="n"/>
      <c r="E23" s="212" t="n"/>
      <c r="G23" s="213" t="n"/>
      <c r="H23" s="211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43124</v>
      </c>
      <c r="D25" s="60" t="n"/>
      <c r="E25" s="212" t="n">
        <v>15</v>
      </c>
      <c r="G25" s="213" t="n">
        <v>11</v>
      </c>
      <c r="H25" s="211">
        <f>+G25*E25</f>
        <v/>
      </c>
    </row>
    <row r="26" ht="5.2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05/2018 </t>
        </is>
      </c>
      <c r="D27" s="60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43243</v>
      </c>
      <c r="D29" s="60" t="n"/>
      <c r="E29" s="212" t="n">
        <v>15</v>
      </c>
      <c r="G29" s="213" t="n">
        <v>11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06/2018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43273</v>
      </c>
      <c r="D33" s="60" t="n"/>
      <c r="E33" s="212" t="n">
        <v>15</v>
      </c>
      <c r="G33" s="213" t="n">
        <v>11</v>
      </c>
      <c r="H33" s="211">
        <f>+G33*E33</f>
        <v/>
      </c>
    </row>
    <row r="34" ht="5.2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1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>- LFZ-Anträge Chmielowski</t>
        </is>
      </c>
      <c r="C37" s="59" t="n">
        <v>43209</v>
      </c>
      <c r="D37" s="60" t="n"/>
    </row>
    <row r="38" ht="13.5" customFormat="1" customHeight="1" s="58">
      <c r="B38" s="63" t="inlineStr">
        <is>
          <t>- LFZ-Anträge Mita, Chmielowski</t>
        </is>
      </c>
      <c r="C38" s="59" t="n">
        <v>43243</v>
      </c>
      <c r="D38" s="60" t="n"/>
      <c r="E38" s="209" t="n"/>
      <c r="G38" s="210" t="n"/>
      <c r="H38" s="211" t="n"/>
    </row>
    <row r="39" ht="13.5" customFormat="1" customHeight="1" s="58">
      <c r="B39" s="63" t="inlineStr">
        <is>
          <t>- LFZ-Anträge Mario P.</t>
        </is>
      </c>
      <c r="C39" s="59" t="n">
        <v>43273</v>
      </c>
      <c r="D39" s="60" t="n"/>
      <c r="E39" s="209" t="n"/>
      <c r="G39" s="210" t="n"/>
      <c r="H39" s="211" t="n"/>
    </row>
    <row r="40" ht="13.5" customFormat="1" customHeight="1" s="58">
      <c r="B40" s="63" t="inlineStr">
        <is>
          <t>- Unfallmeldung BG Mario P.</t>
        </is>
      </c>
      <c r="C40" s="59" t="n">
        <v>43216</v>
      </c>
      <c r="D40" s="60" t="n"/>
      <c r="E40" s="209" t="n"/>
      <c r="G40" s="210" t="n"/>
      <c r="H40" s="211" t="n"/>
    </row>
    <row r="41" ht="5.25" customFormat="1" customHeight="1" s="58"/>
    <row r="42" ht="13.5" customFormat="1" customHeight="1" s="58">
      <c r="A42" s="58" t="n">
        <v>16</v>
      </c>
      <c r="B42" s="58" t="inlineStr">
        <is>
          <t xml:space="preserve">Auslagenersatz für Post- und </t>
        </is>
      </c>
      <c r="C42" s="59" t="n"/>
      <c r="D42" s="60" t="n"/>
      <c r="E42" s="212" t="n"/>
      <c r="G42" s="213" t="n"/>
      <c r="H42" s="211" t="n"/>
    </row>
    <row r="43" ht="13.5" customFormat="1" customHeight="1" s="58">
      <c r="B43" s="58" t="inlineStr">
        <is>
          <t>Telekommunikation</t>
        </is>
      </c>
      <c r="C43" s="59" t="inlineStr">
        <is>
          <t>II/2018</t>
        </is>
      </c>
      <c r="D43" s="60" t="n"/>
      <c r="E43" s="211">
        <f>SUM(H21:H34)*0.2</f>
        <v/>
      </c>
      <c r="G43" s="211" t="n"/>
      <c r="H43" s="211">
        <f>SUM(G25:G33)*1.3</f>
        <v/>
      </c>
    </row>
    <row r="44" ht="6.75" customFormat="1" customHeight="1" s="58">
      <c r="C44" s="60" t="n"/>
      <c r="D44" s="60" t="n"/>
      <c r="E44" s="214" t="n"/>
      <c r="F44" s="68" t="n"/>
      <c r="G44" s="69" t="n"/>
      <c r="H44" s="215" t="n"/>
    </row>
    <row r="45" ht="13.5" customFormat="1" customHeight="1" s="58">
      <c r="A45" s="71" t="n"/>
      <c r="B45" s="71" t="n"/>
      <c r="E45" s="58" t="inlineStr">
        <is>
          <t>Gesamt</t>
        </is>
      </c>
      <c r="F45" s="71" t="n"/>
      <c r="G45" s="81" t="n"/>
      <c r="H45" s="211">
        <f>SUM(H21:H44)</f>
        <v/>
      </c>
      <c r="J45" s="211" t="n"/>
    </row>
    <row r="46" ht="13.5" customFormat="1" customHeight="1" s="58">
      <c r="E46" s="74" t="inlineStr">
        <is>
          <t>USt 19%</t>
        </is>
      </c>
      <c r="F46" s="71" t="n"/>
      <c r="G46" s="81" t="n"/>
      <c r="H46" s="211">
        <f>+H45*0.19</f>
        <v/>
      </c>
    </row>
    <row r="47" ht="14.25" customFormat="1" customHeight="1" s="58" thickBot="1">
      <c r="E47" s="75" t="inlineStr">
        <is>
          <t>Rechnungsendbetrag</t>
        </is>
      </c>
      <c r="F47" s="76" t="n"/>
      <c r="G47" s="77" t="n"/>
      <c r="H47" s="216">
        <f>SUM(H45:H46)</f>
        <v/>
      </c>
      <c r="J47" s="211" t="n"/>
    </row>
    <row r="48" ht="5.25" customFormat="1" customHeight="1" s="58" thickTop="1">
      <c r="E48" s="79" t="n"/>
      <c r="F48" s="80" t="n"/>
      <c r="G48" s="81" t="n"/>
      <c r="H48" s="211" t="n"/>
      <c r="J48" s="211" t="n"/>
    </row>
    <row r="49" ht="15" customFormat="1" customHeight="1" s="58">
      <c r="A49" s="15" t="inlineStr">
        <is>
          <t>Bitte überweisen Sie den Betrag ohne Abzüge innerhalb von 14 Tagen auf das angegebene Konto.</t>
        </is>
      </c>
      <c r="B49" s="71" t="n"/>
      <c r="D49" s="81" t="n"/>
      <c r="E49" s="80" t="n"/>
      <c r="F49" s="62" t="n"/>
    </row>
    <row r="50" ht="13.5" customFormat="1" customHeight="1" s="58">
      <c r="D50" s="81" t="n"/>
      <c r="E50" s="80" t="n"/>
      <c r="F50" s="62" t="n"/>
    </row>
    <row r="51" ht="15" customFormat="1" customHeight="1" s="15">
      <c r="D51" s="90" t="n"/>
      <c r="E51" s="183" t="n"/>
      <c r="F51" s="90" t="n"/>
      <c r="G51" s="10" t="n"/>
    </row>
    <row r="52" ht="15" customFormat="1" customHeight="1" s="15">
      <c r="B52" s="21" t="n"/>
      <c r="D52" s="90" t="n"/>
      <c r="E52" s="183" t="n"/>
      <c r="F52" s="90" t="n"/>
      <c r="G52" s="10" t="n"/>
    </row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G7:H7"/>
    <mergeCell ref="E7:F7"/>
    <mergeCell ref="A14:H1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Tabelle9">
    <outlinePr summaryBelow="1" summaryRight="1"/>
    <pageSetUpPr/>
  </sheetPr>
  <dimension ref="A5:J51"/>
  <sheetViews>
    <sheetView workbookViewId="0">
      <selection activeCell="H34" sqref="H3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43326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10113-2018-007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1024760</v>
      </c>
      <c r="F24" s="159" t="inlineStr">
        <is>
          <t>C</t>
        </is>
      </c>
      <c r="G24" s="183" t="n">
        <v>2.5</v>
      </c>
      <c r="H24" s="193">
        <f>G24/10*761</f>
        <v/>
      </c>
    </row>
    <row r="25" ht="15" customFormat="1" customHeight="1" s="15">
      <c r="B25" s="15" t="inlineStr">
        <is>
          <t>für 04/2018 am</t>
        </is>
      </c>
      <c r="C25" s="169" t="n">
        <v>43242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G27/10*761</f>
        <v/>
      </c>
    </row>
    <row r="28" ht="15" customFormat="1" customHeight="1" s="15">
      <c r="B28" s="15" t="inlineStr">
        <is>
          <t>für 05/2018 am</t>
        </is>
      </c>
      <c r="C28" s="169" t="n">
        <v>43286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G30/10*761</f>
        <v/>
      </c>
    </row>
    <row r="31" ht="15" customFormat="1" customHeight="1" s="15">
      <c r="B31" s="15" t="inlineStr">
        <is>
          <t>für 06/2018 am</t>
        </is>
      </c>
      <c r="C31" s="169" t="n">
        <v>42948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Tabelle10">
    <outlinePr summaryBelow="1" summaryRight="1"/>
    <pageSetUpPr/>
  </sheetPr>
  <dimension ref="A5:O52"/>
  <sheetViews>
    <sheetView workbookViewId="0">
      <selection activeCell="A16" sqref="A16:IV16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43427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10113-2018-009</t>
        </is>
      </c>
      <c r="H9" s="188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</f>
        <v/>
      </c>
      <c r="H10" s="190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</row>
    <row r="15" ht="14.25" customFormat="1" customHeight="1" s="12">
      <c r="A15" s="152" t="inlineStr">
        <is>
          <t xml:space="preserve">Rechnung über Honorare </t>
        </is>
      </c>
    </row>
    <row r="16" ht="14.25" customFormat="1" customHeight="1" s="12">
      <c r="A16" s="152" t="n"/>
      <c r="B16" s="152" t="n"/>
      <c r="C16" s="152" t="n"/>
      <c r="D16" s="152" t="n"/>
      <c r="E16" s="152" t="n"/>
      <c r="F16" s="152" t="n"/>
      <c r="G16" s="152" t="n"/>
      <c r="H16" s="152" t="n"/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5" customFormat="1" customHeight="1" s="15">
      <c r="A18" s="15" t="inlineStr">
        <is>
          <t xml:space="preserve">Für die nachfolgend aufgeführten Leistungen erlaube ich mir nach der Steuerberatervergütungs- </t>
        </is>
      </c>
      <c r="B18" s="13" t="n"/>
      <c r="D18" s="90" t="n"/>
      <c r="E18" s="183" t="n"/>
      <c r="F18" s="90" t="n"/>
      <c r="G18" s="18" t="n"/>
    </row>
    <row r="19" ht="15" customFormat="1" customHeight="1" s="15">
      <c r="A19" s="15" t="inlineStr">
        <is>
          <t>verordnung wie folgt abzurechnen:</t>
        </is>
      </c>
      <c r="B19" s="13" t="n"/>
      <c r="D19" s="90" t="n"/>
      <c r="E19" s="183" t="n"/>
      <c r="F19" s="90" t="n"/>
      <c r="G19" s="18" t="n"/>
    </row>
    <row r="20" ht="9" customFormat="1" customHeight="1" s="15">
      <c r="D20" s="90" t="n"/>
      <c r="E20" s="183" t="n"/>
      <c r="F20" s="10" t="n"/>
      <c r="G20" s="18" t="n"/>
      <c r="J20" s="202" t="n"/>
      <c r="K20" s="202" t="n"/>
      <c r="L20" s="202" t="n"/>
      <c r="M20" s="202" t="n"/>
      <c r="N20" s="202" t="n"/>
      <c r="O20" s="202" t="n"/>
    </row>
    <row r="21" ht="15" customFormat="1" customHeight="1" s="15">
      <c r="A21" s="17" t="inlineStr">
        <is>
          <t>Leistung</t>
        </is>
      </c>
      <c r="B21" s="19" t="n"/>
      <c r="C21" s="17" t="n"/>
      <c r="D21" s="90" t="n"/>
      <c r="E21" s="90" t="inlineStr">
        <is>
          <t>Gegenstands-</t>
        </is>
      </c>
      <c r="F21" s="183" t="inlineStr">
        <is>
          <t>Tabelle</t>
        </is>
      </c>
      <c r="G21" s="20" t="inlineStr">
        <is>
          <t>Geb.-</t>
        </is>
      </c>
      <c r="H21" s="183" t="inlineStr">
        <is>
          <t>Gebühr</t>
        </is>
      </c>
      <c r="J21" s="202" t="n"/>
      <c r="K21" s="202" t="n"/>
      <c r="L21" s="202" t="n"/>
      <c r="M21" s="202" t="n"/>
      <c r="N21" s="202" t="n"/>
      <c r="O21" s="202" t="n"/>
    </row>
    <row r="22" ht="15" customFormat="1" customHeight="1" s="15">
      <c r="A22" s="21" t="inlineStr">
        <is>
          <t>§§</t>
        </is>
      </c>
      <c r="B22" s="21" t="n"/>
      <c r="C22" s="21" t="n"/>
      <c r="D22" s="22" t="n"/>
      <c r="E22" s="22" t="inlineStr">
        <is>
          <t xml:space="preserve"> wert</t>
        </is>
      </c>
      <c r="F22" s="150" t="n"/>
      <c r="G22" s="24" t="inlineStr">
        <is>
          <t>satz</t>
        </is>
      </c>
      <c r="H22" s="25" t="n"/>
      <c r="J22" s="202" t="n"/>
      <c r="K22" s="202" t="n"/>
      <c r="L22" s="202" t="n"/>
      <c r="M22" s="202" t="n"/>
      <c r="N22" s="202" t="n"/>
      <c r="O22" s="202" t="n"/>
    </row>
    <row r="23" ht="16.5" customFormat="1" customHeight="1" s="15">
      <c r="A23" s="15" t="n">
        <v>35</v>
      </c>
      <c r="B23" s="15" t="inlineStr">
        <is>
          <t>Jahresabschluß</t>
        </is>
      </c>
      <c r="C23" s="159" t="n">
        <v>2017</v>
      </c>
      <c r="E23" s="202">
        <f>+(J23+K23)/2</f>
        <v/>
      </c>
      <c r="F23" s="183" t="inlineStr">
        <is>
          <t>B</t>
        </is>
      </c>
      <c r="G23" s="20" t="n">
        <v>24</v>
      </c>
      <c r="H23" s="193">
        <f>G23/10*734</f>
        <v/>
      </c>
      <c r="J23" s="202" t="n">
        <v>303024.8</v>
      </c>
      <c r="K23" s="202">
        <f>701654.76+7326.77</f>
        <v/>
      </c>
      <c r="L23" s="202" t="n"/>
      <c r="M23" s="202" t="n"/>
      <c r="N23" s="202" t="n"/>
      <c r="O23" s="202" t="n"/>
    </row>
    <row r="24" ht="5.25" customFormat="1" customHeight="1" s="15">
      <c r="C24" s="159" t="n"/>
      <c r="E24" s="202" t="n"/>
      <c r="F24" s="183" t="n"/>
      <c r="G24" s="20" t="n"/>
      <c r="H24" s="193" t="n"/>
      <c r="J24" s="202" t="n"/>
      <c r="K24" s="202" t="n"/>
      <c r="L24" s="202" t="n"/>
      <c r="M24" s="202" t="n"/>
      <c r="N24" s="202" t="n"/>
      <c r="O24" s="202" t="n"/>
    </row>
    <row r="25" ht="16.5" customFormat="1" customHeight="1" s="15">
      <c r="A25" s="15" t="n">
        <v>35</v>
      </c>
      <c r="B25" s="15" t="inlineStr">
        <is>
          <t>Steuerbilanz und -GuV</t>
        </is>
      </c>
      <c r="C25" s="159">
        <f>+C23</f>
        <v/>
      </c>
      <c r="E25" s="202">
        <f>+(J25+K25)/2</f>
        <v/>
      </c>
      <c r="F25" s="183" t="inlineStr">
        <is>
          <t>B</t>
        </is>
      </c>
      <c r="G25" s="20" t="n">
        <v>7.5</v>
      </c>
      <c r="H25" s="193">
        <f>G25/10*734</f>
        <v/>
      </c>
      <c r="J25" s="202" t="n">
        <v>283688.8</v>
      </c>
      <c r="K25" s="202">
        <f>701654.76+15219.77</f>
        <v/>
      </c>
      <c r="L25" s="202" t="n"/>
      <c r="M25" s="202" t="n"/>
      <c r="N25" s="202" t="n"/>
      <c r="O25" s="202" t="n"/>
    </row>
    <row r="26" ht="5.25" customFormat="1" customHeight="1" s="15">
      <c r="C26" s="159" t="n"/>
      <c r="E26" s="202" t="n"/>
      <c r="F26" s="183" t="n"/>
      <c r="G26" s="20" t="n"/>
      <c r="H26" s="193" t="n"/>
      <c r="J26" s="202" t="n"/>
      <c r="K26" s="202" t="n"/>
      <c r="L26" s="202" t="n"/>
      <c r="M26" s="202" t="n"/>
      <c r="N26" s="202" t="n"/>
      <c r="O26" s="202" t="n"/>
    </row>
    <row r="27" ht="15" customFormat="1" customHeight="1" s="15">
      <c r="A27" s="15" t="n">
        <v>24</v>
      </c>
      <c r="B27" s="15" t="inlineStr">
        <is>
          <t>Umsatzsteuerjahreserklärung</t>
        </is>
      </c>
      <c r="C27" s="159">
        <f>+C25</f>
        <v/>
      </c>
      <c r="E27" s="202">
        <f>+(708154+96026+4323)/10</f>
        <v/>
      </c>
      <c r="F27" s="183" t="inlineStr">
        <is>
          <t>A</t>
        </is>
      </c>
      <c r="G27" s="20" t="n">
        <v>2</v>
      </c>
      <c r="H27" s="193">
        <f>G27/10*1341</f>
        <v/>
      </c>
      <c r="J27" s="202" t="n"/>
      <c r="K27" s="202" t="n"/>
      <c r="L27" s="202" t="n"/>
      <c r="M27" s="202" t="n"/>
      <c r="N27" s="202" t="n"/>
      <c r="O27" s="202" t="n"/>
    </row>
    <row r="28" ht="5.25" customFormat="1" customHeight="1" s="15">
      <c r="C28" s="159" t="n"/>
      <c r="E28" s="202" t="n"/>
      <c r="F28" s="183" t="n"/>
      <c r="G28" s="20" t="n"/>
      <c r="H28" s="193" t="n"/>
      <c r="J28" s="202" t="n"/>
      <c r="K28" s="202" t="n"/>
      <c r="L28" s="202" t="n"/>
      <c r="M28" s="202" t="n"/>
      <c r="N28" s="202" t="n"/>
      <c r="O28" s="202" t="n"/>
    </row>
    <row r="29" ht="15" customFormat="1" customHeight="1" s="15">
      <c r="A29" s="15" t="n">
        <v>24</v>
      </c>
      <c r="B29" s="15" t="inlineStr">
        <is>
          <t>Gewerbesteuererklärung nach dem Gewerbe-</t>
        </is>
      </c>
      <c r="C29" s="159" t="n"/>
      <c r="E29" s="202" t="n">
        <v>8000</v>
      </c>
      <c r="F29" s="183" t="inlineStr">
        <is>
          <t>A</t>
        </is>
      </c>
      <c r="G29" s="20" t="n">
        <v>2</v>
      </c>
      <c r="H29" s="193">
        <f>G29/10*443</f>
        <v/>
      </c>
      <c r="J29" s="202" t="n"/>
      <c r="K29" s="202" t="n"/>
      <c r="L29" s="202" t="n"/>
      <c r="M29" s="202" t="n"/>
      <c r="N29" s="202" t="n"/>
      <c r="O29" s="202" t="n"/>
    </row>
    <row r="30" ht="15" customFormat="1" customHeight="1" s="15">
      <c r="B30" s="15" t="inlineStr">
        <is>
          <t xml:space="preserve">ertrag für </t>
        </is>
      </c>
      <c r="C30" s="159">
        <f>+C23</f>
        <v/>
      </c>
      <c r="E30" s="202" t="n"/>
      <c r="F30" s="183" t="n"/>
      <c r="G30" s="20" t="n"/>
      <c r="H30" s="193" t="n"/>
      <c r="J30" s="202" t="n"/>
      <c r="K30" s="202" t="n"/>
      <c r="L30" s="202" t="n"/>
      <c r="M30" s="202" t="n"/>
      <c r="N30" s="202" t="n"/>
      <c r="O30" s="202" t="n"/>
    </row>
    <row r="31" ht="5.25" customFormat="1" customHeight="1" s="15">
      <c r="C31" s="159" t="n"/>
      <c r="E31" s="202" t="n"/>
      <c r="F31" s="183" t="n"/>
      <c r="G31" s="20" t="n"/>
      <c r="H31" s="193" t="n"/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A32" s="15" t="n">
        <v>24</v>
      </c>
      <c r="B32" s="15" t="inlineStr">
        <is>
          <t xml:space="preserve">Körperschaftsteuererklärung für </t>
        </is>
      </c>
      <c r="C32" s="159">
        <f>+C30</f>
        <v/>
      </c>
      <c r="E32" s="202" t="n">
        <v>16000</v>
      </c>
      <c r="F32" s="183" t="inlineStr">
        <is>
          <t>A</t>
        </is>
      </c>
      <c r="G32" s="20" t="n">
        <v>2</v>
      </c>
      <c r="H32" s="193">
        <f>G32/10*594</f>
        <v/>
      </c>
      <c r="J32" s="202" t="n"/>
      <c r="K32" s="202" t="n"/>
      <c r="L32" s="202" t="n"/>
      <c r="M32" s="202" t="n"/>
      <c r="N32" s="202" t="n"/>
      <c r="O32" s="202" t="n"/>
    </row>
    <row r="33" ht="5.25" customFormat="1" customHeight="1" s="15">
      <c r="C33" s="159" t="n"/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15" customFormat="1" customHeight="1" s="15">
      <c r="A34" s="15" t="n">
        <v>24</v>
      </c>
      <c r="B34" s="15" t="inlineStr">
        <is>
          <t>Erklärung zur gesonderten Ermittlung von Be-</t>
        </is>
      </c>
      <c r="C34" s="159" t="n"/>
      <c r="E34" s="202" t="n">
        <v>8000</v>
      </c>
      <c r="F34" s="183" t="inlineStr">
        <is>
          <t>A</t>
        </is>
      </c>
      <c r="G34" s="20" t="n">
        <v>1</v>
      </c>
      <c r="H34" s="193">
        <f>G34/10*443</f>
        <v/>
      </c>
    </row>
    <row r="35" ht="15" customFormat="1" customHeight="1" s="15">
      <c r="B35" s="15" t="inlineStr">
        <is>
          <t>steuerungsgrundlagen nach §§ 27 ff. KStG</t>
        </is>
      </c>
      <c r="C35" s="159" t="n"/>
      <c r="E35" s="202" t="n"/>
      <c r="F35" s="183" t="n"/>
      <c r="G35" s="20" t="n"/>
      <c r="H35" s="193" t="n"/>
    </row>
    <row r="36" ht="15" customFormat="1" customHeight="1" s="15">
      <c r="B36" s="15" t="inlineStr">
        <is>
          <t>auf den 31.12.</t>
        </is>
      </c>
      <c r="C36" s="159">
        <f>+C32</f>
        <v/>
      </c>
      <c r="E36" s="202" t="n"/>
      <c r="F36" s="183" t="n"/>
      <c r="G36" s="20" t="n"/>
      <c r="H36" s="193" t="n"/>
    </row>
    <row r="37" ht="5.25" customFormat="1" customHeight="1" s="15">
      <c r="C37" s="159" t="n"/>
      <c r="E37" s="202" t="n"/>
      <c r="F37" s="183" t="n"/>
      <c r="G37" s="20" t="n"/>
      <c r="H37" s="193" t="n"/>
    </row>
    <row r="38" ht="15" customFormat="1" customHeight="1" s="15">
      <c r="A38" s="15" t="n">
        <v>27</v>
      </c>
      <c r="B38" s="15" t="inlineStr">
        <is>
          <t>Prüfung der Bescheide zur Körperschaftsteuer,</t>
        </is>
      </c>
      <c r="C38" s="159" t="n"/>
      <c r="E38" s="203" t="n">
        <v>80</v>
      </c>
      <c r="F38" s="183" t="inlineStr">
        <is>
          <t>Zeitgeb.</t>
        </is>
      </c>
      <c r="G38" s="204" t="n">
        <v>0.5</v>
      </c>
      <c r="H38" s="193">
        <f>+G38*E38</f>
        <v/>
      </c>
    </row>
    <row r="39" ht="15" customFormat="1" customHeight="1" s="15">
      <c r="B39" s="15" t="inlineStr">
        <is>
          <t xml:space="preserve">zum Gewerbesteuermeßbetrag und zur Feststellung </t>
        </is>
      </c>
      <c r="C39" s="159" t="n"/>
      <c r="E39" s="202" t="n"/>
      <c r="F39" s="183" t="n"/>
      <c r="G39" s="20" t="n"/>
      <c r="H39" s="193" t="n"/>
    </row>
    <row r="40" ht="15" customFormat="1" customHeight="1" s="15">
      <c r="B40" s="15" t="inlineStr">
        <is>
          <t>körperschaftsteuerlicher Bemessungsgrundlagen 2016</t>
        </is>
      </c>
      <c r="C40" s="159" t="n"/>
      <c r="E40" s="202" t="n"/>
      <c r="F40" s="183" t="n"/>
      <c r="G40" s="20" t="n"/>
      <c r="H40" s="193" t="n"/>
    </row>
    <row r="41" ht="15" customFormat="1" customHeight="1" s="15">
      <c r="B41" s="15" t="inlineStr">
        <is>
          <t>am 06.09.2017</t>
        </is>
      </c>
      <c r="C41" s="159" t="n"/>
      <c r="E41" s="202" t="n"/>
      <c r="F41" s="183" t="n"/>
      <c r="G41" s="20" t="n"/>
      <c r="H41" s="193" t="n"/>
    </row>
    <row r="42" ht="5.25" customFormat="1" customHeight="1" s="15">
      <c r="C42" s="159" t="n"/>
      <c r="E42" s="202" t="n"/>
      <c r="F42" s="183" t="n"/>
      <c r="G42" s="20" t="n"/>
      <c r="H42" s="193" t="n"/>
    </row>
    <row r="43" ht="15.75" customFormat="1" customHeight="1" s="15">
      <c r="A43" s="15" t="n">
        <v>16</v>
      </c>
      <c r="B43" s="15" t="inlineStr">
        <is>
          <t xml:space="preserve">Auslagenersatz für Post- und </t>
        </is>
      </c>
      <c r="C43" s="159" t="n"/>
      <c r="E43" s="202">
        <f>SUM(H23:H35)*0.15</f>
        <v/>
      </c>
      <c r="F43" s="159" t="n"/>
      <c r="G43" s="20" t="n">
        <v>0</v>
      </c>
      <c r="H43" s="193" t="n">
        <v>20</v>
      </c>
    </row>
    <row r="44" ht="15.75" customFormat="1" customHeight="1" s="15">
      <c r="B44" s="15" t="inlineStr">
        <is>
          <t>Telekommunikation</t>
        </is>
      </c>
      <c r="E44" s="90" t="n"/>
      <c r="G44" s="20" t="n"/>
      <c r="H44" s="193" t="n"/>
    </row>
    <row r="45" ht="15" customFormat="1" customHeight="1" s="15">
      <c r="A45" s="112" t="inlineStr">
        <is>
          <t>*sofern nicht separat anders angegeben</t>
        </is>
      </c>
      <c r="B45" s="28" t="n"/>
      <c r="C45" s="28" t="n"/>
      <c r="D45" s="28" t="n"/>
      <c r="E45" s="29" t="inlineStr">
        <is>
          <t>Zwischensumme</t>
        </is>
      </c>
      <c r="F45" s="197" t="n"/>
      <c r="G45" s="31" t="n"/>
      <c r="H45" s="198">
        <f>SUM(H23:H44)</f>
        <v/>
      </c>
      <c r="J45" s="193" t="n"/>
    </row>
    <row r="46" ht="15" customFormat="1" customHeight="1" s="15">
      <c r="A46" s="15" t="n"/>
      <c r="B46" s="15" t="n"/>
      <c r="C46" s="15" t="n"/>
      <c r="D46" s="15" t="n"/>
      <c r="E46" s="100" t="inlineStr">
        <is>
          <t>Umsatzsteuer 19%</t>
        </is>
      </c>
      <c r="F46" s="199" t="n"/>
      <c r="G46" s="35" t="n"/>
      <c r="H46" s="193">
        <f>+H45*0.19</f>
        <v/>
      </c>
    </row>
    <row r="47" customFormat="1" s="15" thickBot="1">
      <c r="A47" s="15" t="n"/>
      <c r="B47" s="15" t="n"/>
      <c r="C47" s="15" t="n"/>
      <c r="D47" s="15" t="n"/>
      <c r="E47" s="37" t="inlineStr">
        <is>
          <t>Rechnungsbetrag</t>
        </is>
      </c>
      <c r="F47" s="200" t="n"/>
      <c r="G47" s="39" t="n"/>
      <c r="H47" s="201">
        <f>SUM(H45:H46)</f>
        <v/>
      </c>
    </row>
    <row r="48" customFormat="1" s="15" thickTop="1">
      <c r="D48" s="90" t="n"/>
      <c r="E48" s="183" t="n"/>
      <c r="F48" s="10" t="n"/>
    </row>
    <row r="50">
      <c r="B50" s="14" t="n"/>
    </row>
    <row r="51" ht="12.75" customFormat="1" customHeight="1" s="41"/>
    <row r="52">
      <c r="A52" s="147" t="inlineStr">
        <is>
          <t xml:space="preserve">Steuernummer: 012 801 35159       </t>
        </is>
      </c>
    </row>
  </sheetData>
  <mergeCells count="11">
    <mergeCell ref="F11:H11"/>
    <mergeCell ref="A15:H15"/>
    <mergeCell ref="G7:H7"/>
    <mergeCell ref="E7:F7"/>
    <mergeCell ref="E10:F10"/>
    <mergeCell ref="G10:H10"/>
    <mergeCell ref="A52:H52"/>
    <mergeCell ref="F12:H12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codeName="Tabelle11">
    <outlinePr summaryBelow="1" summaryRight="1"/>
    <pageSetUpPr/>
  </sheetPr>
  <dimension ref="A5:R60"/>
  <sheetViews>
    <sheetView workbookViewId="0">
      <selection activeCell="E47" sqref="E47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43390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10113-2018-008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14.25" customFormat="1" customHeight="1" s="49">
      <c r="A14" s="170" t="inlineStr">
        <is>
          <t xml:space="preserve">Rechnung über Honorare </t>
        </is>
      </c>
    </row>
    <row r="15" ht="14.25" customFormat="1" customHeight="1" s="49">
      <c r="A15" s="170" t="n"/>
      <c r="B15" s="170" t="n"/>
      <c r="C15" s="170" t="n"/>
      <c r="D15" s="170" t="n"/>
      <c r="E15" s="170" t="n"/>
      <c r="F15" s="170" t="n"/>
      <c r="G15" s="170" t="n"/>
      <c r="H15" s="170" t="n"/>
    </row>
    <row r="16" ht="15" customFormat="1" customHeight="1" s="140">
      <c r="A16" s="140" t="inlineStr">
        <is>
          <t xml:space="preserve">Für die nachfolgend aufgeführten Leistungen erlaube ich mir nach der Steuerberatervergütungs- </t>
        </is>
      </c>
      <c r="B16" s="43" t="n"/>
      <c r="D16" s="52" t="n"/>
      <c r="E16" s="53" t="n"/>
      <c r="F16" s="47" t="n"/>
    </row>
    <row r="17" ht="15" customFormat="1" customHeight="1" s="140">
      <c r="A17" s="140" t="inlineStr">
        <is>
          <t>verordnung wie folgt abzurechnen:</t>
        </is>
      </c>
      <c r="B17" s="43" t="n"/>
      <c r="D17" s="52" t="n"/>
      <c r="E17" s="53" t="n"/>
      <c r="F17" s="47" t="n"/>
    </row>
    <row r="18" ht="4.5" customFormat="1" customHeight="1" s="140">
      <c r="D18" s="52" t="n"/>
      <c r="E18" s="52" t="n"/>
      <c r="F18" s="53" t="n"/>
      <c r="G18" s="52" t="n"/>
    </row>
    <row r="19" ht="15" customFormat="1" customHeight="1" s="140">
      <c r="A19" s="50" t="inlineStr">
        <is>
          <t>Leistung</t>
        </is>
      </c>
      <c r="B19" s="51" t="n"/>
      <c r="C19" s="50" t="n"/>
      <c r="D19" s="52" t="n"/>
      <c r="E19" s="52" t="inlineStr">
        <is>
          <t>Gegenstands-</t>
        </is>
      </c>
      <c r="F19" s="53" t="inlineStr">
        <is>
          <t>Tabelle</t>
        </is>
      </c>
      <c r="G19" s="52" t="inlineStr">
        <is>
          <t>Arbeit-</t>
        </is>
      </c>
      <c r="H19" s="53" t="inlineStr">
        <is>
          <t>Gebühr</t>
        </is>
      </c>
    </row>
    <row r="20" ht="15" customFormat="1" customHeight="1" s="140">
      <c r="A20" s="54" t="inlineStr">
        <is>
          <t>§§</t>
        </is>
      </c>
      <c r="B20" s="54" t="n"/>
      <c r="C20" s="181" t="inlineStr">
        <is>
          <t>am/in:</t>
        </is>
      </c>
      <c r="D20" s="55" t="n"/>
      <c r="E20" s="56" t="inlineStr">
        <is>
          <t>wert</t>
        </is>
      </c>
      <c r="F20" s="56" t="n"/>
      <c r="G20" s="57" t="inlineStr">
        <is>
          <t>nehmer</t>
        </is>
      </c>
      <c r="H20" s="181" t="n"/>
    </row>
    <row r="21" ht="13.5" customFormat="1" customHeight="1" s="58">
      <c r="A21" s="58" t="n">
        <v>34</v>
      </c>
      <c r="B21" s="58" t="inlineStr">
        <is>
          <t xml:space="preserve">Löhne/Gehälter 07/2018 </t>
        </is>
      </c>
      <c r="D21" s="60" t="n"/>
    </row>
    <row r="22" ht="13.5" customFormat="1" customHeight="1" s="58">
      <c r="B22" s="63" t="inlineStr">
        <is>
          <t xml:space="preserve"> - Lohnabrechnungen inkl. </t>
        </is>
      </c>
      <c r="C22" s="59" t="n"/>
      <c r="D22" s="60" t="n"/>
    </row>
    <row r="23" ht="13.5" customFormat="1" customHeight="1" s="58">
      <c r="B23" s="58" t="inlineStr">
        <is>
          <t xml:space="preserve">   Sozialvers.-meldungen</t>
        </is>
      </c>
      <c r="C23" s="59" t="n">
        <v>43293</v>
      </c>
      <c r="D23" s="60" t="n"/>
      <c r="E23" s="212" t="n">
        <v>15</v>
      </c>
      <c r="G23" s="213" t="n">
        <v>11</v>
      </c>
      <c r="H23" s="211">
        <f>+G23*E23</f>
        <v/>
      </c>
    </row>
    <row r="24" ht="3" customFormat="1" customHeight="1" s="58">
      <c r="C24" s="59" t="n"/>
      <c r="D24" s="60" t="n"/>
      <c r="E24" s="212" t="n"/>
      <c r="G24" s="213" t="n"/>
      <c r="H24" s="211" t="n"/>
    </row>
    <row r="25" ht="13.5" customFormat="1" customHeight="1" s="58">
      <c r="A25" s="58" t="n">
        <v>34</v>
      </c>
      <c r="B25" s="58" t="inlineStr">
        <is>
          <t xml:space="preserve">Löhne/Gehälter 08/2018 </t>
        </is>
      </c>
      <c r="D25" s="60" t="n"/>
    </row>
    <row r="26" ht="13.5" customFormat="1" customHeight="1" s="58">
      <c r="B26" s="63" t="inlineStr">
        <is>
          <t xml:space="preserve"> - Einrichten von Lohnkonten</t>
        </is>
      </c>
      <c r="C26" s="59" t="n">
        <v>43335</v>
      </c>
      <c r="D26" s="60" t="n"/>
      <c r="E26" s="212" t="n">
        <v>9</v>
      </c>
      <c r="G26" s="213" t="n">
        <v>1</v>
      </c>
      <c r="H26" s="211">
        <f>+G26*E26</f>
        <v/>
      </c>
    </row>
    <row r="27" ht="13.5" customFormat="1" customHeight="1" s="58">
      <c r="B27" s="58" t="inlineStr">
        <is>
          <t xml:space="preserve">   (Marcin Zatylny)</t>
        </is>
      </c>
      <c r="C27" s="59" t="n">
        <v>3</v>
      </c>
      <c r="D27" s="60" t="n"/>
      <c r="E27" s="212" t="n"/>
      <c r="G27" s="213" t="n"/>
      <c r="H27" s="211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43339</v>
      </c>
      <c r="D29" s="60" t="n"/>
      <c r="E29" s="212" t="n">
        <v>15</v>
      </c>
      <c r="G29" s="213" t="n">
        <v>12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09/2018 </t>
        </is>
      </c>
      <c r="D31" s="60" t="n"/>
    </row>
    <row r="32" ht="13.5" customFormat="1" customHeight="1" s="58">
      <c r="B32" s="63" t="inlineStr">
        <is>
          <t xml:space="preserve"> - Einrichten von Lohnkonten</t>
        </is>
      </c>
      <c r="C32" s="59" t="n">
        <v>43335</v>
      </c>
      <c r="D32" s="60" t="n"/>
      <c r="E32" s="212" t="n">
        <v>9</v>
      </c>
      <c r="G32" s="213" t="n">
        <v>1</v>
      </c>
      <c r="H32" s="211">
        <f>+G32*E32</f>
        <v/>
      </c>
    </row>
    <row r="33" ht="13.5" customFormat="1" customHeight="1" s="58">
      <c r="B33" s="58" t="inlineStr">
        <is>
          <t xml:space="preserve">   (Nikola Vincetic)</t>
        </is>
      </c>
      <c r="C33" s="59" t="n">
        <v>3</v>
      </c>
      <c r="D33" s="60" t="n"/>
      <c r="E33" s="212" t="n"/>
      <c r="G33" s="213" t="n"/>
      <c r="H33" s="211" t="n"/>
    </row>
    <row r="34" ht="13.5" customFormat="1" customHeight="1" s="58">
      <c r="B34" s="63" t="inlineStr">
        <is>
          <t xml:space="preserve"> - Lohnabrechnungen inkl. </t>
        </is>
      </c>
      <c r="C34" s="59" t="n"/>
      <c r="D34" s="60" t="n"/>
    </row>
    <row r="35" ht="13.5" customFormat="1" customHeight="1" s="58">
      <c r="B35" s="58" t="inlineStr">
        <is>
          <t xml:space="preserve">   Sozialvers.-meldungen</t>
        </is>
      </c>
      <c r="C35" s="59" t="n">
        <v>43367</v>
      </c>
      <c r="D35" s="60" t="n"/>
      <c r="E35" s="212" t="n">
        <v>15</v>
      </c>
      <c r="G35" s="213" t="n">
        <v>13</v>
      </c>
      <c r="H35" s="211">
        <f>+G35*E35</f>
        <v/>
      </c>
    </row>
    <row r="36" ht="5.25" customFormat="1" customHeight="1" s="58">
      <c r="C36" s="59" t="n"/>
      <c r="D36" s="60" t="n"/>
      <c r="E36" s="212" t="n"/>
      <c r="G36" s="213" t="n"/>
      <c r="H36" s="211" t="n"/>
    </row>
    <row r="37" ht="13.5" customFormat="1" customHeight="1" s="58">
      <c r="A37" s="58" t="n">
        <v>34</v>
      </c>
      <c r="B37" s="58" t="inlineStr">
        <is>
          <t>Hilfeleistung bei sonstigen Tätigkeiten im Zusammen-</t>
        </is>
      </c>
      <c r="C37" s="59" t="n"/>
      <c r="D37" s="60" t="n"/>
      <c r="E37" s="209" t="n">
        <v>80</v>
      </c>
      <c r="F37" s="58" t="inlineStr">
        <is>
          <t>Zeitgeb.</t>
        </is>
      </c>
      <c r="G37" s="210" t="n">
        <v>1</v>
      </c>
      <c r="H37" s="211">
        <f>+G37*E37</f>
        <v/>
      </c>
    </row>
    <row r="38" ht="13.5" customFormat="1" customHeight="1" s="58">
      <c r="B38" s="58" t="inlineStr">
        <is>
          <t>hang mit dem Lohnsteuerabzug/der Lohnbuchführung</t>
        </is>
      </c>
      <c r="C38" s="59" t="n"/>
      <c r="D38" s="60" t="n"/>
      <c r="E38" s="212" t="n"/>
      <c r="G38" s="213" t="n"/>
      <c r="H38" s="211" t="n"/>
    </row>
    <row r="39" ht="13.5" customFormat="1" customHeight="1" s="58">
      <c r="B39" s="63" t="inlineStr">
        <is>
          <t>- LFZ-Anträge Skupnijak</t>
        </is>
      </c>
      <c r="C39" s="59">
        <f>+C23</f>
        <v/>
      </c>
      <c r="D39" s="60" t="n"/>
    </row>
    <row r="40" ht="13.5" customFormat="1" customHeight="1" s="58">
      <c r="B40" s="63">
        <f>+B39</f>
        <v/>
      </c>
      <c r="C40" s="59">
        <f>+C29</f>
        <v/>
      </c>
      <c r="D40" s="60" t="n"/>
      <c r="E40" s="209" t="n"/>
      <c r="G40" s="210" t="n"/>
      <c r="H40" s="211" t="n"/>
    </row>
    <row r="41" ht="13.5" customFormat="1" customHeight="1" s="58">
      <c r="B41" s="63">
        <f>+B40</f>
        <v/>
      </c>
      <c r="C41" s="59">
        <f>+C35</f>
        <v/>
      </c>
      <c r="D41" s="60" t="n"/>
      <c r="E41" s="209" t="n"/>
      <c r="G41" s="210" t="n"/>
      <c r="H41" s="211" t="n"/>
    </row>
    <row r="42" ht="5.25" customFormat="1" customHeight="1" s="58"/>
    <row r="43" ht="13.5" customFormat="1" customHeight="1" s="58">
      <c r="A43" s="58" t="n">
        <v>16</v>
      </c>
      <c r="B43" s="58" t="inlineStr">
        <is>
          <t xml:space="preserve">Auslagenersatz für Post- und </t>
        </is>
      </c>
      <c r="C43" s="59" t="n"/>
      <c r="D43" s="60" t="n"/>
      <c r="E43" s="212" t="n"/>
      <c r="G43" s="213" t="n"/>
      <c r="H43" s="211" t="n"/>
    </row>
    <row r="44" ht="13.5" customFormat="1" customHeight="1" s="58">
      <c r="B44" s="58" t="inlineStr">
        <is>
          <t>Telekommunikation</t>
        </is>
      </c>
      <c r="C44" s="59" t="inlineStr">
        <is>
          <t>III/2018</t>
        </is>
      </c>
      <c r="D44" s="60" t="n"/>
      <c r="E44" s="211">
        <f>SUM(H21:H36)*0.2</f>
        <v/>
      </c>
      <c r="G44" s="211" t="n"/>
      <c r="H44" s="211">
        <f>(G23+G29+G35)*1.3</f>
        <v/>
      </c>
    </row>
    <row r="45" ht="6.75" customFormat="1" customHeight="1" s="58">
      <c r="C45" s="60" t="n"/>
      <c r="D45" s="60" t="n"/>
      <c r="E45" s="214" t="n"/>
      <c r="F45" s="68" t="n"/>
      <c r="G45" s="69" t="n"/>
      <c r="H45" s="215" t="n"/>
    </row>
    <row r="46" ht="13.5" customFormat="1" customHeight="1" s="58">
      <c r="A46" s="71" t="n"/>
      <c r="B46" s="71" t="n"/>
      <c r="E46" s="58" t="inlineStr">
        <is>
          <t>Gesamt</t>
        </is>
      </c>
      <c r="F46" s="71" t="n"/>
      <c r="G46" s="81" t="n"/>
      <c r="H46" s="211">
        <f>SUM(H21:H45)</f>
        <v/>
      </c>
      <c r="J46" s="211" t="n"/>
    </row>
    <row r="47" ht="13.5" customFormat="1" customHeight="1" s="58">
      <c r="E47" s="74" t="inlineStr">
        <is>
          <t>USt 19%</t>
        </is>
      </c>
      <c r="F47" s="71" t="n"/>
      <c r="G47" s="81" t="n"/>
      <c r="H47" s="211">
        <f>+H46*0.19</f>
        <v/>
      </c>
    </row>
    <row r="48" ht="14.25" customFormat="1" customHeight="1" s="58" thickBot="1">
      <c r="E48" s="75" t="inlineStr">
        <is>
          <t>Rechnungsendbetrag</t>
        </is>
      </c>
      <c r="F48" s="76" t="n"/>
      <c r="G48" s="77" t="n"/>
      <c r="H48" s="216">
        <f>SUM(H46:H47)</f>
        <v/>
      </c>
      <c r="J48" s="211" t="n"/>
    </row>
    <row r="49" ht="5.25" customFormat="1" customHeight="1" s="58" thickTop="1">
      <c r="E49" s="79" t="n"/>
      <c r="F49" s="80" t="n"/>
      <c r="G49" s="81" t="n"/>
      <c r="H49" s="211" t="n"/>
      <c r="J49" s="211" t="n"/>
    </row>
    <row r="50" ht="15" customFormat="1" customHeight="1" s="58">
      <c r="A50" s="15" t="inlineStr">
        <is>
          <t>Bitte überweisen Sie den Betrag ohne Abzüge innerhalb von 14 Tagen auf das angegebene Konto.</t>
        </is>
      </c>
      <c r="B50" s="71" t="n"/>
      <c r="D50" s="81" t="n"/>
      <c r="E50" s="80" t="n"/>
      <c r="F50" s="62" t="n"/>
    </row>
    <row r="51" ht="13.5" customFormat="1" customHeight="1" s="58">
      <c r="D51" s="81" t="n"/>
      <c r="E51" s="80" t="n"/>
      <c r="F51" s="62" t="n"/>
    </row>
    <row r="52" ht="15" customFormat="1" customHeight="1" s="15">
      <c r="D52" s="90" t="n"/>
      <c r="E52" s="183" t="n"/>
      <c r="F52" s="90" t="n"/>
      <c r="G52" s="10" t="n"/>
    </row>
    <row r="53">
      <c r="B53" s="21" t="n"/>
    </row>
    <row r="54" ht="11.25" customHeight="1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G7:H7"/>
    <mergeCell ref="E7:F7"/>
    <mergeCell ref="A14:H1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codeName="Tabelle12">
    <outlinePr summaryBelow="1" summaryRight="1"/>
    <pageSetUpPr/>
  </sheetPr>
  <dimension ref="A5:J51"/>
  <sheetViews>
    <sheetView workbookViewId="0">
      <selection activeCell="H34" sqref="H3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43427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10113-2018-010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1024760</v>
      </c>
      <c r="F24" s="159" t="inlineStr">
        <is>
          <t>C</t>
        </is>
      </c>
      <c r="G24" s="183" t="n">
        <v>2.5</v>
      </c>
      <c r="H24" s="193">
        <f>G24/10*761</f>
        <v/>
      </c>
    </row>
    <row r="25" ht="15" customFormat="1" customHeight="1" s="15">
      <c r="B25" s="15" t="inlineStr">
        <is>
          <t>für 07/2018 am</t>
        </is>
      </c>
      <c r="C25" s="169" t="n">
        <v>43360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G27/10*761</f>
        <v/>
      </c>
    </row>
    <row r="28" ht="15" customFormat="1" customHeight="1" s="15">
      <c r="B28" s="15" t="inlineStr">
        <is>
          <t>für 08/2018 am</t>
        </is>
      </c>
      <c r="C28" s="169" t="n">
        <v>43361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2.5</v>
      </c>
      <c r="H30" s="193">
        <f>G30/10*761</f>
        <v/>
      </c>
    </row>
    <row r="31" ht="15" customFormat="1" customHeight="1" s="15">
      <c r="B31" s="15" t="inlineStr">
        <is>
          <t>für 09/2018 am</t>
        </is>
      </c>
      <c r="C31" s="169" t="n">
        <v>43416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Tabelle13">
    <outlinePr summaryBelow="1" summaryRight="1"/>
    <pageSetUpPr/>
  </sheetPr>
  <dimension ref="A5:R60"/>
  <sheetViews>
    <sheetView topLeftCell="A4" workbookViewId="0">
      <selection activeCell="A54" sqref="A54:IV5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43528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63" t="inlineStr">
        <is>
          <t xml:space="preserve"> - Einrichten von Lohnkonten</t>
        </is>
      </c>
      <c r="M8" s="59" t="n">
        <v>43335</v>
      </c>
      <c r="N8" s="60" t="n"/>
      <c r="O8" s="212" t="n">
        <v>9</v>
      </c>
      <c r="P8" s="58" t="n"/>
      <c r="Q8" s="213" t="n">
        <v>1</v>
      </c>
      <c r="R8" s="211">
        <f>+Q8*O8</f>
        <v/>
      </c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10113-2019-001</t>
        </is>
      </c>
      <c r="H9" s="190" t="n"/>
      <c r="K9" s="58" t="n"/>
      <c r="L9" s="58" t="inlineStr">
        <is>
          <t xml:space="preserve">   (Nikola Vincetic)</t>
        </is>
      </c>
      <c r="M9" s="59" t="n">
        <v>3</v>
      </c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14.25" customFormat="1" customHeight="1" s="49">
      <c r="A14" s="170" t="inlineStr">
        <is>
          <t xml:space="preserve">Rechnung über Honorare </t>
        </is>
      </c>
    </row>
    <row r="15" ht="14.25" customFormat="1" customHeight="1" s="49">
      <c r="A15" s="170" t="n"/>
      <c r="B15" s="170" t="n"/>
      <c r="C15" s="170" t="n"/>
      <c r="D15" s="170" t="n"/>
      <c r="E15" s="170" t="n"/>
      <c r="F15" s="170" t="n"/>
      <c r="G15" s="170" t="n"/>
      <c r="H15" s="170" t="n"/>
    </row>
    <row r="16" ht="15" customFormat="1" customHeight="1" s="140">
      <c r="A16" s="140" t="inlineStr">
        <is>
          <t xml:space="preserve">Für die nachfolgend aufgeführten Leistungen erlaube ich mir nach der Steuerberatervergütungs- </t>
        </is>
      </c>
      <c r="B16" s="43" t="n"/>
      <c r="D16" s="52" t="n"/>
      <c r="E16" s="53" t="n"/>
      <c r="F16" s="47" t="n"/>
    </row>
    <row r="17" ht="15" customFormat="1" customHeight="1" s="140">
      <c r="A17" s="140" t="inlineStr">
        <is>
          <t>verordnung wie folgt abzurechnen:</t>
        </is>
      </c>
      <c r="B17" s="43" t="n"/>
      <c r="D17" s="52" t="n"/>
      <c r="E17" s="53" t="n"/>
      <c r="F17" s="47" t="n"/>
    </row>
    <row r="18" ht="4.5" customFormat="1" customHeight="1" s="140">
      <c r="D18" s="52" t="n"/>
      <c r="E18" s="52" t="n"/>
      <c r="F18" s="53" t="n"/>
      <c r="G18" s="52" t="n"/>
    </row>
    <row r="19" ht="15" customFormat="1" customHeight="1" s="140">
      <c r="A19" s="50" t="inlineStr">
        <is>
          <t>Leistung</t>
        </is>
      </c>
      <c r="B19" s="51" t="n"/>
      <c r="C19" s="50" t="n"/>
      <c r="D19" s="52" t="n"/>
      <c r="E19" s="52" t="inlineStr">
        <is>
          <t>Gegenstands-</t>
        </is>
      </c>
      <c r="F19" s="53" t="inlineStr">
        <is>
          <t>Tabelle</t>
        </is>
      </c>
      <c r="G19" s="52" t="inlineStr">
        <is>
          <t>Arbeit-</t>
        </is>
      </c>
      <c r="H19" s="53" t="inlineStr">
        <is>
          <t>Gebühr</t>
        </is>
      </c>
    </row>
    <row r="20" ht="15" customFormat="1" customHeight="1" s="140">
      <c r="A20" s="54" t="inlineStr">
        <is>
          <t>§§</t>
        </is>
      </c>
      <c r="B20" s="54" t="n"/>
      <c r="C20" s="181" t="inlineStr">
        <is>
          <t>am/in:</t>
        </is>
      </c>
      <c r="D20" s="55" t="n"/>
      <c r="E20" s="56" t="inlineStr">
        <is>
          <t>wert</t>
        </is>
      </c>
      <c r="F20" s="56" t="n"/>
      <c r="G20" s="57" t="inlineStr">
        <is>
          <t>nehmer</t>
        </is>
      </c>
      <c r="H20" s="181" t="n"/>
    </row>
    <row r="21" ht="13.5" customFormat="1" customHeight="1" s="58">
      <c r="A21" s="58" t="n">
        <v>34</v>
      </c>
      <c r="B21" s="58" t="inlineStr">
        <is>
          <t xml:space="preserve">Löhne/Gehälter 10/2018 </t>
        </is>
      </c>
      <c r="D21" s="60" t="n"/>
    </row>
    <row r="22" ht="13.5" customFormat="1" customHeight="1" s="58">
      <c r="B22" s="63" t="inlineStr">
        <is>
          <t xml:space="preserve"> - Lohnabrechnungen inkl. </t>
        </is>
      </c>
      <c r="C22" s="59" t="n"/>
      <c r="D22" s="60" t="n"/>
    </row>
    <row r="23" ht="13.5" customFormat="1" customHeight="1" s="58">
      <c r="B23" s="58" t="inlineStr">
        <is>
          <t xml:space="preserve">   Sozialvers.-meldungen</t>
        </is>
      </c>
      <c r="C23" s="59" t="n">
        <v>43396</v>
      </c>
      <c r="D23" s="60" t="n"/>
      <c r="E23" s="212" t="n">
        <v>15</v>
      </c>
      <c r="G23" s="213" t="n">
        <v>11</v>
      </c>
      <c r="H23" s="211">
        <f>+G23*E23</f>
        <v/>
      </c>
    </row>
    <row r="24" ht="3" customFormat="1" customHeight="1" s="58">
      <c r="C24" s="59" t="n"/>
      <c r="D24" s="60" t="n"/>
      <c r="E24" s="212" t="n"/>
      <c r="G24" s="213" t="n"/>
      <c r="H24" s="211" t="n"/>
    </row>
    <row r="25" ht="13.5" customFormat="1" customHeight="1" s="58">
      <c r="A25" s="58" t="n">
        <v>34</v>
      </c>
      <c r="B25" s="58" t="inlineStr">
        <is>
          <t xml:space="preserve">Löhne/Gehälter 11/2018 </t>
        </is>
      </c>
      <c r="D25" s="60" t="n"/>
    </row>
    <row r="26" ht="13.5" customFormat="1" customHeight="1" s="58">
      <c r="B26" s="63" t="inlineStr">
        <is>
          <t xml:space="preserve"> - Einrichten von Lohnkonten</t>
        </is>
      </c>
      <c r="C26" s="59" t="n">
        <v>43426</v>
      </c>
      <c r="D26" s="60" t="n"/>
      <c r="E26" s="212" t="n">
        <v>9</v>
      </c>
      <c r="G26" s="213" t="n">
        <v>1</v>
      </c>
      <c r="H26" s="211">
        <f>+G26*E26</f>
        <v/>
      </c>
    </row>
    <row r="27" ht="13.5" customFormat="1" customHeight="1" s="58">
      <c r="B27" s="58" t="inlineStr">
        <is>
          <t xml:space="preserve">   (Samual Perikic)</t>
        </is>
      </c>
      <c r="C27" s="59" t="n"/>
      <c r="D27" s="60" t="n"/>
      <c r="E27" s="212" t="n"/>
      <c r="G27" s="213" t="n"/>
      <c r="H27" s="211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43430</v>
      </c>
      <c r="D29" s="60" t="n"/>
      <c r="E29" s="212" t="n">
        <v>15</v>
      </c>
      <c r="G29" s="213" t="n">
        <v>12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12/2018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43454</v>
      </c>
      <c r="D33" s="60" t="n"/>
      <c r="E33" s="212" t="n">
        <v>15</v>
      </c>
      <c r="G33" s="213" t="n">
        <v>11</v>
      </c>
      <c r="H33" s="211">
        <f>+G33*E33</f>
        <v/>
      </c>
    </row>
    <row r="34" ht="5.2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1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>- LFZ-Anträge Chmielowski</t>
        </is>
      </c>
      <c r="C37" s="59" t="n">
        <v>43396</v>
      </c>
      <c r="D37" s="60" t="n"/>
    </row>
    <row r="38" ht="13.5" customFormat="1" customHeight="1" s="58">
      <c r="B38" s="63" t="inlineStr">
        <is>
          <t>- LFZ-Anträge Chmieowski,Münster,</t>
        </is>
      </c>
      <c r="C38" s="59" t="n">
        <v>43430</v>
      </c>
      <c r="D38" s="60" t="n"/>
      <c r="E38" s="209" t="n"/>
      <c r="G38" s="210" t="n"/>
      <c r="H38" s="211" t="n"/>
    </row>
    <row r="39" ht="13.5" customFormat="1" customHeight="1" s="58">
      <c r="B39" s="58" t="inlineStr">
        <is>
          <t xml:space="preserve">  Stjepanowicz</t>
        </is>
      </c>
      <c r="C39" s="59" t="n"/>
      <c r="D39" s="60" t="n"/>
      <c r="E39" s="209" t="n"/>
      <c r="G39" s="210" t="n"/>
      <c r="H39" s="211" t="n"/>
    </row>
    <row r="40" ht="13.5" customFormat="1" customHeight="1" s="58">
      <c r="B40" s="63">
        <f>+B38</f>
        <v/>
      </c>
      <c r="C40" s="59">
        <f>+C33</f>
        <v/>
      </c>
      <c r="D40" s="60" t="n"/>
      <c r="E40" s="209" t="n"/>
      <c r="G40" s="210" t="n"/>
      <c r="H40" s="211" t="n"/>
    </row>
    <row r="41" ht="5.25" customFormat="1" customHeight="1" s="58"/>
    <row r="42" ht="13.5" customFormat="1" customHeight="1" s="58">
      <c r="A42" s="58" t="n">
        <v>16</v>
      </c>
      <c r="B42" s="58" t="inlineStr">
        <is>
          <t xml:space="preserve">Auslagenersatz für Post- und </t>
        </is>
      </c>
      <c r="C42" s="59" t="n"/>
      <c r="D42" s="60" t="n"/>
      <c r="E42" s="212" t="n"/>
      <c r="G42" s="213" t="n"/>
      <c r="H42" s="211" t="n"/>
    </row>
    <row r="43" ht="13.5" customFormat="1" customHeight="1" s="58">
      <c r="B43" s="58" t="inlineStr">
        <is>
          <t>Telekommunikation</t>
        </is>
      </c>
      <c r="C43" s="59" t="inlineStr">
        <is>
          <t>IV/2018</t>
        </is>
      </c>
      <c r="D43" s="60" t="n"/>
      <c r="E43" s="211">
        <f>SUM(H21:H34)*0.2</f>
        <v/>
      </c>
      <c r="G43" s="211" t="n"/>
      <c r="H43" s="211">
        <f>(G23+G29+G33)*1.3</f>
        <v/>
      </c>
    </row>
    <row r="44" ht="6.75" customFormat="1" customHeight="1" s="58">
      <c r="C44" s="60" t="n"/>
      <c r="D44" s="60" t="n"/>
      <c r="E44" s="214" t="n"/>
      <c r="F44" s="68" t="n"/>
      <c r="G44" s="69" t="n"/>
      <c r="H44" s="215" t="n"/>
    </row>
    <row r="45" ht="13.5" customFormat="1" customHeight="1" s="58">
      <c r="A45" s="71" t="n"/>
      <c r="B45" s="71" t="n"/>
      <c r="E45" s="58" t="inlineStr">
        <is>
          <t>Gesamt</t>
        </is>
      </c>
      <c r="F45" s="71" t="n"/>
      <c r="G45" s="81" t="n"/>
      <c r="H45" s="211">
        <f>SUM(H21:H44)</f>
        <v/>
      </c>
      <c r="J45" s="211" t="n"/>
    </row>
    <row r="46" ht="13.5" customFormat="1" customHeight="1" s="58">
      <c r="E46" s="74" t="inlineStr">
        <is>
          <t>USt 19%</t>
        </is>
      </c>
      <c r="F46" s="71" t="n"/>
      <c r="G46" s="81" t="n"/>
      <c r="H46" s="211">
        <f>+H45*0.19</f>
        <v/>
      </c>
    </row>
    <row r="47" ht="14.25" customFormat="1" customHeight="1" s="58" thickBot="1">
      <c r="E47" s="75" t="inlineStr">
        <is>
          <t>Rechnungsendbetrag</t>
        </is>
      </c>
      <c r="F47" s="76" t="n"/>
      <c r="G47" s="77" t="n"/>
      <c r="H47" s="216">
        <f>SUM(H45:H46)</f>
        <v/>
      </c>
      <c r="J47" s="211" t="n"/>
    </row>
    <row r="48" ht="5.25" customFormat="1" customHeight="1" s="58" thickTop="1">
      <c r="E48" s="79" t="n"/>
      <c r="F48" s="80" t="n"/>
      <c r="G48" s="81" t="n"/>
      <c r="H48" s="211" t="n"/>
      <c r="J48" s="211" t="n"/>
    </row>
    <row r="49" ht="15" customFormat="1" customHeight="1" s="58">
      <c r="A49" s="15" t="inlineStr">
        <is>
          <t>Bitte überweisen Sie den Betrag ohne Abzüge innerhalb von 14 Tagen auf das angegebene Konto.</t>
        </is>
      </c>
      <c r="B49" s="71" t="n"/>
      <c r="D49" s="81" t="n"/>
      <c r="E49" s="80" t="n"/>
      <c r="F49" s="62" t="n"/>
    </row>
    <row r="50" ht="13.5" customFormat="1" customHeight="1" s="58">
      <c r="D50" s="81" t="n"/>
      <c r="E50" s="80" t="n"/>
      <c r="F50" s="62" t="n"/>
    </row>
    <row r="51" ht="15" customFormat="1" customHeight="1" s="15">
      <c r="D51" s="90" t="n"/>
      <c r="E51" s="183" t="n"/>
      <c r="F51" s="90" t="n"/>
      <c r="G51" s="10" t="n"/>
    </row>
    <row r="52">
      <c r="B52" s="21" t="n"/>
    </row>
    <row r="53" ht="11.25" customHeight="1"/>
    <row r="54" ht="11.25" customHeight="1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G7:H7"/>
    <mergeCell ref="E7:F7"/>
    <mergeCell ref="A14:H1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codeName="Tabelle14">
    <outlinePr summaryBelow="1" summaryRight="1"/>
    <pageSetUpPr/>
  </sheetPr>
  <dimension ref="A5:H49"/>
  <sheetViews>
    <sheetView workbookViewId="0">
      <selection activeCell="M36" sqref="M36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43528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10113-2019-002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29</v>
      </c>
      <c r="B24" s="15" t="inlineStr">
        <is>
          <t>Teilnahme an der Prüfung der DRV für</t>
        </is>
      </c>
      <c r="C24" s="169" t="n"/>
      <c r="D24" s="93" t="n"/>
      <c r="E24" s="191" t="n">
        <v>100</v>
      </c>
      <c r="F24" s="15" t="inlineStr">
        <is>
          <t>Zeitgeb.</t>
        </is>
      </c>
      <c r="G24" s="192" t="n">
        <v>3</v>
      </c>
      <c r="H24" s="193">
        <f>+G24*E24</f>
        <v/>
      </c>
    </row>
    <row r="25" ht="15" customFormat="1" customHeight="1" s="15">
      <c r="B25" s="108" t="inlineStr">
        <is>
          <t>2015-2018</t>
        </is>
      </c>
      <c r="C25" s="169" t="n"/>
      <c r="D25" s="93" t="n"/>
    </row>
    <row r="26" ht="15" customFormat="1" customHeight="1" s="15">
      <c r="B26" s="108" t="inlineStr">
        <is>
          <t xml:space="preserve"> - Vorbereitung der Prüfung und Zusammen-</t>
        </is>
      </c>
      <c r="C26" s="169" t="n"/>
      <c r="D26" s="93" t="n"/>
      <c r="E26" s="194" t="n"/>
      <c r="G26" s="195" t="n"/>
      <c r="H26" s="193" t="n"/>
    </row>
    <row r="27" ht="15" customFormat="1" customHeight="1" s="15">
      <c r="B27" s="15" t="inlineStr">
        <is>
          <t xml:space="preserve">   stellung von Unterlagen vom 17.01.-22.01.2019</t>
        </is>
      </c>
      <c r="C27" s="169" t="n"/>
      <c r="D27" s="93" t="n"/>
      <c r="E27" s="194" t="n"/>
      <c r="G27" s="195" t="n"/>
      <c r="H27" s="193" t="n"/>
    </row>
    <row r="28" ht="15" customFormat="1" customHeight="1" s="15">
      <c r="B28" s="15" t="inlineStr">
        <is>
          <t xml:space="preserve"> - Prüfungstermin am 05.02.2019, </t>
        </is>
      </c>
      <c r="D28" s="90" t="n"/>
      <c r="E28" s="183" t="n"/>
      <c r="F28" s="10" t="n"/>
    </row>
    <row r="29" ht="15" customFormat="1" customHeight="1" s="15">
      <c r="B29" s="15" t="inlineStr">
        <is>
          <t xml:space="preserve"> - Abschluß der Prüfung durch Prüfung des Prüfberichts</t>
        </is>
      </c>
      <c r="D29" s="90" t="n"/>
      <c r="E29" s="183" t="n"/>
      <c r="F29" s="10" t="n"/>
    </row>
    <row r="30" ht="15" customFormat="1" customHeight="1" s="15">
      <c r="B30" s="15" t="inlineStr">
        <is>
          <t xml:space="preserve">   am 20.02.2019</t>
        </is>
      </c>
      <c r="D30" s="93" t="n"/>
      <c r="E30" s="196" t="n"/>
      <c r="F30" s="195" t="n"/>
      <c r="G30" s="192" t="n"/>
      <c r="H30" s="193" t="n"/>
    </row>
    <row r="31" ht="15" customFormat="1" customHeight="1" s="15">
      <c r="D31" s="93" t="n"/>
      <c r="E31" s="196" t="n"/>
      <c r="F31" s="195" t="n"/>
      <c r="G31" s="192" t="n"/>
      <c r="H31" s="193" t="n"/>
    </row>
    <row r="32" ht="15" customFormat="1" customHeight="1" s="15">
      <c r="A32" s="15" t="n">
        <v>16</v>
      </c>
      <c r="B32" s="15" t="inlineStr">
        <is>
          <t xml:space="preserve">Auslagenersatz für Post- und </t>
        </is>
      </c>
      <c r="C32" s="169" t="n"/>
      <c r="D32" s="93" t="n"/>
      <c r="E32" s="194" t="n"/>
      <c r="G32" s="195" t="n"/>
      <c r="H32" s="193" t="n"/>
    </row>
    <row r="33" ht="15" customFormat="1" customHeight="1" s="15">
      <c r="B33" s="15" t="inlineStr">
        <is>
          <t>Telekommunikation</t>
        </is>
      </c>
      <c r="C33" s="169" t="n"/>
      <c r="D33" s="93" t="n"/>
      <c r="E33" s="193">
        <f>+H24*0.2</f>
        <v/>
      </c>
      <c r="G33" s="193" t="n"/>
      <c r="H33" s="193" t="n">
        <v>5</v>
      </c>
    </row>
    <row r="34" ht="15" customFormat="1" customHeight="1" s="15">
      <c r="A34" s="113" t="n"/>
      <c r="B34" s="28" t="n"/>
      <c r="C34" s="28" t="n"/>
      <c r="D34" s="28" t="n"/>
      <c r="E34" s="29" t="inlineStr">
        <is>
          <t>Zwischensumme</t>
        </is>
      </c>
      <c r="F34" s="197" t="n"/>
      <c r="G34" s="31" t="n"/>
      <c r="H34" s="198">
        <f>SUM(H24:H33)</f>
        <v/>
      </c>
    </row>
    <row r="35" ht="15.75" customFormat="1" customHeight="1" s="15">
      <c r="A35" s="15" t="n"/>
      <c r="B35" s="15" t="n"/>
      <c r="C35" s="15" t="n"/>
      <c r="D35" s="15" t="n"/>
      <c r="E35" s="100" t="inlineStr">
        <is>
          <t>Umsatzsteuer 19%</t>
        </is>
      </c>
      <c r="F35" s="199" t="n"/>
      <c r="G35" s="35" t="n"/>
      <c r="H35" s="193">
        <f>+H34*0.19</f>
        <v/>
      </c>
    </row>
    <row r="36" customFormat="1" s="15" thickBot="1">
      <c r="A36" s="15" t="n"/>
      <c r="B36" s="15" t="n"/>
      <c r="C36" s="15" t="n"/>
      <c r="D36" s="15" t="n"/>
      <c r="E36" s="37" t="inlineStr">
        <is>
          <t>Rechnungsbetrag</t>
        </is>
      </c>
      <c r="F36" s="200" t="n"/>
      <c r="G36" s="39" t="n"/>
      <c r="H36" s="201">
        <f>SUM(H34:H35)</f>
        <v/>
      </c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49">
      <c r="A49" s="147" t="inlineStr">
        <is>
          <t xml:space="preserve">Steuernummer: 012 801 35159     </t>
        </is>
      </c>
    </row>
  </sheetData>
  <mergeCells count="10">
    <mergeCell ref="F10:H10"/>
    <mergeCell ref="F11:H11"/>
    <mergeCell ref="G7:H7"/>
    <mergeCell ref="E7:F7"/>
    <mergeCell ref="A16:H16"/>
    <mergeCell ref="A49:H49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codeName="Tabelle15">
    <outlinePr summaryBelow="1" summaryRight="1"/>
    <pageSetUpPr/>
  </sheetPr>
  <dimension ref="A5:J51"/>
  <sheetViews>
    <sheetView workbookViewId="0">
      <selection activeCell="H23" sqref="H23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43528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10113-201--003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1068339.19</v>
      </c>
      <c r="F24" s="159" t="inlineStr">
        <is>
          <t>C</t>
        </is>
      </c>
      <c r="G24" s="183" t="n">
        <v>2.5</v>
      </c>
      <c r="H24" s="193">
        <f>G24/10*791</f>
        <v/>
      </c>
    </row>
    <row r="25" ht="15" customFormat="1" customHeight="1" s="15">
      <c r="B25" s="15" t="inlineStr">
        <is>
          <t>für 10/2018 am</t>
        </is>
      </c>
      <c r="C25" s="169" t="n">
        <v>43441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G27/10*791</f>
        <v/>
      </c>
    </row>
    <row r="28" ht="15" customFormat="1" customHeight="1" s="15">
      <c r="B28" s="15" t="inlineStr">
        <is>
          <t>für 11/2018 am</t>
        </is>
      </c>
      <c r="C28" s="169" t="n">
        <v>43448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G30/10*791</f>
        <v/>
      </c>
    </row>
    <row r="31" ht="15" customFormat="1" customHeight="1" s="15">
      <c r="B31" s="15" t="inlineStr">
        <is>
          <t>für 12/2018 am</t>
        </is>
      </c>
      <c r="C31" s="169" t="n">
        <v>43508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Tabelle16">
    <outlinePr summaryBelow="1" summaryRight="1"/>
    <pageSetUpPr/>
  </sheetPr>
  <dimension ref="A5:R59"/>
  <sheetViews>
    <sheetView workbookViewId="0">
      <selection activeCell="G8" sqref="G8:H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43628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10113-2019-004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01/2019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43489</v>
      </c>
      <c r="D24" s="60" t="n"/>
      <c r="E24" s="212" t="n">
        <v>15</v>
      </c>
      <c r="G24" s="213" t="n">
        <v>11</v>
      </c>
      <c r="H24" s="211">
        <f>+G24*E24</f>
        <v/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02/2019 </t>
        </is>
      </c>
      <c r="D26" s="60" t="n"/>
    </row>
    <row r="27" ht="13.5" customFormat="1" customHeight="1" s="58">
      <c r="B27" s="63" t="inlineStr">
        <is>
          <t xml:space="preserve"> - Einrichten von Lohnkonten</t>
        </is>
      </c>
      <c r="C27" s="59">
        <f>+C30</f>
        <v/>
      </c>
      <c r="D27" s="60" t="n"/>
      <c r="E27" s="212" t="n">
        <v>9</v>
      </c>
      <c r="G27" s="213" t="n">
        <v>1</v>
      </c>
      <c r="H27" s="211">
        <f>+G27*E27</f>
        <v/>
      </c>
    </row>
    <row r="28" ht="13.5" customFormat="1" customHeight="1" s="58">
      <c r="B28" s="58" t="inlineStr">
        <is>
          <t xml:space="preserve">   (Zedenko Pejalovic)</t>
        </is>
      </c>
      <c r="C28" s="59" t="n"/>
      <c r="D28" s="60" t="n"/>
      <c r="E28" s="212" t="n"/>
      <c r="G28" s="213" t="n"/>
      <c r="H28" s="211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43518</v>
      </c>
      <c r="D30" s="60" t="n"/>
      <c r="E30" s="212" t="n">
        <v>15</v>
      </c>
      <c r="G30" s="213" t="n">
        <v>12</v>
      </c>
      <c r="H30" s="211">
        <f>+G30*E30</f>
        <v/>
      </c>
    </row>
    <row r="31" ht="5.2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03/2019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43549</v>
      </c>
      <c r="D34" s="60" t="n"/>
      <c r="E34" s="212" t="n">
        <v>15</v>
      </c>
      <c r="G34" s="213" t="n">
        <v>12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/>
    <row r="37" ht="13.5" customFormat="1" customHeight="1" s="58"/>
    <row r="38" ht="13.5" customFormat="1" customHeight="1" s="58"/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I/2019</t>
        </is>
      </c>
      <c r="D41" s="60" t="n"/>
      <c r="E41" s="211">
        <f>SUM(H22:H37)*0.2</f>
        <v/>
      </c>
      <c r="G41" s="211" t="n"/>
      <c r="H41" s="211">
        <f>SUM(G24:G34)*1.3-1.3</f>
        <v/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B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5" customFormat="1" customHeight="1" s="15">
      <c r="D49" s="90" t="n"/>
      <c r="E49" s="183" t="n"/>
      <c r="F49" s="90" t="n"/>
      <c r="G49" s="10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codeName="Tabelle17">
    <outlinePr summaryBelow="1" summaryRight="1"/>
    <pageSetUpPr/>
  </sheetPr>
  <dimension ref="A5:J51"/>
  <sheetViews>
    <sheetView workbookViewId="0">
      <selection activeCell="G28" sqref="G2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43628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10113-2019-005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1036500</v>
      </c>
      <c r="F24" s="159" t="inlineStr">
        <is>
          <t>C</t>
        </is>
      </c>
      <c r="G24" s="183" t="n">
        <v>3</v>
      </c>
      <c r="H24" s="193">
        <f>G24/10*761</f>
        <v/>
      </c>
    </row>
    <row r="25" ht="15" customFormat="1" customHeight="1" s="15">
      <c r="B25" s="15" t="inlineStr">
        <is>
          <t>für 01/2019 am</t>
        </is>
      </c>
      <c r="C25" s="169" t="n">
        <v>43532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3</v>
      </c>
      <c r="H27" s="193">
        <f>G27/10*761</f>
        <v/>
      </c>
    </row>
    <row r="28" ht="15" customFormat="1" customHeight="1" s="15">
      <c r="B28" s="15" t="inlineStr">
        <is>
          <t>für 02/2019 am</t>
        </is>
      </c>
      <c r="C28" s="169" t="n">
        <v>43563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G30/10*761</f>
        <v/>
      </c>
    </row>
    <row r="31" ht="15" customFormat="1" customHeight="1" s="15">
      <c r="B31" s="15" t="inlineStr">
        <is>
          <t>für 03/2019 am</t>
        </is>
      </c>
      <c r="C31" s="169" t="n">
        <v>43592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codeName="Tabelle18">
    <outlinePr summaryBelow="1" summaryRight="1"/>
    <pageSetUpPr/>
  </sheetPr>
  <dimension ref="A2:R60"/>
  <sheetViews>
    <sheetView workbookViewId="0">
      <selection activeCell="G35" sqref="G35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2">
      <c r="L2" s="63" t="inlineStr">
        <is>
          <t xml:space="preserve"> - Einrichten von Lohnkonten</t>
        </is>
      </c>
      <c r="M2" s="59" t="n">
        <v>43579</v>
      </c>
      <c r="N2" s="60" t="n"/>
      <c r="O2" s="212" t="n">
        <v>9</v>
      </c>
      <c r="P2" s="58" t="n"/>
      <c r="Q2" s="213" t="n">
        <v>1</v>
      </c>
      <c r="R2" s="211">
        <f>+Q2*O2</f>
        <v/>
      </c>
    </row>
    <row r="3">
      <c r="L3" s="58" t="inlineStr">
        <is>
          <t xml:space="preserve">   (Zlatko Stjepanovic)</t>
        </is>
      </c>
      <c r="M3" s="59" t="n"/>
      <c r="N3" s="60" t="n"/>
      <c r="O3" s="212" t="n"/>
      <c r="P3" s="58" t="n"/>
      <c r="Q3" s="213" t="n"/>
      <c r="R3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43710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10113-2019-006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5" customFormat="1" customHeight="1" s="140">
      <c r="A18" s="140" t="inlineStr">
        <is>
          <t xml:space="preserve">Für die nachfolgend aufgeführten Leistungen erlaube ich mir nach der Steuerberatervergütungs- </t>
        </is>
      </c>
      <c r="B18" s="43" t="n"/>
      <c r="D18" s="52" t="n"/>
      <c r="E18" s="53" t="n"/>
      <c r="F18" s="47" t="n"/>
    </row>
    <row r="19" ht="15" customFormat="1" customHeight="1" s="140">
      <c r="A19" s="140" t="inlineStr">
        <is>
          <t>verordnung wie folgt abzurechnen:</t>
        </is>
      </c>
      <c r="B19" s="43" t="n"/>
      <c r="D19" s="52" t="n"/>
      <c r="E19" s="53" t="n"/>
      <c r="F19" s="47" t="n"/>
    </row>
    <row r="20" ht="4.5" customFormat="1" customHeight="1" s="140">
      <c r="D20" s="52" t="n"/>
      <c r="E20" s="52" t="n"/>
      <c r="F20" s="53" t="n"/>
      <c r="G20" s="52" t="n"/>
    </row>
    <row r="21" ht="15" customFormat="1" customHeight="1" s="140">
      <c r="A21" s="50" t="inlineStr">
        <is>
          <t>Leistung</t>
        </is>
      </c>
      <c r="B21" s="51" t="n"/>
      <c r="C21" s="50" t="n"/>
      <c r="D21" s="52" t="n"/>
      <c r="E21" s="52" t="inlineStr">
        <is>
          <t>Gegenstands-</t>
        </is>
      </c>
      <c r="F21" s="53" t="inlineStr">
        <is>
          <t>Tabelle</t>
        </is>
      </c>
      <c r="G21" s="52" t="inlineStr">
        <is>
          <t>Arbeit-</t>
        </is>
      </c>
      <c r="H21" s="53" t="inlineStr">
        <is>
          <t>Gebühr</t>
        </is>
      </c>
      <c r="L21" s="63" t="inlineStr">
        <is>
          <t>- LFZ-Anträge Chmielowski</t>
        </is>
      </c>
    </row>
    <row r="22" ht="15" customFormat="1" customHeight="1" s="140">
      <c r="A22" s="54" t="inlineStr">
        <is>
          <t>§§</t>
        </is>
      </c>
      <c r="B22" s="54" t="n"/>
      <c r="C22" s="181" t="inlineStr">
        <is>
          <t>am/in:</t>
        </is>
      </c>
      <c r="D22" s="55" t="n"/>
      <c r="E22" s="56" t="inlineStr">
        <is>
          <t>wert</t>
        </is>
      </c>
      <c r="F22" s="56" t="n"/>
      <c r="G22" s="57" t="inlineStr">
        <is>
          <t>nehmer</t>
        </is>
      </c>
      <c r="H22" s="181" t="n"/>
      <c r="L22" s="63" t="inlineStr">
        <is>
          <t>- LFZ-Anträge Mita, Chmielowski</t>
        </is>
      </c>
    </row>
    <row r="23" ht="13.5" customFormat="1" customHeight="1" s="58">
      <c r="A23" s="58" t="n">
        <v>34</v>
      </c>
      <c r="B23" s="58" t="inlineStr">
        <is>
          <t xml:space="preserve">Löhne/Gehälter 04/2019 </t>
        </is>
      </c>
      <c r="D23" s="60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43579</v>
      </c>
      <c r="D25" s="60" t="n"/>
      <c r="E25" s="212" t="n">
        <v>15</v>
      </c>
      <c r="G25" s="213" t="n">
        <v>13</v>
      </c>
      <c r="H25" s="211">
        <f>+G25*E25</f>
        <v/>
      </c>
    </row>
    <row r="26" ht="5.2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05/2019 </t>
        </is>
      </c>
      <c r="D27" s="60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43608</v>
      </c>
      <c r="D29" s="60" t="n"/>
      <c r="E29" s="212" t="n">
        <v>15</v>
      </c>
      <c r="G29" s="213" t="n">
        <v>13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06/2019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43640</v>
      </c>
      <c r="D33" s="60" t="n"/>
      <c r="E33" s="212" t="n">
        <v>15</v>
      </c>
      <c r="G33" s="213" t="n">
        <v>13</v>
      </c>
      <c r="H33" s="211">
        <f>+G33*E33</f>
        <v/>
      </c>
    </row>
    <row r="34" ht="5.2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1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 xml:space="preserve">- LFZ-Anträge Mario P., Orsolic, </t>
        </is>
      </c>
      <c r="C37" s="59" t="n">
        <v>43564</v>
      </c>
      <c r="D37" s="60" t="n"/>
    </row>
    <row r="38" ht="13.5" customFormat="1" customHeight="1" s="58">
      <c r="B38" s="63" t="inlineStr">
        <is>
          <t xml:space="preserve">- LFZ-Anträge Mario P., Orsolic, </t>
        </is>
      </c>
      <c r="C38" s="59" t="n">
        <v>43601</v>
      </c>
      <c r="D38" s="60" t="n"/>
      <c r="E38" s="209" t="n"/>
      <c r="G38" s="210" t="n"/>
      <c r="H38" s="211" t="n"/>
    </row>
    <row r="39" ht="13.5" customFormat="1" customHeight="1" s="58">
      <c r="B39" s="63" t="inlineStr">
        <is>
          <t>- LFZ-Anträge Pejakovic</t>
        </is>
      </c>
      <c r="C39" s="59">
        <f>+C33</f>
        <v/>
      </c>
      <c r="D39" s="60" t="n"/>
      <c r="E39" s="209" t="n"/>
      <c r="G39" s="210" t="n"/>
      <c r="H39" s="211" t="n"/>
    </row>
    <row r="40" ht="5.25" customFormat="1" customHeight="1" s="58"/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II/2019</t>
        </is>
      </c>
      <c r="D42" s="60" t="n"/>
      <c r="E42" s="211">
        <f>SUM(H23:H34)*0.2</f>
        <v/>
      </c>
      <c r="G42" s="211" t="n"/>
      <c r="H42" s="211">
        <f>SUM(G25:G33)*1.3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E44" s="58" t="inlineStr">
        <is>
          <t>Gesamt</t>
        </is>
      </c>
      <c r="F44" s="71" t="n"/>
      <c r="G44" s="81" t="n"/>
      <c r="H44" s="211">
        <f>SUM(H23:H43)</f>
        <v/>
      </c>
      <c r="J44" s="211" t="n"/>
    </row>
    <row r="45" ht="13.5" customFormat="1" customHeight="1" s="58">
      <c r="E45" s="74" t="inlineStr">
        <is>
          <t>USt 19%</t>
        </is>
      </c>
      <c r="F45" s="71" t="n"/>
      <c r="G45" s="81" t="n"/>
      <c r="H45" s="211">
        <f>+H44*0.19</f>
        <v/>
      </c>
    </row>
    <row r="46" ht="14.25" customFormat="1" customHeight="1" s="58" thickBot="1">
      <c r="E46" s="75" t="inlineStr">
        <is>
          <t>Rechnungsendbetrag</t>
        </is>
      </c>
      <c r="F46" s="76" t="n"/>
      <c r="G46" s="77" t="n"/>
      <c r="H46" s="216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3.5" customFormat="1" customHeight="1" s="58">
      <c r="D50" s="81" t="n"/>
      <c r="E50" s="80" t="n"/>
      <c r="F50" s="62" t="n"/>
    </row>
    <row r="51" ht="15" customFormat="1" customHeight="1" s="15">
      <c r="D51" s="90" t="n"/>
      <c r="E51" s="183" t="n"/>
      <c r="F51" s="90" t="n"/>
      <c r="G51" s="10" t="n"/>
    </row>
    <row r="52" ht="15" customFormat="1" customHeight="1" s="15">
      <c r="B52" s="21" t="n"/>
      <c r="D52" s="90" t="n"/>
      <c r="E52" s="183" t="n"/>
      <c r="F52" s="90" t="n"/>
      <c r="G52" s="10" t="n"/>
    </row>
    <row r="54" ht="11.25" customHeight="1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codeName="Tabelle19">
    <outlinePr summaryBelow="1" summaryRight="1"/>
    <pageSetUpPr/>
  </sheetPr>
  <dimension ref="A5:J51"/>
  <sheetViews>
    <sheetView workbookViewId="0">
      <selection activeCell="E24" sqref="E24:H3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43710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10113-2019-007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1036000</v>
      </c>
      <c r="F24" s="159" t="inlineStr">
        <is>
          <t>C</t>
        </is>
      </c>
      <c r="G24" s="183" t="n">
        <v>2.5</v>
      </c>
      <c r="H24" s="193">
        <f>G24/10*761</f>
        <v/>
      </c>
    </row>
    <row r="25" ht="15" customFormat="1" customHeight="1" s="15">
      <c r="B25" s="15" t="inlineStr">
        <is>
          <t>für 04/2019 am</t>
        </is>
      </c>
      <c r="C25" s="169" t="n">
        <v>43627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G27/10*761</f>
        <v/>
      </c>
    </row>
    <row r="28" ht="15" customFormat="1" customHeight="1" s="15">
      <c r="B28" s="15" t="inlineStr">
        <is>
          <t>für 05/2019 am</t>
        </is>
      </c>
      <c r="C28" s="169" t="n">
        <v>43654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2.5</v>
      </c>
      <c r="H30" s="193">
        <f>G30/10*761</f>
        <v/>
      </c>
    </row>
    <row r="31" ht="15" customFormat="1" customHeight="1" s="15">
      <c r="B31" s="15" t="inlineStr">
        <is>
          <t>für 06/2019 am</t>
        </is>
      </c>
      <c r="C31" s="169" t="n">
        <v>43685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codeName="Tabelle20">
    <outlinePr summaryBelow="1" summaryRight="1"/>
    <pageSetUpPr/>
  </sheetPr>
  <dimension ref="A5:R59"/>
  <sheetViews>
    <sheetView workbookViewId="0">
      <selection activeCell="A28" sqref="A28:IV2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43761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10113-2019-008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5" customFormat="1" customHeight="1" s="140">
      <c r="A18" s="140" t="inlineStr">
        <is>
          <t xml:space="preserve">Für die nachfolgend aufgeführten Leistungen erlaube ich mir nach der Steuerberatervergütungs- </t>
        </is>
      </c>
      <c r="B18" s="43" t="n"/>
      <c r="D18" s="52" t="n"/>
      <c r="E18" s="53" t="n"/>
      <c r="F18" s="47" t="n"/>
    </row>
    <row r="19" ht="15" customFormat="1" customHeight="1" s="140">
      <c r="A19" s="140" t="inlineStr">
        <is>
          <t>verordnung wie folgt abzurechnen:</t>
        </is>
      </c>
      <c r="B19" s="43" t="n"/>
      <c r="D19" s="52" t="n"/>
      <c r="E19" s="53" t="n"/>
      <c r="F19" s="47" t="n"/>
    </row>
    <row r="20" ht="4.5" customFormat="1" customHeight="1" s="140">
      <c r="D20" s="52" t="n"/>
      <c r="E20" s="52" t="n"/>
      <c r="F20" s="53" t="n"/>
      <c r="G20" s="52" t="n"/>
    </row>
    <row r="21" ht="15" customFormat="1" customHeight="1" s="140">
      <c r="A21" s="50" t="inlineStr">
        <is>
          <t>Leistung</t>
        </is>
      </c>
      <c r="B21" s="51" t="n"/>
      <c r="C21" s="50" t="n"/>
      <c r="D21" s="52" t="n"/>
      <c r="E21" s="52" t="inlineStr">
        <is>
          <t>Gegenstands-</t>
        </is>
      </c>
      <c r="F21" s="53" t="inlineStr">
        <is>
          <t>Tabelle</t>
        </is>
      </c>
      <c r="G21" s="52" t="inlineStr">
        <is>
          <t>Arbeit-</t>
        </is>
      </c>
      <c r="H21" s="53" t="inlineStr">
        <is>
          <t>Gebühr</t>
        </is>
      </c>
    </row>
    <row r="22" ht="15" customFormat="1" customHeight="1" s="140">
      <c r="A22" s="54" t="inlineStr">
        <is>
          <t>§§</t>
        </is>
      </c>
      <c r="B22" s="54" t="n"/>
      <c r="C22" s="181" t="inlineStr">
        <is>
          <t>am/in:</t>
        </is>
      </c>
      <c r="D22" s="55" t="n"/>
      <c r="E22" s="56" t="inlineStr">
        <is>
          <t>wert</t>
        </is>
      </c>
      <c r="F22" s="56" t="n"/>
      <c r="G22" s="57" t="inlineStr">
        <is>
          <t>nehmer</t>
        </is>
      </c>
      <c r="H22" s="181" t="n"/>
    </row>
    <row r="23" ht="13.5" customFormat="1" customHeight="1" s="58">
      <c r="A23" s="58" t="n">
        <v>34</v>
      </c>
      <c r="B23" s="58" t="inlineStr">
        <is>
          <t xml:space="preserve">Löhne/Gehälter 07/2019 </t>
        </is>
      </c>
      <c r="D23" s="60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43670</v>
      </c>
      <c r="D25" s="60" t="n"/>
      <c r="E25" s="212" t="n">
        <v>15</v>
      </c>
      <c r="G25" s="213" t="n">
        <v>13</v>
      </c>
      <c r="H25" s="211">
        <f>+G25*E25</f>
        <v/>
      </c>
    </row>
    <row r="26" ht="3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08/2019 </t>
        </is>
      </c>
      <c r="D27" s="60" t="n"/>
    </row>
    <row r="28" ht="13.5" customFormat="1" customHeight="1" s="58">
      <c r="B28" s="63" t="inlineStr">
        <is>
          <t xml:space="preserve"> - Einrichten von Lohnkonten</t>
        </is>
      </c>
      <c r="C28" s="59" t="n"/>
      <c r="D28" s="60" t="n"/>
      <c r="E28" s="212" t="n">
        <v>9</v>
      </c>
      <c r="G28" s="213" t="n">
        <v>1</v>
      </c>
      <c r="H28" s="211">
        <f>+G28*E28</f>
        <v/>
      </c>
    </row>
    <row r="29" ht="13.5" customFormat="1" customHeight="1" s="58">
      <c r="B29" s="58" t="inlineStr">
        <is>
          <t xml:space="preserve">   (Bilic)</t>
        </is>
      </c>
      <c r="C29" s="59" t="n">
        <v>43678</v>
      </c>
      <c r="D29" s="60" t="n"/>
      <c r="E29" s="212" t="n"/>
      <c r="G29" s="213" t="n"/>
      <c r="H29" s="211" t="n"/>
    </row>
    <row r="30" ht="13.5" customFormat="1" customHeight="1" s="58">
      <c r="B30" s="63" t="inlineStr">
        <is>
          <t xml:space="preserve"> - Lohnabrechnungen inkl. </t>
        </is>
      </c>
      <c r="C30" s="59" t="n"/>
      <c r="D30" s="60" t="n"/>
    </row>
    <row r="31" ht="13.5" customFormat="1" customHeight="1" s="58">
      <c r="B31" s="58" t="inlineStr">
        <is>
          <t xml:space="preserve">   Sozialvers.-meldungen</t>
        </is>
      </c>
      <c r="C31" s="59" t="n">
        <v>43698</v>
      </c>
      <c r="D31" s="60" t="n"/>
      <c r="E31" s="212" t="n">
        <v>15</v>
      </c>
      <c r="G31" s="213" t="n">
        <v>14</v>
      </c>
      <c r="H31" s="211">
        <f>+G31*E31</f>
        <v/>
      </c>
    </row>
    <row r="32" ht="5.25" customFormat="1" customHeight="1" s="58">
      <c r="C32" s="59" t="n"/>
      <c r="D32" s="60" t="n"/>
      <c r="E32" s="212" t="n"/>
      <c r="G32" s="213" t="n"/>
      <c r="H32" s="211" t="n"/>
    </row>
    <row r="33" ht="13.5" customFormat="1" customHeight="1" s="58">
      <c r="A33" s="58" t="n">
        <v>34</v>
      </c>
      <c r="B33" s="58" t="inlineStr">
        <is>
          <t xml:space="preserve">Löhne/Gehälter 09/2019 </t>
        </is>
      </c>
      <c r="D33" s="60" t="n"/>
    </row>
    <row r="34" ht="13.5" customFormat="1" customHeight="1" s="58">
      <c r="B34" s="63" t="inlineStr">
        <is>
          <t xml:space="preserve"> - Lohnabrechnungen inkl. </t>
        </is>
      </c>
      <c r="C34" s="59" t="n"/>
      <c r="D34" s="60" t="n"/>
    </row>
    <row r="35" ht="13.5" customFormat="1" customHeight="1" s="58">
      <c r="B35" s="58" t="inlineStr">
        <is>
          <t xml:space="preserve">   Sozialvers.-meldungen</t>
        </is>
      </c>
      <c r="C35" s="59" t="n">
        <v>43366</v>
      </c>
      <c r="D35" s="60" t="n"/>
      <c r="E35" s="212" t="n">
        <v>15</v>
      </c>
      <c r="G35" s="213" t="n">
        <v>13</v>
      </c>
      <c r="H35" s="211">
        <f>+G35*E35</f>
        <v/>
      </c>
    </row>
    <row r="36" ht="5.25" customFormat="1" customHeight="1" s="58">
      <c r="C36" s="59" t="n"/>
      <c r="D36" s="60" t="n"/>
      <c r="E36" s="212" t="n"/>
      <c r="G36" s="213" t="n"/>
      <c r="H36" s="211" t="n"/>
    </row>
    <row r="37" ht="13.5" customFormat="1" customHeight="1" s="58">
      <c r="A37" s="58" t="n">
        <v>34</v>
      </c>
      <c r="B37" s="58" t="inlineStr">
        <is>
          <t>Hilfeleistung bei sonstigen Tätigkeiten im Zusammen-</t>
        </is>
      </c>
      <c r="C37" s="59" t="n"/>
      <c r="D37" s="60" t="n"/>
      <c r="E37" s="209" t="n">
        <v>80</v>
      </c>
      <c r="F37" s="58" t="inlineStr">
        <is>
          <t>Zeitgeb.</t>
        </is>
      </c>
      <c r="G37" s="210" t="n">
        <v>0</v>
      </c>
      <c r="H37" s="211">
        <f>+G37*E37</f>
        <v/>
      </c>
    </row>
    <row r="38" ht="13.5" customFormat="1" customHeight="1" s="58">
      <c r="B38" s="58" t="inlineStr">
        <is>
          <t>hang mit dem Lohnsteuerabzug/der Lohnbuchführung</t>
        </is>
      </c>
      <c r="C38" s="59" t="n"/>
      <c r="D38" s="60" t="n"/>
      <c r="E38" s="212" t="n"/>
      <c r="G38" s="213" t="n"/>
      <c r="H38" s="211" t="n"/>
    </row>
    <row r="39" ht="13.5" customFormat="1" customHeight="1" s="58">
      <c r="B39" s="63" t="inlineStr">
        <is>
          <t>- LFZ-Anträge Mario Perikic</t>
        </is>
      </c>
      <c r="C39" s="59">
        <f>+C25</f>
        <v/>
      </c>
      <c r="D39" s="60" t="n"/>
    </row>
    <row r="40" ht="5.25" customFormat="1" customHeight="1" s="58"/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III/2019</t>
        </is>
      </c>
      <c r="D42" s="60" t="n"/>
      <c r="E42" s="211">
        <f>SUM(H23:H36)*0.2</f>
        <v/>
      </c>
      <c r="G42" s="211" t="n"/>
      <c r="H42" s="211">
        <f>(G25+G31+G35)*1.3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SUM(H23:H43)</f>
        <v/>
      </c>
      <c r="J44" s="211" t="n"/>
    </row>
    <row r="45" ht="13.5" customFormat="1" customHeight="1" s="58">
      <c r="E45" s="74" t="inlineStr">
        <is>
          <t>USt 19%</t>
        </is>
      </c>
      <c r="F45" s="71" t="n"/>
      <c r="G45" s="81" t="n"/>
      <c r="H45" s="211">
        <f>+H44*0.19</f>
        <v/>
      </c>
    </row>
    <row r="46" ht="14.25" customFormat="1" customHeight="1" s="58" thickBot="1">
      <c r="E46" s="75" t="inlineStr">
        <is>
          <t>Rechnungsendbetrag</t>
        </is>
      </c>
      <c r="F46" s="76" t="n"/>
      <c r="G46" s="77" t="n"/>
      <c r="H46" s="216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20.25" customHeight="1">
      <c r="B51" s="21" t="n"/>
    </row>
    <row r="53" ht="19.5" customHeight="1"/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codeName="Tabelle21">
    <outlinePr summaryBelow="1" summaryRight="1"/>
    <pageSetUpPr/>
  </sheetPr>
  <dimension ref="A5:J51"/>
  <sheetViews>
    <sheetView workbookViewId="0">
      <selection activeCell="L23" sqref="L23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43787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10113-2019-009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1036000</v>
      </c>
      <c r="F24" s="159" t="inlineStr">
        <is>
          <t>C</t>
        </is>
      </c>
      <c r="G24" s="183" t="n">
        <v>2.5</v>
      </c>
      <c r="H24" s="193">
        <f>G24/10*761</f>
        <v/>
      </c>
    </row>
    <row r="25" ht="15" customFormat="1" customHeight="1" s="15">
      <c r="B25" s="15" t="inlineStr">
        <is>
          <t>für 07/2019 am</t>
        </is>
      </c>
      <c r="C25" s="169" t="n">
        <v>43717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G27/10*761</f>
        <v/>
      </c>
    </row>
    <row r="28" ht="15" customFormat="1" customHeight="1" s="15">
      <c r="B28" s="15" t="inlineStr">
        <is>
          <t>für 08/2019 am</t>
        </is>
      </c>
      <c r="C28" s="169" t="n">
        <v>43733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2.5</v>
      </c>
      <c r="H30" s="193">
        <f>G30/10*761</f>
        <v/>
      </c>
    </row>
    <row r="31" ht="15" customFormat="1" customHeight="1" s="15">
      <c r="B31" s="15" t="inlineStr">
        <is>
          <t>für 09/2019 am</t>
        </is>
      </c>
      <c r="C31" s="169" t="n">
        <v>43780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codeName="Tabelle22">
    <outlinePr summaryBelow="1" summaryRight="1"/>
    <pageSetUpPr/>
  </sheetPr>
  <dimension ref="A5:R52"/>
  <sheetViews>
    <sheetView topLeftCell="A19" workbookViewId="0">
      <selection activeCell="N36" sqref="N36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10"/>
    <col width="13.140625" bestFit="1" customWidth="1" style="6" min="11" max="11"/>
    <col width="11.5703125" customWidth="1" style="6" min="12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43808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10113-2019-010</t>
        </is>
      </c>
      <c r="H9" s="188" t="n"/>
      <c r="K9" s="15" t="n">
        <v>27</v>
      </c>
      <c r="L9" s="15" t="inlineStr">
        <is>
          <t>Prüfung der Bescheide zur Körperschaftsteuer,</t>
        </is>
      </c>
      <c r="M9" s="159" t="n"/>
      <c r="O9" s="203" t="n">
        <v>80</v>
      </c>
      <c r="P9" s="183" t="inlineStr">
        <is>
          <t>Zeitgeb.</t>
        </is>
      </c>
      <c r="Q9" s="204" t="n">
        <v>0.5</v>
      </c>
      <c r="R9" s="193">
        <f>+Q9*O9</f>
        <v/>
      </c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</f>
        <v/>
      </c>
      <c r="H10" s="190" t="n"/>
      <c r="L10" s="15" t="inlineStr">
        <is>
          <t xml:space="preserve">zum Gewerbesteuermeßbetrag und zur Feststellung </t>
        </is>
      </c>
      <c r="M10" s="159" t="n"/>
      <c r="O10" s="202" t="n"/>
      <c r="P10" s="183" t="n"/>
      <c r="Q10" s="20" t="n"/>
      <c r="R10" s="193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L11" s="15" t="inlineStr">
        <is>
          <t>körperschaftsteuerlicher Bemessungsgrundlagen 2016</t>
        </is>
      </c>
      <c r="M11" s="159" t="n"/>
      <c r="O11" s="202" t="n"/>
      <c r="P11" s="183" t="n"/>
      <c r="Q11" s="20" t="n"/>
      <c r="R11" s="193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  <c r="K12" s="15" t="n"/>
      <c r="L12" s="15" t="inlineStr">
        <is>
          <t>am 06.09.2017</t>
        </is>
      </c>
      <c r="M12" s="159" t="n"/>
      <c r="N12" s="15" t="n"/>
      <c r="O12" s="202" t="n"/>
      <c r="P12" s="183" t="n"/>
      <c r="Q12" s="20" t="n"/>
      <c r="R12" s="193" t="n"/>
    </row>
    <row r="17" ht="14.25" customFormat="1" customHeight="1" s="12">
      <c r="A17" s="152" t="inlineStr">
        <is>
          <t xml:space="preserve">Rechnung über Honorare </t>
        </is>
      </c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4.25" customFormat="1" customHeight="1" s="12">
      <c r="A19" s="152" t="n"/>
      <c r="B19" s="152" t="n"/>
      <c r="C19" s="152" t="n"/>
      <c r="D19" s="152" t="n"/>
      <c r="E19" s="152" t="n"/>
      <c r="F19" s="152" t="n"/>
      <c r="G19" s="152" t="n"/>
      <c r="H19" s="152" t="n"/>
    </row>
    <row r="20" ht="15" customFormat="1" customHeight="1" s="15">
      <c r="A20" s="15" t="inlineStr">
        <is>
          <t xml:space="preserve">Für die nachfolgend aufgeführten Leistungen erlaube ich mir nach der Steuerberatervergütungs- </t>
        </is>
      </c>
      <c r="B20" s="13" t="n"/>
      <c r="D20" s="90" t="n"/>
      <c r="E20" s="183" t="n"/>
      <c r="F20" s="90" t="n"/>
      <c r="G20" s="18" t="n"/>
    </row>
    <row r="21" ht="15" customFormat="1" customHeight="1" s="15">
      <c r="A21" s="15" t="inlineStr">
        <is>
          <t>verordnung wie folgt abzurechnen:</t>
        </is>
      </c>
      <c r="B21" s="13" t="n"/>
      <c r="D21" s="90" t="n"/>
      <c r="E21" s="183" t="n"/>
      <c r="F21" s="90" t="n"/>
      <c r="G21" s="18" t="n"/>
    </row>
    <row r="22" ht="9" customFormat="1" customHeight="1" s="15">
      <c r="D22" s="90" t="n"/>
      <c r="E22" s="183" t="n"/>
      <c r="F22" s="10" t="n"/>
      <c r="G22" s="18" t="n"/>
      <c r="J22" s="202" t="n"/>
      <c r="K22" s="202" t="n"/>
      <c r="L22" s="202" t="n"/>
      <c r="M22" s="202" t="n"/>
      <c r="N22" s="202" t="n"/>
      <c r="O22" s="202" t="n"/>
    </row>
    <row r="23" ht="15" customFormat="1" customHeight="1" s="15">
      <c r="A23" s="17" t="inlineStr">
        <is>
          <t>Leistung</t>
        </is>
      </c>
      <c r="B23" s="19" t="n"/>
      <c r="C23" s="17" t="n"/>
      <c r="D23" s="90" t="n"/>
      <c r="E23" s="90" t="inlineStr">
        <is>
          <t>Gegenstands-</t>
        </is>
      </c>
      <c r="F23" s="183" t="inlineStr">
        <is>
          <t>Tabelle</t>
        </is>
      </c>
      <c r="G23" s="20" t="inlineStr">
        <is>
          <t>Geb.-</t>
        </is>
      </c>
      <c r="H23" s="183" t="inlineStr">
        <is>
          <t>Gebühr</t>
        </is>
      </c>
      <c r="J23" s="202" t="n"/>
      <c r="K23" s="202" t="n"/>
      <c r="L23" s="202" t="n"/>
      <c r="M23" s="202" t="n"/>
      <c r="N23" s="202" t="n"/>
      <c r="O23" s="202" t="n"/>
    </row>
    <row r="24" ht="15" customFormat="1" customHeight="1" s="15">
      <c r="A24" s="21" t="inlineStr">
        <is>
          <t>§§</t>
        </is>
      </c>
      <c r="B24" s="21" t="n"/>
      <c r="C24" s="21" t="n"/>
      <c r="D24" s="22" t="n"/>
      <c r="E24" s="22" t="inlineStr">
        <is>
          <t xml:space="preserve"> wert</t>
        </is>
      </c>
      <c r="F24" s="150" t="n"/>
      <c r="G24" s="24" t="inlineStr">
        <is>
          <t>satz</t>
        </is>
      </c>
      <c r="H24" s="25" t="n"/>
      <c r="J24" s="202" t="n"/>
      <c r="K24" s="202" t="n"/>
      <c r="L24" s="202" t="n"/>
      <c r="M24" s="202" t="n"/>
      <c r="N24" s="202" t="n"/>
      <c r="O24" s="202" t="n"/>
    </row>
    <row r="25" ht="16.5" customFormat="1" customHeight="1" s="15">
      <c r="A25" s="15" t="n">
        <v>35</v>
      </c>
      <c r="B25" s="15" t="inlineStr">
        <is>
          <t>Jahresabschluß</t>
        </is>
      </c>
      <c r="C25" s="159" t="n">
        <v>2018</v>
      </c>
      <c r="E25" s="202">
        <f>+(J25+K25)/2</f>
        <v/>
      </c>
      <c r="F25" s="183" t="inlineStr">
        <is>
          <t>B</t>
        </is>
      </c>
      <c r="G25" s="20" t="n">
        <v>24</v>
      </c>
      <c r="H25" s="193">
        <f>G25/10*885</f>
        <v/>
      </c>
      <c r="J25" s="202" t="n">
        <v>367890.87</v>
      </c>
      <c r="K25" s="202" t="n">
        <v>1146065.63</v>
      </c>
      <c r="L25" s="202" t="n"/>
      <c r="M25" s="202" t="n"/>
      <c r="N25" s="202" t="n"/>
      <c r="O25" s="202" t="n"/>
    </row>
    <row r="26" ht="5.25" customFormat="1" customHeight="1" s="15">
      <c r="C26" s="159" t="n"/>
      <c r="E26" s="202" t="n"/>
      <c r="F26" s="183" t="n"/>
      <c r="G26" s="20" t="n"/>
      <c r="H26" s="193" t="n"/>
      <c r="J26" s="202" t="n"/>
      <c r="K26" s="202" t="n"/>
      <c r="L26" s="202" t="n"/>
      <c r="M26" s="202" t="n"/>
      <c r="N26" s="202" t="n"/>
      <c r="O26" s="202" t="n"/>
    </row>
    <row r="27" ht="16.5" customFormat="1" customHeight="1" s="15">
      <c r="A27" s="15" t="n">
        <v>35</v>
      </c>
      <c r="B27" s="15" t="inlineStr">
        <is>
          <t>Steuerbilanz und -GuV</t>
        </is>
      </c>
      <c r="C27" s="159">
        <f>+C25</f>
        <v/>
      </c>
      <c r="E27" s="202">
        <f>+(J27+K27)/2</f>
        <v/>
      </c>
      <c r="F27" s="183" t="inlineStr">
        <is>
          <t>B</t>
        </is>
      </c>
      <c r="G27" s="20" t="n">
        <v>7.5</v>
      </c>
      <c r="H27" s="193">
        <f>G27/10*885</f>
        <v/>
      </c>
      <c r="J27" s="202" t="n">
        <v>352410.87</v>
      </c>
      <c r="K27" s="202">
        <f>+K25</f>
        <v/>
      </c>
      <c r="L27" s="202" t="n"/>
      <c r="M27" s="202" t="n"/>
      <c r="N27" s="202" t="n"/>
      <c r="O27" s="202" t="n"/>
    </row>
    <row r="28" ht="5.25" customFormat="1" customHeight="1" s="15">
      <c r="C28" s="159" t="n"/>
      <c r="E28" s="202" t="n"/>
      <c r="F28" s="183" t="n"/>
      <c r="G28" s="20" t="n"/>
      <c r="H28" s="193" t="n"/>
      <c r="J28" s="202" t="n"/>
      <c r="K28" s="202" t="n"/>
      <c r="L28" s="202" t="n"/>
      <c r="M28" s="202" t="n"/>
      <c r="N28" s="202" t="n"/>
      <c r="O28" s="202" t="n"/>
    </row>
    <row r="29" ht="15" customFormat="1" customHeight="1" s="15">
      <c r="A29" s="15" t="n">
        <v>24</v>
      </c>
      <c r="B29" s="15" t="inlineStr">
        <is>
          <t>Umsatzsteuerjahreserklärung</t>
        </is>
      </c>
      <c r="C29" s="159">
        <f>+C27</f>
        <v/>
      </c>
      <c r="E29" s="202">
        <f>+(713434+334529)/10</f>
        <v/>
      </c>
      <c r="F29" s="183" t="inlineStr">
        <is>
          <t>A</t>
        </is>
      </c>
      <c r="G29" s="20" t="n">
        <v>2</v>
      </c>
      <c r="H29" s="193">
        <f>G29/10*1422</f>
        <v/>
      </c>
      <c r="J29" s="202" t="n"/>
      <c r="K29" s="202" t="n"/>
      <c r="L29" s="202" t="n"/>
      <c r="M29" s="202" t="n"/>
      <c r="N29" s="202" t="n"/>
      <c r="O29" s="202" t="n"/>
    </row>
    <row r="30" ht="5.25" customFormat="1" customHeight="1" s="15">
      <c r="C30" s="159" t="n"/>
      <c r="E30" s="202" t="n"/>
      <c r="F30" s="183" t="n"/>
      <c r="G30" s="20" t="n"/>
      <c r="H30" s="193" t="n"/>
      <c r="J30" s="202" t="n"/>
      <c r="K30" s="202" t="n"/>
      <c r="L30" s="202" t="n"/>
      <c r="M30" s="202" t="n"/>
      <c r="N30" s="202" t="n"/>
      <c r="O30" s="202" t="n"/>
    </row>
    <row r="31" ht="15" customFormat="1" customHeight="1" s="15">
      <c r="A31" s="15" t="n">
        <v>24</v>
      </c>
      <c r="B31" s="15" t="inlineStr">
        <is>
          <t>Gewerbesteuererklärung nach dem Gewerbe-</t>
        </is>
      </c>
      <c r="C31" s="159" t="n"/>
      <c r="E31" s="202" t="n">
        <v>8000</v>
      </c>
      <c r="F31" s="183" t="inlineStr">
        <is>
          <t>A</t>
        </is>
      </c>
      <c r="G31" s="20" t="n">
        <v>2</v>
      </c>
      <c r="H31" s="193">
        <f>G31/10*443</f>
        <v/>
      </c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B32" s="15" t="inlineStr">
        <is>
          <t xml:space="preserve">ertrag für </t>
        </is>
      </c>
      <c r="C32" s="159">
        <f>+C25</f>
        <v/>
      </c>
      <c r="E32" s="202" t="n"/>
      <c r="F32" s="183" t="n"/>
      <c r="G32" s="20" t="n"/>
      <c r="H32" s="193" t="n"/>
      <c r="J32" s="202" t="n"/>
      <c r="K32" s="202" t="n"/>
      <c r="L32" s="202" t="n"/>
      <c r="M32" s="202" t="n"/>
      <c r="N32" s="202" t="n"/>
      <c r="O32" s="202" t="n"/>
    </row>
    <row r="33" ht="5.25" customFormat="1" customHeight="1" s="15">
      <c r="C33" s="159" t="n"/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15" customFormat="1" customHeight="1" s="15">
      <c r="A34" s="15" t="n">
        <v>24</v>
      </c>
      <c r="B34" s="15" t="inlineStr">
        <is>
          <t xml:space="preserve">Körperschaftsteuererklärung für </t>
        </is>
      </c>
      <c r="C34" s="159">
        <f>+C32</f>
        <v/>
      </c>
      <c r="E34" s="202" t="n">
        <v>16000</v>
      </c>
      <c r="F34" s="183" t="inlineStr">
        <is>
          <t>A</t>
        </is>
      </c>
      <c r="G34" s="20" t="n">
        <v>2</v>
      </c>
      <c r="H34" s="193">
        <f>G34/10*594</f>
        <v/>
      </c>
      <c r="J34" s="202" t="n"/>
      <c r="K34" s="202" t="n"/>
      <c r="L34" s="202" t="n"/>
      <c r="M34" s="202" t="n"/>
      <c r="N34" s="202" t="n"/>
      <c r="O34" s="202" t="n"/>
    </row>
    <row r="35" ht="5.25" customFormat="1" customHeight="1" s="15">
      <c r="C35" s="159" t="n"/>
      <c r="E35" s="202" t="n"/>
      <c r="F35" s="183" t="n"/>
      <c r="G35" s="20" t="n"/>
      <c r="H35" s="193" t="n"/>
      <c r="J35" s="202" t="n"/>
      <c r="K35" s="202" t="n"/>
      <c r="L35" s="202" t="n"/>
      <c r="M35" s="202" t="n"/>
      <c r="N35" s="202" t="n"/>
      <c r="O35" s="202" t="n"/>
    </row>
    <row r="36" ht="15" customFormat="1" customHeight="1" s="15">
      <c r="A36" s="15" t="n">
        <v>24</v>
      </c>
      <c r="B36" s="15" t="inlineStr">
        <is>
          <t>Erklärung zur gesonderten Ermittlung von Be-</t>
        </is>
      </c>
      <c r="C36" s="159" t="n"/>
      <c r="E36" s="202" t="n">
        <v>8000</v>
      </c>
      <c r="F36" s="183" t="inlineStr">
        <is>
          <t>A</t>
        </is>
      </c>
      <c r="G36" s="20" t="n">
        <v>1</v>
      </c>
      <c r="H36" s="193">
        <f>G36/10*443</f>
        <v/>
      </c>
    </row>
    <row r="37" ht="15" customFormat="1" customHeight="1" s="15">
      <c r="B37" s="15" t="inlineStr">
        <is>
          <t>steuerungsgrundlagen nach §§ 27 ff. KStG</t>
        </is>
      </c>
      <c r="C37" s="159" t="n"/>
      <c r="E37" s="202" t="n"/>
      <c r="F37" s="183" t="n"/>
      <c r="G37" s="20" t="n"/>
      <c r="H37" s="193" t="n"/>
    </row>
    <row r="38" ht="15" customFormat="1" customHeight="1" s="15">
      <c r="B38" s="15" t="inlineStr">
        <is>
          <t>auf den 31.12.</t>
        </is>
      </c>
      <c r="C38" s="159">
        <f>+C34</f>
        <v/>
      </c>
      <c r="E38" s="202" t="n"/>
      <c r="F38" s="183" t="n"/>
      <c r="G38" s="20" t="n"/>
      <c r="H38" s="193" t="n"/>
    </row>
    <row r="39" ht="5.25" customFormat="1" customHeight="1" s="15">
      <c r="C39" s="159" t="n"/>
      <c r="E39" s="202" t="n"/>
      <c r="F39" s="183" t="n"/>
      <c r="G39" s="20" t="n"/>
      <c r="H39" s="193" t="n"/>
    </row>
    <row r="40" ht="15" customFormat="1" customHeight="1" s="15"/>
    <row r="41" ht="15.75" customFormat="1" customHeight="1" s="15">
      <c r="A41" s="15" t="n">
        <v>16</v>
      </c>
      <c r="B41" s="15" t="inlineStr">
        <is>
          <t xml:space="preserve">Auslagenersatz für Post- und </t>
        </is>
      </c>
      <c r="C41" s="159" t="n"/>
      <c r="E41" s="202">
        <f>SUM(H25:H37)*0.15</f>
        <v/>
      </c>
      <c r="F41" s="159" t="n"/>
      <c r="G41" s="20" t="n">
        <v>0</v>
      </c>
      <c r="H41" s="193" t="n">
        <v>20</v>
      </c>
    </row>
    <row r="42" ht="15.75" customFormat="1" customHeight="1" s="15">
      <c r="B42" s="15" t="inlineStr">
        <is>
          <t>Telekommunikation</t>
        </is>
      </c>
      <c r="E42" s="90" t="n"/>
      <c r="G42" s="20" t="n"/>
      <c r="H42" s="193" t="n"/>
    </row>
    <row r="43" ht="15" customFormat="1" customHeight="1" s="15">
      <c r="A43" s="112" t="inlineStr">
        <is>
          <t>*sofern nicht separat anders angegeben</t>
        </is>
      </c>
      <c r="B43" s="28" t="n"/>
      <c r="C43" s="28" t="n"/>
      <c r="D43" s="28" t="n"/>
      <c r="E43" s="29" t="inlineStr">
        <is>
          <t>Zwischensumme</t>
        </is>
      </c>
      <c r="F43" s="197" t="n"/>
      <c r="G43" s="31" t="n"/>
      <c r="H43" s="198">
        <f>SUM(H25:H42)</f>
        <v/>
      </c>
      <c r="I43" s="193">
        <f>+H43-'JA 2017'!H45</f>
        <v/>
      </c>
      <c r="J43" s="193" t="n"/>
    </row>
    <row r="44" ht="15" customFormat="1" customHeight="1" s="15">
      <c r="A44" s="15" t="n"/>
      <c r="B44" s="15" t="n"/>
      <c r="C44" s="15" t="n"/>
      <c r="D44" s="15" t="n"/>
      <c r="E44" s="100" t="inlineStr">
        <is>
          <t>Umsatzsteuer 19%</t>
        </is>
      </c>
      <c r="F44" s="199" t="n"/>
      <c r="G44" s="35" t="n"/>
      <c r="H44" s="193">
        <f>+H43*0.19</f>
        <v/>
      </c>
    </row>
    <row r="45" customFormat="1" s="15" thickBot="1">
      <c r="A45" s="15" t="n"/>
      <c r="B45" s="15" t="n"/>
      <c r="C45" s="15" t="n"/>
      <c r="D45" s="15" t="n"/>
      <c r="E45" s="37" t="inlineStr">
        <is>
          <t>Rechnungsbetrag</t>
        </is>
      </c>
      <c r="F45" s="200" t="n"/>
      <c r="G45" s="39" t="n"/>
      <c r="H45" s="201">
        <f>SUM(H43:H44)</f>
        <v/>
      </c>
    </row>
    <row r="46" customFormat="1" s="15" thickTop="1">
      <c r="D46" s="90" t="n"/>
      <c r="E46" s="183" t="n"/>
      <c r="F46" s="10" t="n"/>
    </row>
    <row r="49">
      <c r="B49" s="14" t="n"/>
    </row>
    <row r="50" ht="12.75" customFormat="1" customHeight="1" s="41"/>
    <row r="51" ht="12.75" customFormat="1" customHeight="1" s="41"/>
    <row r="52">
      <c r="A52" s="147" t="inlineStr">
        <is>
          <t xml:space="preserve">Steuernummer: 012 801 35159       </t>
        </is>
      </c>
    </row>
  </sheetData>
  <mergeCells count="11">
    <mergeCell ref="G7:H7"/>
    <mergeCell ref="E7:F7"/>
    <mergeCell ref="E10:F10"/>
    <mergeCell ref="G10:H10"/>
    <mergeCell ref="E8:F8"/>
    <mergeCell ref="A52:H52"/>
    <mergeCell ref="F12:H12"/>
    <mergeCell ref="G9:H9"/>
    <mergeCell ref="E9:F9"/>
    <mergeCell ref="F11:H11"/>
    <mergeCell ref="A17:H17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codeName="Tabelle23">
    <outlinePr summaryBelow="1" summaryRight="1"/>
    <pageSetUpPr/>
  </sheetPr>
  <dimension ref="A5:R59"/>
  <sheetViews>
    <sheetView topLeftCell="A7" workbookViewId="0">
      <selection activeCell="B38" sqref="B3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43924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63" t="inlineStr">
        <is>
          <t xml:space="preserve"> - Einrichten von Lohnkonten</t>
        </is>
      </c>
      <c r="M8" s="59" t="n">
        <v>43700</v>
      </c>
      <c r="N8" s="60" t="n"/>
      <c r="O8" s="212" t="n">
        <v>9</v>
      </c>
      <c r="P8" s="58" t="n"/>
      <c r="Q8" s="213" t="n">
        <v>1</v>
      </c>
      <c r="R8" s="211">
        <f>+Q8*O8</f>
        <v/>
      </c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10113-2020-001</t>
        </is>
      </c>
      <c r="H9" s="190" t="n"/>
      <c r="K9" s="58" t="n"/>
      <c r="L9" s="58" t="inlineStr">
        <is>
          <t xml:space="preserve">   (Nikola Vincetic)</t>
        </is>
      </c>
      <c r="M9" s="59" t="n">
        <v>3</v>
      </c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  <c r="L12" s="63" t="inlineStr">
        <is>
          <t xml:space="preserve"> - Einrichten von Lohnkonten</t>
        </is>
      </c>
      <c r="M12" s="59" t="n">
        <v>43792</v>
      </c>
      <c r="N12" s="60" t="n"/>
      <c r="O12" s="212" t="n">
        <v>9</v>
      </c>
      <c r="P12" s="58" t="n"/>
      <c r="Q12" s="213" t="n">
        <v>1</v>
      </c>
      <c r="R12" s="211">
        <f>+Q12*O12</f>
        <v/>
      </c>
    </row>
    <row r="13" ht="15" customFormat="1" customHeight="1" s="140">
      <c r="D13" s="52" t="n"/>
      <c r="E13" s="53" t="n"/>
      <c r="F13" s="47" t="n"/>
      <c r="L13" s="58" t="inlineStr">
        <is>
          <t xml:space="preserve">   (Samual Perikic)</t>
        </is>
      </c>
      <c r="M13" s="59" t="n"/>
      <c r="N13" s="60" t="n"/>
      <c r="O13" s="212" t="n"/>
      <c r="P13" s="58" t="n"/>
      <c r="Q13" s="213" t="n"/>
      <c r="R13" s="211" t="n"/>
    </row>
    <row r="14" ht="14.25" customFormat="1" customHeight="1" s="49">
      <c r="A14" s="170" t="inlineStr">
        <is>
          <t xml:space="preserve">Rechnung über Honorare </t>
        </is>
      </c>
    </row>
    <row r="15" ht="14.25" customFormat="1" customHeight="1" s="49">
      <c r="A15" s="170" t="n"/>
      <c r="B15" s="170" t="n"/>
      <c r="C15" s="170" t="n"/>
      <c r="D15" s="170" t="n"/>
      <c r="E15" s="170" t="n"/>
      <c r="F15" s="170" t="n"/>
      <c r="G15" s="170" t="n"/>
      <c r="H15" s="170" t="n"/>
    </row>
    <row r="16" ht="15" customFormat="1" customHeight="1" s="140">
      <c r="A16" s="140" t="inlineStr">
        <is>
          <t xml:space="preserve">Für die nachfolgend aufgeführten Leistungen erlaube ich mir nach der Steuerberatervergütungs- </t>
        </is>
      </c>
      <c r="B16" s="43" t="n"/>
      <c r="D16" s="52" t="n"/>
      <c r="E16" s="53" t="n"/>
      <c r="F16" s="47" t="n"/>
    </row>
    <row r="17" ht="15" customFormat="1" customHeight="1" s="140">
      <c r="A17" s="140" t="inlineStr">
        <is>
          <t>verordnung wie folgt abzurechnen:</t>
        </is>
      </c>
      <c r="B17" s="43" t="n"/>
      <c r="D17" s="52" t="n"/>
      <c r="E17" s="53" t="n"/>
      <c r="F17" s="47" t="n"/>
    </row>
    <row r="18" ht="4.5" customFormat="1" customHeight="1" s="140">
      <c r="D18" s="52" t="n"/>
      <c r="E18" s="52" t="n"/>
      <c r="F18" s="53" t="n"/>
      <c r="G18" s="52" t="n"/>
    </row>
    <row r="19" ht="15" customFormat="1" customHeight="1" s="140">
      <c r="A19" s="50" t="inlineStr">
        <is>
          <t>Leistung</t>
        </is>
      </c>
      <c r="B19" s="51" t="n"/>
      <c r="C19" s="50" t="n"/>
      <c r="D19" s="52" t="n"/>
      <c r="E19" s="52" t="inlineStr">
        <is>
          <t>Gegenstands-</t>
        </is>
      </c>
      <c r="F19" s="53" t="inlineStr">
        <is>
          <t>Tabelle</t>
        </is>
      </c>
      <c r="G19" s="52" t="inlineStr">
        <is>
          <t>Arbeit-</t>
        </is>
      </c>
      <c r="H19" s="53" t="inlineStr">
        <is>
          <t>Gebühr</t>
        </is>
      </c>
    </row>
    <row r="20" ht="15" customFormat="1" customHeight="1" s="140">
      <c r="A20" s="54" t="inlineStr">
        <is>
          <t>§§</t>
        </is>
      </c>
      <c r="B20" s="54" t="n"/>
      <c r="C20" s="181" t="inlineStr">
        <is>
          <t>am/in:</t>
        </is>
      </c>
      <c r="D20" s="55" t="n"/>
      <c r="E20" s="56" t="inlineStr">
        <is>
          <t>wert</t>
        </is>
      </c>
      <c r="F20" s="56" t="n"/>
      <c r="G20" s="57" t="inlineStr">
        <is>
          <t>nehmer</t>
        </is>
      </c>
      <c r="H20" s="181" t="n"/>
    </row>
    <row r="21" ht="13.5" customFormat="1" customHeight="1" s="58">
      <c r="A21" s="58" t="n">
        <v>34</v>
      </c>
      <c r="B21" s="58" t="inlineStr">
        <is>
          <t xml:space="preserve">Löhne/Gehälter 10/2019 </t>
        </is>
      </c>
      <c r="D21" s="60" t="n"/>
    </row>
    <row r="22" ht="13.5" customFormat="1" customHeight="1" s="58">
      <c r="B22" s="63" t="inlineStr">
        <is>
          <t xml:space="preserve"> - Lohnabrechnungen inkl. </t>
        </is>
      </c>
      <c r="C22" s="59" t="n"/>
      <c r="D22" s="60" t="n"/>
    </row>
    <row r="23" ht="13.5" customFormat="1" customHeight="1" s="58">
      <c r="B23" s="58" t="inlineStr">
        <is>
          <t xml:space="preserve">   Sozialvers.-meldungen</t>
        </is>
      </c>
      <c r="C23" s="59" t="n">
        <v>43762</v>
      </c>
      <c r="D23" s="60" t="n"/>
      <c r="E23" s="212" t="n">
        <v>15</v>
      </c>
      <c r="G23" s="213" t="n">
        <v>14</v>
      </c>
      <c r="H23" s="211">
        <f>+G23*E23</f>
        <v/>
      </c>
    </row>
    <row r="24" ht="3" customFormat="1" customHeight="1" s="58">
      <c r="C24" s="59" t="n"/>
      <c r="D24" s="60" t="n"/>
      <c r="E24" s="212" t="n"/>
      <c r="G24" s="213" t="n"/>
      <c r="H24" s="211" t="n"/>
    </row>
    <row r="25" ht="13.5" customFormat="1" customHeight="1" s="58">
      <c r="A25" s="58" t="n">
        <v>34</v>
      </c>
      <c r="B25" s="58" t="inlineStr">
        <is>
          <t xml:space="preserve">Löhne/Gehälter 11/2019 </t>
        </is>
      </c>
      <c r="D25" s="60" t="n"/>
    </row>
    <row r="26" ht="13.5" customFormat="1" customHeight="1" s="58">
      <c r="B26" s="63" t="inlineStr">
        <is>
          <t xml:space="preserve"> - Lohnabrechnungen inkl. </t>
        </is>
      </c>
      <c r="C26" s="59" t="n"/>
      <c r="D26" s="60" t="n"/>
    </row>
    <row r="27" ht="13.5" customFormat="1" customHeight="1" s="58">
      <c r="B27" s="58" t="inlineStr">
        <is>
          <t xml:space="preserve">   Sozialvers.-meldungen</t>
        </is>
      </c>
      <c r="C27" s="59" t="n">
        <v>43792</v>
      </c>
      <c r="D27" s="60" t="n"/>
      <c r="E27" s="212" t="n">
        <v>15</v>
      </c>
      <c r="G27" s="213" t="n">
        <v>14</v>
      </c>
      <c r="H27" s="211">
        <f>+G27*E27</f>
        <v/>
      </c>
    </row>
    <row r="28" ht="5.25" customFormat="1" customHeight="1" s="58">
      <c r="C28" s="59" t="n"/>
      <c r="D28" s="60" t="n"/>
      <c r="E28" s="212" t="n"/>
      <c r="G28" s="213" t="n"/>
      <c r="H28" s="211" t="n"/>
    </row>
    <row r="29" ht="13.5" customFormat="1" customHeight="1" s="58">
      <c r="A29" s="58" t="n">
        <v>34</v>
      </c>
      <c r="B29" s="58" t="inlineStr">
        <is>
          <t xml:space="preserve">Löhne/Gehälter 12/2019 </t>
        </is>
      </c>
      <c r="D29" s="60" t="n"/>
    </row>
    <row r="30" ht="13.5" customFormat="1" customHeight="1" s="58">
      <c r="B30" s="63" t="inlineStr">
        <is>
          <t xml:space="preserve"> - Lohnabrechnungen inkl. </t>
        </is>
      </c>
      <c r="C30" s="59" t="n"/>
      <c r="D30" s="60" t="n"/>
    </row>
    <row r="31" ht="13.5" customFormat="1" customHeight="1" s="58">
      <c r="B31" s="58" t="inlineStr">
        <is>
          <t xml:space="preserve">   Sozialvers.-meldungen</t>
        </is>
      </c>
      <c r="C31" s="59" t="n">
        <v>43818</v>
      </c>
      <c r="D31" s="60" t="n"/>
      <c r="E31" s="212" t="n">
        <v>15</v>
      </c>
      <c r="G31" s="213" t="n">
        <v>13</v>
      </c>
      <c r="H31" s="211">
        <f>+G31*E31</f>
        <v/>
      </c>
    </row>
    <row r="32" ht="5.25" customFormat="1" customHeight="1" s="58">
      <c r="C32" s="59" t="n"/>
      <c r="D32" s="60" t="n"/>
      <c r="E32" s="212" t="n"/>
      <c r="G32" s="213" t="n"/>
      <c r="H32" s="211" t="n"/>
    </row>
    <row r="33" ht="13.5" customFormat="1" customHeight="1" s="58">
      <c r="A33" s="58" t="n">
        <v>34</v>
      </c>
      <c r="B33" s="58" t="inlineStr">
        <is>
          <t>Hilfeleistung bei sonstigen Tätigkeiten im Zusammen-</t>
        </is>
      </c>
      <c r="C33" s="59" t="n"/>
      <c r="D33" s="60" t="n"/>
      <c r="E33" s="209" t="n">
        <v>80</v>
      </c>
      <c r="F33" s="58" t="inlineStr">
        <is>
          <t>Zeitgeb.</t>
        </is>
      </c>
      <c r="G33" s="210" t="n">
        <v>1</v>
      </c>
      <c r="H33" s="211">
        <f>+G33*E33</f>
        <v/>
      </c>
    </row>
    <row r="34" ht="13.5" customFormat="1" customHeight="1" s="58">
      <c r="B34" s="58" t="inlineStr">
        <is>
          <t>hang mit dem Lohnsteuerabzug/der Lohnbuchführung</t>
        </is>
      </c>
      <c r="C34" s="59" t="n"/>
      <c r="D34" s="60" t="n"/>
      <c r="E34" s="212" t="n"/>
      <c r="G34" s="213" t="n"/>
      <c r="H34" s="211" t="n"/>
    </row>
    <row r="35" ht="13.5" customFormat="1" customHeight="1" s="58">
      <c r="B35" s="63" t="inlineStr">
        <is>
          <t>- LFZ-Anträge Münster, M.Perikic,</t>
        </is>
      </c>
      <c r="C35" s="59">
        <f>+C27</f>
        <v/>
      </c>
      <c r="D35" s="60" t="n"/>
    </row>
    <row r="36" ht="13.5" customFormat="1" customHeight="1" s="58">
      <c r="B36" s="58" t="inlineStr">
        <is>
          <t xml:space="preserve">  V. Perikic, Orsolic, Bilic, </t>
        </is>
      </c>
      <c r="C36" s="59" t="n"/>
      <c r="D36" s="60" t="n"/>
    </row>
    <row r="37" ht="13.5" customFormat="1" customHeight="1" s="58">
      <c r="B37" s="63">
        <f>+B35</f>
        <v/>
      </c>
      <c r="C37" s="59">
        <f>+C31</f>
        <v/>
      </c>
      <c r="D37" s="60" t="n"/>
      <c r="E37" s="209" t="n"/>
      <c r="G37" s="210" t="n"/>
      <c r="H37" s="211" t="n"/>
    </row>
    <row r="38" ht="13.5" customFormat="1" customHeight="1" s="58">
      <c r="B38" s="58" t="inlineStr">
        <is>
          <t xml:space="preserve">  V. Perikic, Orsolic, Bilic, </t>
        </is>
      </c>
      <c r="C38" s="59" t="n"/>
      <c r="D38" s="60" t="n"/>
      <c r="E38" s="209" t="n"/>
      <c r="G38" s="210" t="n"/>
      <c r="H38" s="211" t="n"/>
    </row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IV/2019</t>
        </is>
      </c>
      <c r="D41" s="60" t="n"/>
      <c r="E41" s="211">
        <f>SUM(H21:H32)*0.2</f>
        <v/>
      </c>
      <c r="G41" s="211" t="n"/>
      <c r="H41" s="211">
        <f>(G23+G27+G31)*1.3</f>
        <v/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B43" s="71" t="n"/>
      <c r="E43" s="58" t="inlineStr">
        <is>
          <t>Gesamt</t>
        </is>
      </c>
      <c r="F43" s="71" t="n"/>
      <c r="G43" s="81" t="n"/>
      <c r="H43" s="211">
        <f>SUM(H21:H42)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28.5" customFormat="1" customHeight="1" s="15">
      <c r="D50" s="90" t="n"/>
      <c r="E50" s="183" t="n"/>
      <c r="F50" s="90" t="n"/>
      <c r="G50" s="10" t="n"/>
    </row>
    <row r="51">
      <c r="B51" s="21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G7:H7"/>
    <mergeCell ref="E7:F7"/>
    <mergeCell ref="A54:H54"/>
    <mergeCell ref="A14:H1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 codeName="Tabelle24">
    <outlinePr summaryBelow="1" summaryRight="1"/>
    <pageSetUpPr/>
  </sheetPr>
  <dimension ref="A5:J51"/>
  <sheetViews>
    <sheetView workbookViewId="0">
      <selection activeCell="G31" sqref="G3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43924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10113-2020-002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1457826</v>
      </c>
      <c r="F24" s="159" t="inlineStr">
        <is>
          <t>C</t>
        </is>
      </c>
      <c r="G24" s="183" t="n">
        <v>1.75</v>
      </c>
      <c r="H24" s="193">
        <f>G24/10*1115</f>
        <v/>
      </c>
    </row>
    <row r="25" ht="15" customFormat="1" customHeight="1" s="15">
      <c r="B25" s="15" t="inlineStr">
        <is>
          <t>für 10/2019 am</t>
        </is>
      </c>
      <c r="C25" s="169" t="n">
        <v>43804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G27/10*1115</f>
        <v/>
      </c>
    </row>
    <row r="28" ht="15" customFormat="1" customHeight="1" s="15">
      <c r="B28" s="15" t="inlineStr">
        <is>
          <t>für 11/2019 am</t>
        </is>
      </c>
      <c r="C28" s="169" t="n">
        <v>43838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2</v>
      </c>
      <c r="H30" s="193">
        <f>G30/10*1115</f>
        <v/>
      </c>
    </row>
    <row r="31" ht="15" customFormat="1" customHeight="1" s="15">
      <c r="B31" s="15" t="inlineStr">
        <is>
          <t>für 12/2019 am</t>
        </is>
      </c>
      <c r="C31" s="169" t="n">
        <v>43868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codeName="Tabelle25">
    <outlinePr summaryBelow="1" summaryRight="1"/>
    <pageSetUpPr/>
  </sheetPr>
  <dimension ref="A5:R59"/>
  <sheetViews>
    <sheetView workbookViewId="0">
      <selection activeCell="B49" sqref="B4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43924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10113-2020-003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01/2020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43857</v>
      </c>
      <c r="D24" s="60" t="n"/>
      <c r="E24" s="212" t="n">
        <v>15</v>
      </c>
      <c r="G24" s="213" t="n">
        <v>13</v>
      </c>
      <c r="H24" s="211">
        <f>+G24*E24</f>
        <v/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02/2020 </t>
        </is>
      </c>
      <c r="D26" s="60" t="n"/>
    </row>
    <row r="27" ht="13.5" customFormat="1" customHeight="1" s="58">
      <c r="B27" s="63" t="inlineStr">
        <is>
          <t xml:space="preserve"> - Lohnabrechnungen inkl. </t>
        </is>
      </c>
      <c r="C27" s="59" t="n"/>
      <c r="D27" s="60" t="n"/>
    </row>
    <row r="28" ht="13.5" customFormat="1" customHeight="1" s="58">
      <c r="B28" s="58" t="inlineStr">
        <is>
          <t xml:space="preserve">   Sozialvers.-meldungen</t>
        </is>
      </c>
      <c r="C28" s="59" t="n">
        <v>43882</v>
      </c>
      <c r="D28" s="60" t="n"/>
      <c r="E28" s="212" t="n">
        <v>15</v>
      </c>
      <c r="G28" s="213" t="n">
        <v>12</v>
      </c>
      <c r="H28" s="211">
        <f>+G28*E28</f>
        <v/>
      </c>
    </row>
    <row r="29" ht="5.25" customFormat="1" customHeight="1" s="58">
      <c r="C29" s="59" t="n"/>
      <c r="D29" s="60" t="n"/>
      <c r="E29" s="212" t="n"/>
      <c r="G29" s="213" t="n"/>
      <c r="H29" s="211" t="n"/>
    </row>
    <row r="30" ht="13.5" customFormat="1" customHeight="1" s="58">
      <c r="A30" s="58" t="n">
        <v>34</v>
      </c>
      <c r="B30" s="58" t="inlineStr">
        <is>
          <t xml:space="preserve">Löhne/Gehälter 03/2020 </t>
        </is>
      </c>
      <c r="D30" s="60" t="n"/>
    </row>
    <row r="31" ht="13.5" customFormat="1" customHeight="1" s="58">
      <c r="B31" s="63" t="inlineStr">
        <is>
          <t xml:space="preserve"> - Lohnabrechnungen inkl. </t>
        </is>
      </c>
      <c r="C31" s="59" t="n"/>
      <c r="D31" s="60" t="n"/>
    </row>
    <row r="32" ht="13.5" customFormat="1" customHeight="1" s="58">
      <c r="B32" s="58" t="inlineStr">
        <is>
          <t xml:space="preserve">   Sozialvers.-meldungen</t>
        </is>
      </c>
      <c r="C32" s="59" t="n">
        <v>43914</v>
      </c>
      <c r="D32" s="60" t="n"/>
      <c r="E32" s="212" t="n">
        <v>15</v>
      </c>
      <c r="G32" s="213" t="n">
        <v>12</v>
      </c>
      <c r="H32" s="211">
        <f>+G32*E32</f>
        <v/>
      </c>
    </row>
    <row r="33" ht="5.25" customFormat="1" customHeight="1" s="58">
      <c r="C33" s="59" t="n"/>
      <c r="D33" s="60" t="n"/>
      <c r="E33" s="212" t="n"/>
      <c r="G33" s="213" t="n"/>
      <c r="H33" s="211" t="n"/>
    </row>
    <row r="34" ht="13.5" customFormat="1" customHeight="1" s="58">
      <c r="A34" s="58" t="n">
        <v>34</v>
      </c>
      <c r="B34" s="58" t="inlineStr">
        <is>
          <t>Hilfeleistung bei sonstigen Tätigkeiten im Zusammen-</t>
        </is>
      </c>
      <c r="C34" s="59" t="n"/>
      <c r="D34" s="60" t="n"/>
      <c r="E34" s="209" t="n">
        <v>80</v>
      </c>
      <c r="F34" s="58" t="inlineStr">
        <is>
          <t>Zeitgeb.</t>
        </is>
      </c>
      <c r="G34" s="210" t="n">
        <v>0.5</v>
      </c>
      <c r="H34" s="211">
        <f>+G34*E34</f>
        <v/>
      </c>
    </row>
    <row r="35" ht="13.5" customFormat="1" customHeight="1" s="58">
      <c r="B35" s="58" t="inlineStr">
        <is>
          <t>hang mit dem Lohnsteuerabzug/der Lohnbuchführung</t>
        </is>
      </c>
      <c r="C35" s="59" t="n"/>
      <c r="D35" s="60" t="n"/>
      <c r="E35" s="212" t="n"/>
      <c r="G35" s="213" t="n"/>
      <c r="H35" s="211" t="n"/>
    </row>
    <row r="36" ht="13.5" customFormat="1" customHeight="1" s="58">
      <c r="B36" s="63" t="inlineStr">
        <is>
          <t>- LFZ-Anträge Pejacovic, M. Perikic</t>
        </is>
      </c>
      <c r="C36" s="59">
        <f>+C24</f>
        <v/>
      </c>
      <c r="D36" s="60" t="n"/>
    </row>
    <row r="37" ht="13.5" customFormat="1" customHeight="1" s="58">
      <c r="C37" s="59" t="n"/>
      <c r="D37" s="60" t="n"/>
    </row>
    <row r="38" ht="13.5" customFormat="1" customHeight="1" s="58">
      <c r="C38" s="59" t="n"/>
      <c r="D38" s="60" t="n"/>
    </row>
    <row r="39" ht="13.5" customFormat="1" customHeight="1" s="58">
      <c r="A39" s="58" t="n">
        <v>16</v>
      </c>
      <c r="B39" s="58" t="inlineStr">
        <is>
          <t xml:space="preserve">Auslagenersatz für Post- und </t>
        </is>
      </c>
      <c r="C39" s="59" t="n"/>
      <c r="D39" s="60" t="n"/>
      <c r="E39" s="212" t="n"/>
      <c r="G39" s="213" t="n"/>
      <c r="H39" s="211" t="n"/>
    </row>
    <row r="40" ht="13.5" customFormat="1" customHeight="1" s="58">
      <c r="B40" s="58" t="inlineStr">
        <is>
          <t>Telekommunikation</t>
        </is>
      </c>
      <c r="C40" s="59" t="inlineStr">
        <is>
          <t>I/2020</t>
        </is>
      </c>
      <c r="D40" s="60" t="n"/>
      <c r="E40" s="211">
        <f>SUM(H22:H35)*0.2</f>
        <v/>
      </c>
      <c r="G40" s="211" t="n"/>
      <c r="H40" s="211">
        <f>SUM(G24:G32)*1.3-1.3</f>
        <v/>
      </c>
    </row>
    <row r="41" ht="6.75" customFormat="1" customHeight="1" s="58">
      <c r="C41" s="60" t="n"/>
      <c r="D41" s="60" t="n"/>
      <c r="E41" s="214" t="n"/>
      <c r="F41" s="68" t="n"/>
      <c r="G41" s="69" t="n"/>
      <c r="H41" s="215" t="n"/>
    </row>
    <row r="42" ht="13.5" customFormat="1" customHeight="1" s="58">
      <c r="A42" s="71" t="n"/>
      <c r="B42" s="71" t="n"/>
      <c r="E42" s="58" t="inlineStr">
        <is>
          <t>Gesamt</t>
        </is>
      </c>
      <c r="F42" s="71" t="n"/>
      <c r="G42" s="81" t="n"/>
      <c r="H42" s="211">
        <f>SUM(H22:H41)</f>
        <v/>
      </c>
      <c r="J42" s="211" t="n"/>
    </row>
    <row r="43" ht="13.5" customFormat="1" customHeight="1" s="58">
      <c r="E43" s="74" t="inlineStr">
        <is>
          <t>USt 19%</t>
        </is>
      </c>
      <c r="F43" s="71" t="n"/>
      <c r="G43" s="81" t="n"/>
      <c r="H43" s="211">
        <f>+H42*0.19</f>
        <v/>
      </c>
    </row>
    <row r="44" ht="14.25" customFormat="1" customHeight="1" s="58" thickBot="1">
      <c r="E44" s="75" t="inlineStr">
        <is>
          <t>Rechnungsendbetrag</t>
        </is>
      </c>
      <c r="F44" s="76" t="n"/>
      <c r="G44" s="77" t="n"/>
      <c r="H44" s="216">
        <f>SUM(H42:H43)</f>
        <v/>
      </c>
      <c r="J44" s="211" t="n"/>
    </row>
    <row r="45" ht="5.25" customFormat="1" customHeight="1" s="58" thickTop="1">
      <c r="E45" s="79" t="n"/>
      <c r="F45" s="80" t="n"/>
      <c r="G45" s="81" t="n"/>
      <c r="H45" s="211" t="n"/>
      <c r="J45" s="211" t="n"/>
    </row>
    <row r="46" ht="15" customFormat="1" customHeight="1" s="58">
      <c r="A46" s="15" t="inlineStr">
        <is>
          <t>Bitte überweisen Sie den Betrag ohne Abzüge innerhalb von 14 Tagen auf das angegebene Konto.</t>
        </is>
      </c>
      <c r="B46" s="71" t="n"/>
      <c r="D46" s="81" t="n"/>
      <c r="E46" s="80" t="n"/>
      <c r="F46" s="62" t="n"/>
    </row>
    <row r="47" ht="13.5" customFormat="1" customHeight="1" s="58">
      <c r="D47" s="81" t="n"/>
      <c r="E47" s="80" t="n"/>
      <c r="F47" s="62" t="n"/>
    </row>
    <row r="48" ht="15" customFormat="1" customHeight="1" s="15">
      <c r="D48" s="90" t="n"/>
      <c r="E48" s="183" t="n"/>
      <c r="F48" s="90" t="n"/>
      <c r="G48" s="10" t="n"/>
    </row>
    <row r="49" ht="15" customFormat="1" customHeight="1" s="15">
      <c r="D49" s="90" t="n"/>
      <c r="E49" s="183" t="n"/>
      <c r="F49" s="90" t="n"/>
      <c r="G49" s="10" t="n"/>
    </row>
    <row r="50" ht="15" customFormat="1" customHeight="1" s="15">
      <c r="B50" s="21" t="n"/>
      <c r="D50" s="90" t="n"/>
      <c r="E50" s="183" t="n"/>
      <c r="F50" s="90" t="n"/>
      <c r="G50" s="10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 codeName="Tabelle26">
    <outlinePr summaryBelow="1" summaryRight="1"/>
    <pageSetUpPr/>
  </sheetPr>
  <dimension ref="A5:J51"/>
  <sheetViews>
    <sheetView workbookViewId="0">
      <selection activeCell="C32" sqref="C32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44015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10113-2020-004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1036500</v>
      </c>
      <c r="F24" s="159" t="inlineStr">
        <is>
          <t>C</t>
        </is>
      </c>
      <c r="G24" s="183" t="n">
        <v>3</v>
      </c>
      <c r="H24" s="193">
        <f>G24/10*761</f>
        <v/>
      </c>
    </row>
    <row r="25" ht="15" customFormat="1" customHeight="1" s="15">
      <c r="B25" s="15" t="inlineStr">
        <is>
          <t>für 01/2020 am</t>
        </is>
      </c>
      <c r="C25" s="169" t="n">
        <v>43929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3</v>
      </c>
      <c r="H27" s="193">
        <f>G27/10*761</f>
        <v/>
      </c>
    </row>
    <row r="28" ht="15" customFormat="1" customHeight="1" s="15">
      <c r="B28" s="15" t="inlineStr">
        <is>
          <t>für 02/2020 am</t>
        </is>
      </c>
      <c r="C28" s="169" t="n">
        <v>43936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G30/10*761</f>
        <v/>
      </c>
    </row>
    <row r="31" ht="15" customFormat="1" customHeight="1" s="15">
      <c r="B31" s="15" t="inlineStr">
        <is>
          <t>für 03/2020 am</t>
        </is>
      </c>
      <c r="C31" s="169">
        <f>+C28</f>
        <v/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 codeName="Tabelle27">
    <outlinePr summaryBelow="1" summaryRight="1"/>
    <pageSetUpPr/>
  </sheetPr>
  <dimension ref="A2:R60"/>
  <sheetViews>
    <sheetView workbookViewId="0">
      <selection activeCell="B37" sqref="B37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2">
      <c r="L2" s="63" t="inlineStr">
        <is>
          <t xml:space="preserve"> - Einrichten von Lohnkonten</t>
        </is>
      </c>
      <c r="M2" s="59" t="n">
        <v>43945</v>
      </c>
      <c r="N2" s="60" t="n"/>
      <c r="O2" s="212" t="n">
        <v>9</v>
      </c>
      <c r="P2" s="58" t="n"/>
      <c r="Q2" s="213" t="n">
        <v>1</v>
      </c>
      <c r="R2" s="211">
        <f>+Q2*O2</f>
        <v/>
      </c>
    </row>
    <row r="3">
      <c r="L3" s="58" t="inlineStr">
        <is>
          <t xml:space="preserve">   (Zlatko Stjepanovic)</t>
        </is>
      </c>
      <c r="M3" s="59" t="n"/>
      <c r="N3" s="60" t="n"/>
      <c r="O3" s="212" t="n"/>
      <c r="P3" s="58" t="n"/>
      <c r="Q3" s="213" t="n"/>
      <c r="R3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44015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10113-2020-005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5" customFormat="1" customHeight="1" s="140">
      <c r="A18" s="140" t="inlineStr">
        <is>
          <t xml:space="preserve">Für die nachfolgend aufgeführten Leistungen erlaube ich mir nach der Steuerberatervergütungs- </t>
        </is>
      </c>
      <c r="B18" s="43" t="n"/>
      <c r="D18" s="52" t="n"/>
      <c r="E18" s="53" t="n"/>
      <c r="F18" s="47" t="n"/>
    </row>
    <row r="19" ht="15" customFormat="1" customHeight="1" s="140">
      <c r="A19" s="140" t="inlineStr">
        <is>
          <t>verordnung wie folgt abzurechnen:</t>
        </is>
      </c>
      <c r="B19" s="43" t="n"/>
      <c r="D19" s="52" t="n"/>
      <c r="E19" s="53" t="n"/>
      <c r="F19" s="47" t="n"/>
    </row>
    <row r="20" ht="4.5" customFormat="1" customHeight="1" s="140">
      <c r="D20" s="52" t="n"/>
      <c r="E20" s="52" t="n"/>
      <c r="F20" s="53" t="n"/>
      <c r="G20" s="52" t="n"/>
    </row>
    <row r="21" ht="15" customFormat="1" customHeight="1" s="140">
      <c r="A21" s="50" t="inlineStr">
        <is>
          <t>Leistung</t>
        </is>
      </c>
      <c r="B21" s="51" t="n"/>
      <c r="C21" s="50" t="n"/>
      <c r="D21" s="52" t="n"/>
      <c r="E21" s="52" t="inlineStr">
        <is>
          <t>Gegenstands-</t>
        </is>
      </c>
      <c r="F21" s="53" t="inlineStr">
        <is>
          <t>Tabelle</t>
        </is>
      </c>
      <c r="G21" s="52" t="inlineStr">
        <is>
          <t>Arbeit-</t>
        </is>
      </c>
      <c r="H21" s="53" t="inlineStr">
        <is>
          <t>Gebühr</t>
        </is>
      </c>
      <c r="L21" s="63" t="inlineStr">
        <is>
          <t>- LFZ-Anträge Chmielowski</t>
        </is>
      </c>
    </row>
    <row r="22" ht="15" customFormat="1" customHeight="1" s="140">
      <c r="A22" s="54" t="inlineStr">
        <is>
          <t>§§</t>
        </is>
      </c>
      <c r="B22" s="54" t="n"/>
      <c r="C22" s="181" t="inlineStr">
        <is>
          <t>am/in:</t>
        </is>
      </c>
      <c r="D22" s="55" t="n"/>
      <c r="E22" s="56" t="inlineStr">
        <is>
          <t>wert</t>
        </is>
      </c>
      <c r="F22" s="56" t="n"/>
      <c r="G22" s="57" t="inlineStr">
        <is>
          <t>nehmer</t>
        </is>
      </c>
      <c r="H22" s="181" t="n"/>
      <c r="L22" s="63" t="inlineStr">
        <is>
          <t>- LFZ-Anträge Mita, Chmielowski</t>
        </is>
      </c>
    </row>
    <row r="23" ht="13.5" customFormat="1" customHeight="1" s="58">
      <c r="A23" s="58" t="n">
        <v>34</v>
      </c>
      <c r="B23" s="58" t="inlineStr">
        <is>
          <t xml:space="preserve">Löhne/Gehälter 04/2020 </t>
        </is>
      </c>
      <c r="D23" s="60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43948</v>
      </c>
      <c r="D25" s="60" t="n"/>
      <c r="E25" s="212" t="n">
        <v>15</v>
      </c>
      <c r="G25" s="213" t="n">
        <v>12</v>
      </c>
      <c r="H25" s="211">
        <f>+G25*E25</f>
        <v/>
      </c>
    </row>
    <row r="26" ht="5.2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05/2020 </t>
        </is>
      </c>
      <c r="D27" s="60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43971</v>
      </c>
      <c r="D29" s="60" t="n"/>
      <c r="E29" s="212" t="n">
        <v>15</v>
      </c>
      <c r="G29" s="213" t="n">
        <v>12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06/2020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44005</v>
      </c>
      <c r="D33" s="60" t="n"/>
      <c r="E33" s="212" t="n">
        <v>15</v>
      </c>
      <c r="G33" s="213">
        <f>+G29</f>
        <v/>
      </c>
      <c r="H33" s="211">
        <f>+G33*E33</f>
        <v/>
      </c>
    </row>
    <row r="34" ht="5.2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0.5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>- LFZ-Anträge Münster, V.Perikic, Pejakovic</t>
        </is>
      </c>
      <c r="C37" s="59" t="n"/>
      <c r="D37" s="60" t="n"/>
    </row>
    <row r="38" ht="13.5" customFormat="1" customHeight="1" s="58">
      <c r="B38" s="63" t="inlineStr">
        <is>
          <t>in</t>
        </is>
      </c>
      <c r="C38" s="59" t="inlineStr">
        <is>
          <t>II/2020</t>
        </is>
      </c>
      <c r="D38" s="60" t="n"/>
      <c r="E38" s="209" t="n"/>
      <c r="G38" s="210" t="n"/>
      <c r="H38" s="211" t="n"/>
    </row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II/2020</t>
        </is>
      </c>
      <c r="D41" s="60" t="n"/>
      <c r="E41" s="211">
        <f>SUM(H23:H34)*0.2</f>
        <v/>
      </c>
      <c r="G41" s="211" t="n"/>
      <c r="H41" s="211">
        <f>SUM(G25:G33)*1.3</f>
        <v/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E43" s="58" t="inlineStr">
        <is>
          <t>Gesamt</t>
        </is>
      </c>
      <c r="F43" s="71" t="n"/>
      <c r="G43" s="81" t="n"/>
      <c r="H43" s="211">
        <f>SUM(H23:H42)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3" ht="8.25" customHeight="1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 codeName="Tabelle28">
    <outlinePr summaryBelow="1" summaryRight="1"/>
    <pageSetUpPr/>
  </sheetPr>
  <dimension ref="A5:J51"/>
  <sheetViews>
    <sheetView workbookViewId="0">
      <selection activeCell="G9" sqref="G9:H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44449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10113-2020-006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1036000</v>
      </c>
      <c r="F24" s="159" t="inlineStr">
        <is>
          <t>C</t>
        </is>
      </c>
      <c r="G24" s="183" t="n">
        <v>3</v>
      </c>
      <c r="H24" s="193">
        <f>G24/10*761</f>
        <v/>
      </c>
    </row>
    <row r="25" ht="15" customFormat="1" customHeight="1" s="15">
      <c r="B25" s="15" t="inlineStr">
        <is>
          <t>für 04/2020 am</t>
        </is>
      </c>
      <c r="C25" s="169" t="n">
        <v>44021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G27/10*761</f>
        <v/>
      </c>
    </row>
    <row r="28" ht="15" customFormat="1" customHeight="1" s="15">
      <c r="B28" s="15" t="inlineStr">
        <is>
          <t>für 05/2020 am</t>
        </is>
      </c>
      <c r="C28" s="169" t="n">
        <v>44021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G30/10*761</f>
        <v/>
      </c>
    </row>
    <row r="31" ht="15" customFormat="1" customHeight="1" s="15">
      <c r="B31" s="15" t="inlineStr">
        <is>
          <t>für 06/2020 am</t>
        </is>
      </c>
      <c r="C31" s="169" t="n">
        <v>44042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inlineStr">
        <is>
          <t>Rat/Auskunft</t>
        </is>
      </c>
      <c r="C33" s="93" t="n">
        <v>44050</v>
      </c>
      <c r="D33" s="93" t="n"/>
      <c r="E33" s="202" t="n">
        <v>6000</v>
      </c>
      <c r="F33" s="183" t="inlineStr">
        <is>
          <t>A</t>
        </is>
      </c>
      <c r="G33" s="20" t="n">
        <v>3</v>
      </c>
      <c r="H33" s="193">
        <f>G33/10*355</f>
        <v/>
      </c>
    </row>
    <row r="34" ht="15" customFormat="1" customHeight="1" s="15">
      <c r="B34" s="94" t="inlineStr">
        <is>
          <t>Zusammenstellung von Daten für die Bauhaupterhebung</t>
        </is>
      </c>
      <c r="C34" s="93" t="n"/>
      <c r="D34" s="93" t="n"/>
      <c r="E34" s="202" t="n"/>
      <c r="F34" s="183" t="n"/>
      <c r="G34" s="205" t="n"/>
      <c r="H34" s="193" t="n"/>
    </row>
    <row r="35" ht="15" customFormat="1" customHeight="1" s="15">
      <c r="B35" s="94" t="inlineStr">
        <is>
          <t>des stat. Landesamtes 2020</t>
        </is>
      </c>
      <c r="C35" s="93" t="n"/>
      <c r="D35" s="93" t="n"/>
      <c r="E35" s="202" t="n"/>
      <c r="F35" s="183" t="n"/>
      <c r="G35" s="205" t="n"/>
      <c r="H35" s="193" t="n"/>
    </row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16%</t>
        </is>
      </c>
      <c r="F38" s="99" t="n"/>
      <c r="G38" s="90" t="n"/>
      <c r="H38" s="193">
        <f>+H37*0.16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 codeName="Tabelle29">
    <outlinePr summaryBelow="1" summaryRight="1"/>
    <pageSetUpPr/>
  </sheetPr>
  <dimension ref="A5:R59"/>
  <sheetViews>
    <sheetView workbookViewId="0">
      <selection activeCell="A31" sqref="A31:IV32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44169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10113-2020-007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07/2020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44039</v>
      </c>
      <c r="D24" s="60" t="n"/>
      <c r="E24" s="212" t="n">
        <v>15</v>
      </c>
      <c r="G24" s="213" t="n">
        <v>12</v>
      </c>
      <c r="H24" s="211">
        <f>+G24*E24</f>
        <v/>
      </c>
    </row>
    <row r="25" ht="3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08/2020 </t>
        </is>
      </c>
      <c r="D26" s="60" t="n"/>
    </row>
    <row r="27" ht="13.5" customFormat="1" customHeight="1" s="58">
      <c r="B27" s="63" t="inlineStr">
        <is>
          <t xml:space="preserve"> - Lohnabrechnungen inkl. </t>
        </is>
      </c>
      <c r="C27" s="59" t="n"/>
      <c r="D27" s="60" t="n"/>
    </row>
    <row r="28" ht="13.5" customFormat="1" customHeight="1" s="58">
      <c r="B28" s="58" t="inlineStr">
        <is>
          <t xml:space="preserve">   Sozialvers.-meldungen</t>
        </is>
      </c>
      <c r="C28" s="59" t="n">
        <v>44067</v>
      </c>
      <c r="D28" s="60" t="n"/>
      <c r="E28" s="212" t="n">
        <v>15</v>
      </c>
      <c r="G28" s="213" t="n">
        <v>12</v>
      </c>
      <c r="H28" s="211">
        <f>+G28*E28</f>
        <v/>
      </c>
    </row>
    <row r="29" ht="5.25" customFormat="1" customHeight="1" s="58">
      <c r="C29" s="59" t="n"/>
      <c r="D29" s="60" t="n"/>
      <c r="E29" s="212" t="n"/>
      <c r="G29" s="213" t="n"/>
      <c r="H29" s="211" t="n"/>
    </row>
    <row r="30" ht="13.5" customFormat="1" customHeight="1" s="58">
      <c r="A30" s="58" t="n">
        <v>34</v>
      </c>
      <c r="B30" s="58" t="inlineStr">
        <is>
          <t xml:space="preserve">Löhne/Gehälter 09/2020 </t>
        </is>
      </c>
      <c r="D30" s="60" t="n"/>
    </row>
    <row r="31" ht="13.5" customFormat="1" customHeight="1" s="58">
      <c r="B31" s="63" t="inlineStr">
        <is>
          <t xml:space="preserve"> - Einrichten von Lohnkonten</t>
        </is>
      </c>
      <c r="C31" s="114" t="inlineStr">
        <is>
          <t>08/2020</t>
        </is>
      </c>
      <c r="D31" s="60" t="n"/>
      <c r="E31" s="212" t="n">
        <v>9</v>
      </c>
      <c r="G31" s="213" t="n">
        <v>1</v>
      </c>
      <c r="H31" s="211">
        <f>+G31*E31</f>
        <v/>
      </c>
    </row>
    <row r="32" ht="13.5" customFormat="1" customHeight="1" s="58">
      <c r="B32" s="58" t="inlineStr">
        <is>
          <t xml:space="preserve">   (S.Perikic)</t>
        </is>
      </c>
      <c r="D32" s="60" t="n"/>
      <c r="E32" s="212" t="n"/>
      <c r="G32" s="213" t="n"/>
      <c r="H32" s="211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43366</v>
      </c>
      <c r="D34" s="60" t="n"/>
      <c r="E34" s="212" t="n">
        <v>15</v>
      </c>
      <c r="G34" s="213" t="n">
        <v>12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>
      <c r="A36" s="58" t="n">
        <v>34</v>
      </c>
      <c r="B36" s="58" t="inlineStr">
        <is>
          <t>Hilfeleistung bei sonstigen Tätigkeiten im Zusammen-</t>
        </is>
      </c>
      <c r="C36" s="59" t="n"/>
      <c r="D36" s="60" t="n"/>
      <c r="E36" s="209" t="n">
        <v>80</v>
      </c>
      <c r="F36" s="58" t="inlineStr">
        <is>
          <t>Zeitgeb.</t>
        </is>
      </c>
      <c r="G36" s="210" t="n">
        <v>1.5</v>
      </c>
      <c r="H36" s="211">
        <f>+G36*E36</f>
        <v/>
      </c>
    </row>
    <row r="37" ht="13.5" customFormat="1" customHeight="1" s="58">
      <c r="B37" s="58" t="inlineStr">
        <is>
          <t>hang mit dem Lohnsteuerabzug/der Lohnbuchführung</t>
        </is>
      </c>
      <c r="C37" s="59" t="n"/>
      <c r="D37" s="60" t="n"/>
      <c r="E37" s="212" t="n"/>
      <c r="G37" s="213" t="n"/>
      <c r="H37" s="211" t="n"/>
    </row>
    <row r="38" ht="13.5" customFormat="1" customHeight="1" s="58">
      <c r="B38" s="63" t="inlineStr">
        <is>
          <t xml:space="preserve">- Klärung von Rückfragen desArbeitsamtes zu </t>
        </is>
      </c>
      <c r="C38" s="59" t="n"/>
      <c r="D38" s="60" t="n"/>
    </row>
    <row r="39" ht="13.5" customFormat="1" customHeight="1" s="58">
      <c r="B39" s="63" t="inlineStr">
        <is>
          <t xml:space="preserve">  Winterbauumlage</t>
        </is>
      </c>
      <c r="C39" s="59">
        <f>+C31</f>
        <v/>
      </c>
      <c r="D39" s="60" t="n"/>
    </row>
    <row r="40" ht="5.25" customFormat="1" customHeight="1" s="58"/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III/2020</t>
        </is>
      </c>
      <c r="D42" s="60" t="n"/>
      <c r="E42" s="211">
        <f>SUM(H22:H35)*0.2</f>
        <v/>
      </c>
      <c r="G42" s="211" t="n"/>
      <c r="H42" s="211">
        <f>(G24+G28+G34)*1.3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SUM(H22:H43)</f>
        <v/>
      </c>
      <c r="J44" s="211" t="n"/>
    </row>
    <row r="45" ht="13.5" customFormat="1" customHeight="1" s="58">
      <c r="E45" s="74" t="inlineStr">
        <is>
          <t>USt 16%</t>
        </is>
      </c>
      <c r="F45" s="71" t="n"/>
      <c r="G45" s="81" t="n"/>
      <c r="H45" s="211">
        <f>+H44*0.16</f>
        <v/>
      </c>
    </row>
    <row r="46" ht="14.25" customFormat="1" customHeight="1" s="58" thickBot="1">
      <c r="E46" s="75" t="inlineStr">
        <is>
          <t>Rechnungsendbetrag</t>
        </is>
      </c>
      <c r="F46" s="76" t="n"/>
      <c r="G46" s="77" t="n"/>
      <c r="H46" s="216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20.25" customHeight="1">
      <c r="B51" s="21" t="n"/>
    </row>
    <row r="53" ht="19.5" customHeight="1"/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 codeName="Tabelle30">
    <outlinePr summaryBelow="1" summaryRight="1"/>
    <pageSetUpPr/>
  </sheetPr>
  <dimension ref="A5:J51"/>
  <sheetViews>
    <sheetView workbookViewId="0">
      <selection activeCell="E24" sqref="E24:H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44169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10113-2020-008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ROUND((1009597/10*12)/100,)*100</f>
        <v/>
      </c>
      <c r="F24" s="159" t="inlineStr">
        <is>
          <t>C</t>
        </is>
      </c>
      <c r="G24" s="183" t="n">
        <v>2.5</v>
      </c>
      <c r="H24" s="193">
        <f>G24/10*993</f>
        <v/>
      </c>
    </row>
    <row r="25" ht="15" customFormat="1" customHeight="1" s="15">
      <c r="B25" s="15" t="inlineStr">
        <is>
          <t>für 07/2020 am</t>
        </is>
      </c>
      <c r="C25" s="169" t="n">
        <v>44109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2.5</v>
      </c>
      <c r="H27" s="193">
        <f>G27/10*993</f>
        <v/>
      </c>
    </row>
    <row r="28" ht="15" customFormat="1" customHeight="1" s="15">
      <c r="B28" s="15" t="inlineStr">
        <is>
          <t>für 08/2020 am</t>
        </is>
      </c>
      <c r="C28" s="169">
        <f>+C25</f>
        <v/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2.5</v>
      </c>
      <c r="H30" s="193">
        <f>G30/10*993</f>
        <v/>
      </c>
    </row>
    <row r="31" ht="15" customFormat="1" customHeight="1" s="15">
      <c r="B31" s="15" t="inlineStr">
        <is>
          <t>für 09/2020 am</t>
        </is>
      </c>
      <c r="C31" s="169" t="n">
        <v>44141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16%</t>
        </is>
      </c>
      <c r="F35" s="99" t="n"/>
      <c r="G35" s="90" t="n"/>
      <c r="H35" s="193">
        <f>+H34*0.16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G9:H9"/>
    <mergeCell ref="G7:H7"/>
    <mergeCell ref="E7:F7"/>
    <mergeCell ref="C25:D25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 codeName="Tabelle32">
    <outlinePr summaryBelow="1" summaryRight="1"/>
    <pageSetUpPr/>
  </sheetPr>
  <dimension ref="A3:S59"/>
  <sheetViews>
    <sheetView workbookViewId="0">
      <selection activeCell="H42" sqref="H42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inlineStr">
        <is>
          <t xml:space="preserve"> - Einrichten von Lohnkonten</t>
        </is>
      </c>
      <c r="N3" s="114" t="inlineStr">
        <is>
          <t>08/2020</t>
        </is>
      </c>
      <c r="O3" s="60" t="n"/>
      <c r="P3" s="212" t="n">
        <v>9</v>
      </c>
      <c r="Q3" s="58" t="n"/>
      <c r="R3" s="213" t="n">
        <v>1</v>
      </c>
      <c r="S3" s="211">
        <f>+R3*P3</f>
        <v/>
      </c>
    </row>
    <row r="4">
      <c r="M4" s="58" t="inlineStr">
        <is>
          <t xml:space="preserve">   (S.Perikic)</t>
        </is>
      </c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44277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10113-2021-001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10/2020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44127</v>
      </c>
      <c r="D24" s="60" t="n"/>
      <c r="E24" s="212" t="n">
        <v>15</v>
      </c>
      <c r="G24" s="213" t="n">
        <v>13</v>
      </c>
      <c r="H24" s="211">
        <f>+G24*E24</f>
        <v/>
      </c>
    </row>
    <row r="25" ht="3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11/2020 </t>
        </is>
      </c>
      <c r="D26" s="60" t="n"/>
    </row>
    <row r="27" ht="13.5" customFormat="1" customHeight="1" s="58">
      <c r="B27" s="63" t="inlineStr">
        <is>
          <t xml:space="preserve"> - Lohnabrechnungen inkl. </t>
        </is>
      </c>
      <c r="C27" s="59" t="n"/>
      <c r="D27" s="60" t="n"/>
    </row>
    <row r="28" ht="13.5" customFormat="1" customHeight="1" s="58">
      <c r="B28" s="58" t="inlineStr">
        <is>
          <t xml:space="preserve">   Sozialvers.-meldungen</t>
        </is>
      </c>
      <c r="C28" s="59" t="n">
        <v>44158</v>
      </c>
      <c r="D28" s="60" t="n"/>
      <c r="E28" s="212" t="n">
        <v>15</v>
      </c>
      <c r="G28" s="213" t="n">
        <v>13</v>
      </c>
      <c r="H28" s="211">
        <f>+G28*E28</f>
        <v/>
      </c>
    </row>
    <row r="29" ht="5.25" customFormat="1" customHeight="1" s="58">
      <c r="C29" s="59" t="n"/>
      <c r="D29" s="60" t="n"/>
      <c r="E29" s="212" t="n"/>
      <c r="G29" s="213" t="n"/>
      <c r="H29" s="211" t="n"/>
    </row>
    <row r="30" ht="13.5" customFormat="1" customHeight="1" s="58">
      <c r="A30" s="58" t="n">
        <v>34</v>
      </c>
      <c r="B30" s="58" t="inlineStr">
        <is>
          <t xml:space="preserve">Löhne/Gehälter 12/2020 </t>
        </is>
      </c>
      <c r="D30" s="60" t="n"/>
    </row>
    <row r="31" ht="13.5" customFormat="1" customHeight="1" s="58">
      <c r="B31" s="63" t="inlineStr">
        <is>
          <t xml:space="preserve"> - Lohnabrechnungen inkl. </t>
        </is>
      </c>
      <c r="C31" s="59" t="n"/>
      <c r="D31" s="60" t="n"/>
    </row>
    <row r="32" ht="13.5" customFormat="1" customHeight="1" s="58">
      <c r="B32" s="58" t="inlineStr">
        <is>
          <t xml:space="preserve">   Sozialvers.-meldungen</t>
        </is>
      </c>
      <c r="C32" s="59" t="n">
        <v>44182</v>
      </c>
      <c r="D32" s="60" t="n"/>
      <c r="E32" s="212" t="n">
        <v>15</v>
      </c>
      <c r="G32" s="213" t="n">
        <v>13</v>
      </c>
      <c r="H32" s="211">
        <f>+G32*E32</f>
        <v/>
      </c>
    </row>
    <row r="33" ht="5.25" customFormat="1" customHeight="1" s="58">
      <c r="C33" s="59" t="n"/>
      <c r="D33" s="60" t="n"/>
      <c r="E33" s="212" t="n"/>
      <c r="G33" s="213" t="n"/>
      <c r="H33" s="211" t="n"/>
    </row>
    <row r="34" ht="13.5" customFormat="1" customHeight="1" s="58">
      <c r="A34" s="58" t="n">
        <v>34</v>
      </c>
      <c r="B34" s="58" t="inlineStr">
        <is>
          <t>Hilfeleistung bei sonstigen Tätigkeiten im Zusammen-</t>
        </is>
      </c>
      <c r="C34" s="59" t="n"/>
      <c r="D34" s="60" t="n"/>
      <c r="E34" s="209" t="n">
        <v>80</v>
      </c>
      <c r="F34" s="58" t="inlineStr">
        <is>
          <t>Zeitgeb.</t>
        </is>
      </c>
      <c r="G34" s="210" t="n">
        <v>2</v>
      </c>
      <c r="H34" s="211">
        <f>+G34*E34</f>
        <v/>
      </c>
    </row>
    <row r="35" ht="13.5" customFormat="1" customHeight="1" s="58">
      <c r="B35" s="58" t="inlineStr">
        <is>
          <t>hang mit dem Lohnsteuerabzug/der Lohnbuchführung</t>
        </is>
      </c>
      <c r="C35" s="59" t="n"/>
      <c r="D35" s="60" t="n"/>
      <c r="E35" s="212" t="n"/>
      <c r="G35" s="213" t="n"/>
      <c r="H35" s="211" t="n"/>
    </row>
    <row r="36" ht="13.5" customFormat="1" customHeight="1" s="58">
      <c r="B36" s="63" t="inlineStr">
        <is>
          <t>- LFZ-Anträge Chmielowski (2x), M.Perikic (3x), Perikic,</t>
        </is>
      </c>
      <c r="C36" s="59" t="n"/>
      <c r="D36" s="60" t="n"/>
    </row>
    <row r="37" ht="13.5" customFormat="1" customHeight="1" s="58">
      <c r="B37" s="63" t="inlineStr">
        <is>
          <t xml:space="preserve">  S. (2x), Münster, Stjepanovic</t>
        </is>
      </c>
      <c r="C37" s="59" t="inlineStr">
        <is>
          <t>IV/2020</t>
        </is>
      </c>
      <c r="D37" s="60" t="n"/>
    </row>
    <row r="38" ht="5.25" customFormat="1" customHeight="1" s="58"/>
    <row r="39" ht="13.5" customFormat="1" customHeight="1" s="58">
      <c r="A39" s="58" t="n">
        <v>16</v>
      </c>
      <c r="B39" s="58" t="inlineStr">
        <is>
          <t xml:space="preserve">Auslagenersatz für Post- und </t>
        </is>
      </c>
      <c r="C39" s="59" t="n"/>
      <c r="D39" s="60" t="n"/>
      <c r="E39" s="212" t="n"/>
      <c r="G39" s="213" t="n"/>
      <c r="H39" s="211" t="n"/>
    </row>
    <row r="40" ht="13.5" customFormat="1" customHeight="1" s="58">
      <c r="B40" s="58" t="inlineStr">
        <is>
          <t>Telekommunikation</t>
        </is>
      </c>
      <c r="C40" s="59" t="inlineStr">
        <is>
          <t>IV/2020</t>
        </is>
      </c>
      <c r="D40" s="60" t="n"/>
      <c r="E40" s="211">
        <f>SUM(H22:H33)*0.2</f>
        <v/>
      </c>
      <c r="G40" s="211" t="n"/>
      <c r="H40" s="211">
        <f>(G24+G28+G32)*1.3</f>
        <v/>
      </c>
    </row>
    <row r="41" ht="6.75" customFormat="1" customHeight="1" s="58">
      <c r="C41" s="60" t="n"/>
      <c r="D41" s="60" t="n"/>
      <c r="E41" s="214" t="n"/>
      <c r="F41" s="68" t="n"/>
      <c r="G41" s="69" t="n"/>
      <c r="H41" s="215" t="n"/>
    </row>
    <row r="42" ht="13.5" customFormat="1" customHeight="1" s="58">
      <c r="A42" s="71" t="n"/>
      <c r="B42" s="71" t="n"/>
      <c r="E42" s="58" t="inlineStr">
        <is>
          <t>Gesamt</t>
        </is>
      </c>
      <c r="F42" s="71" t="n"/>
      <c r="G42" s="81" t="n"/>
      <c r="H42" s="211">
        <f>SUM(H22:H41)</f>
        <v/>
      </c>
      <c r="J42" s="211" t="n"/>
    </row>
    <row r="43" ht="13.5" customFormat="1" customHeight="1" s="58">
      <c r="E43" s="74" t="inlineStr">
        <is>
          <t>USt 16%</t>
        </is>
      </c>
      <c r="F43" s="71" t="n"/>
      <c r="G43" s="81" t="n"/>
      <c r="H43" s="211">
        <f>+H42*0.16</f>
        <v/>
      </c>
    </row>
    <row r="44" ht="14.25" customFormat="1" customHeight="1" s="58" thickBot="1">
      <c r="E44" s="75" t="inlineStr">
        <is>
          <t>Rechnungsendbetrag</t>
        </is>
      </c>
      <c r="F44" s="76" t="n"/>
      <c r="G44" s="77" t="n"/>
      <c r="H44" s="216">
        <f>SUM(H42:H43)</f>
        <v/>
      </c>
      <c r="J44" s="211" t="n"/>
    </row>
    <row r="45" ht="5.25" customFormat="1" customHeight="1" s="58" thickTop="1">
      <c r="E45" s="79" t="n"/>
      <c r="F45" s="80" t="n"/>
      <c r="G45" s="81" t="n"/>
      <c r="H45" s="211" t="n"/>
      <c r="J45" s="211" t="n"/>
    </row>
    <row r="46" ht="15" customFormat="1" customHeight="1" s="58">
      <c r="A46" s="15" t="inlineStr">
        <is>
          <t>Bitte überweisen Sie den Betrag ohne Abzüge innerhalb von 14 Tagen auf das angegebene Konto.</t>
        </is>
      </c>
      <c r="B46" s="71" t="n"/>
      <c r="D46" s="81" t="n"/>
      <c r="E46" s="80" t="n"/>
      <c r="F46" s="62" t="n"/>
    </row>
    <row r="47" ht="13.5" customFormat="1" customHeight="1" s="58">
      <c r="D47" s="81" t="n"/>
      <c r="E47" s="80" t="n"/>
      <c r="F47" s="62" t="n"/>
    </row>
    <row r="48" ht="15" customFormat="1" customHeight="1" s="15">
      <c r="D48" s="90" t="n"/>
      <c r="E48" s="183" t="n"/>
      <c r="F48" s="90" t="n"/>
      <c r="G48" s="10" t="n"/>
    </row>
    <row r="49" ht="15" customFormat="1" customHeight="1" s="15">
      <c r="D49" s="90" t="n"/>
      <c r="E49" s="183" t="n"/>
      <c r="F49" s="90" t="n"/>
      <c r="G49" s="10" t="n"/>
    </row>
    <row r="50" ht="20.25" customHeight="1">
      <c r="B50" s="21" t="n"/>
    </row>
    <row r="53" ht="19.5" customHeight="1"/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 codeName="Tabelle33">
    <outlinePr summaryBelow="1" summaryRight="1"/>
    <pageSetUpPr/>
  </sheetPr>
  <dimension ref="A5:J51"/>
  <sheetViews>
    <sheetView workbookViewId="0">
      <selection activeCell="E24" sqref="E24:H3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44277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10113-2021-002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ROUND((1009597/10*12)/100,)*100</f>
        <v/>
      </c>
      <c r="F24" s="159" t="inlineStr">
        <is>
          <t>C</t>
        </is>
      </c>
      <c r="G24" s="183" t="n">
        <v>2.5</v>
      </c>
      <c r="H24" s="193">
        <f>G24/10*993</f>
        <v/>
      </c>
    </row>
    <row r="25" ht="15" customFormat="1" customHeight="1" s="15">
      <c r="B25" s="15" t="inlineStr">
        <is>
          <t>für 10/2020 am</t>
        </is>
      </c>
      <c r="C25" s="169" t="n">
        <v>44215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G27/10*993</f>
        <v/>
      </c>
    </row>
    <row r="28" ht="15" customFormat="1" customHeight="1" s="15">
      <c r="B28" s="15" t="inlineStr">
        <is>
          <t>für 11/2020 am</t>
        </is>
      </c>
      <c r="C28" s="169">
        <f>+C25</f>
        <v/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G30/10*993</f>
        <v/>
      </c>
    </row>
    <row r="31" ht="15" customFormat="1" customHeight="1" s="15">
      <c r="B31" s="15" t="inlineStr">
        <is>
          <t>für 12/2020 am</t>
        </is>
      </c>
      <c r="C31" s="169" t="n">
        <v>44231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 codeName="Tabelle34">
    <outlinePr summaryBelow="1" summaryRight="1"/>
    <pageSetUpPr/>
  </sheetPr>
  <dimension ref="A5:R60"/>
  <sheetViews>
    <sheetView topLeftCell="A10" workbookViewId="0">
      <selection activeCell="A36" sqref="A36:H3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44323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10113-2021-003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8.25" customHeight="1"/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01/2021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44222</v>
      </c>
      <c r="D24" s="60" t="n"/>
      <c r="E24" s="212" t="n">
        <v>15</v>
      </c>
      <c r="G24" s="213" t="n">
        <v>12</v>
      </c>
      <c r="H24" s="211">
        <f>+G24*E24</f>
        <v/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02/2021 </t>
        </is>
      </c>
      <c r="D26" s="60" t="n"/>
    </row>
    <row r="27" ht="13.5" customFormat="1" customHeight="1" s="58">
      <c r="B27" s="63" t="inlineStr">
        <is>
          <t xml:space="preserve"> - Lohnabrechnungen inkl. </t>
        </is>
      </c>
      <c r="C27" s="59" t="n"/>
      <c r="D27" s="60" t="n"/>
    </row>
    <row r="28" ht="13.5" customFormat="1" customHeight="1" s="58">
      <c r="B28" s="58" t="inlineStr">
        <is>
          <t xml:space="preserve">   Sozialvers.-meldungen</t>
        </is>
      </c>
      <c r="C28" s="59" t="n">
        <v>44246</v>
      </c>
      <c r="D28" s="60" t="n"/>
      <c r="E28" s="212" t="n">
        <v>15</v>
      </c>
      <c r="G28" s="213" t="n">
        <v>12</v>
      </c>
      <c r="H28" s="211">
        <f>+G28*E28</f>
        <v/>
      </c>
    </row>
    <row r="29" ht="5.25" customFormat="1" customHeight="1" s="58">
      <c r="C29" s="59" t="n"/>
      <c r="D29" s="60" t="n"/>
      <c r="E29" s="212" t="n"/>
      <c r="G29" s="213" t="n"/>
      <c r="H29" s="211" t="n"/>
    </row>
    <row r="30" ht="13.5" customFormat="1" customHeight="1" s="58">
      <c r="A30" s="58" t="n">
        <v>34</v>
      </c>
      <c r="B30" s="58" t="inlineStr">
        <is>
          <t xml:space="preserve">Löhne/Gehälter 03/2021 </t>
        </is>
      </c>
      <c r="D30" s="60" t="n"/>
    </row>
    <row r="31" ht="13.5" customFormat="1" customHeight="1" s="58">
      <c r="B31" s="63" t="inlineStr">
        <is>
          <t xml:space="preserve"> - Einrichten von Lohnkonten /</t>
        </is>
      </c>
      <c r="C31" s="114" t="inlineStr">
        <is>
          <t>03/2021</t>
        </is>
      </c>
      <c r="D31" s="60" t="n"/>
      <c r="E31" s="212" t="n">
        <v>15</v>
      </c>
      <c r="G31" s="213" t="n">
        <v>1</v>
      </c>
      <c r="H31" s="211">
        <f>+G31*E31</f>
        <v/>
      </c>
    </row>
    <row r="32" ht="13.5" customFormat="1" customHeight="1" s="58">
      <c r="B32" s="58" t="inlineStr">
        <is>
          <t xml:space="preserve">   Sofortmeldung (M. Jurkovic)</t>
        </is>
      </c>
      <c r="D32" s="60" t="n"/>
      <c r="E32" s="212" t="n"/>
      <c r="G32" s="213" t="n"/>
      <c r="H32" s="211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44279</v>
      </c>
      <c r="D34" s="60" t="n"/>
      <c r="E34" s="212" t="n">
        <v>15</v>
      </c>
      <c r="G34" s="213" t="n">
        <v>13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>
      <c r="A36" s="58" t="n">
        <v>34</v>
      </c>
      <c r="B36" s="58" t="inlineStr">
        <is>
          <t>Hilfeleistung bei sonstigen Tätigkeiten im Zusammen-</t>
        </is>
      </c>
      <c r="C36" s="59" t="n"/>
      <c r="D36" s="60" t="n"/>
      <c r="E36" s="209" t="n">
        <v>80</v>
      </c>
      <c r="F36" s="58" t="inlineStr">
        <is>
          <t>Zeitgeb.</t>
        </is>
      </c>
      <c r="G36" s="210" t="n">
        <v>1</v>
      </c>
      <c r="H36" s="211">
        <f>+G36*E36</f>
        <v/>
      </c>
    </row>
    <row r="37" ht="13.5" customFormat="1" customHeight="1" s="58">
      <c r="B37" s="58" t="inlineStr">
        <is>
          <t>hang mit dem Lohnsteuerabzug/der Lohnbuchführung</t>
        </is>
      </c>
      <c r="C37" s="59" t="n"/>
      <c r="D37" s="60" t="n"/>
      <c r="E37" s="212" t="n"/>
      <c r="G37" s="213" t="n"/>
      <c r="H37" s="211" t="n"/>
    </row>
    <row r="38" ht="13.5" customFormat="1" customHeight="1" s="58">
      <c r="B38" s="63" t="inlineStr">
        <is>
          <t>- LFZ-Anträge Chmielowski (2x), M. Perikic, S. Perikic (2x),</t>
        </is>
      </c>
      <c r="C38" s="59" t="n"/>
      <c r="D38" s="60" t="n"/>
    </row>
    <row r="39" ht="13.5" customFormat="1" customHeight="1" s="58">
      <c r="B39" s="58" t="inlineStr">
        <is>
          <t xml:space="preserve">  Münster, Milicevic</t>
        </is>
      </c>
      <c r="C39" s="59" t="inlineStr">
        <is>
          <t>I/2021</t>
        </is>
      </c>
      <c r="D39" s="60" t="n"/>
    </row>
    <row r="40" ht="3" customFormat="1" customHeight="1" s="58">
      <c r="C40" s="59" t="n"/>
      <c r="D40" s="60" t="n"/>
    </row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I/2021</t>
        </is>
      </c>
      <c r="D42" s="60" t="n"/>
      <c r="E42" s="211">
        <f>SUM(H22:H37)*0.2</f>
        <v/>
      </c>
      <c r="G42" s="211" t="n"/>
      <c r="H42" s="211">
        <f>SUM(G24:G34)*1.3-1.3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SUM(H22:H43)</f>
        <v/>
      </c>
      <c r="J44" s="211" t="n"/>
    </row>
    <row r="45" ht="13.5" customFormat="1" customHeight="1" s="58">
      <c r="E45" s="74" t="inlineStr">
        <is>
          <t>USt 19%</t>
        </is>
      </c>
      <c r="F45" s="71" t="n"/>
      <c r="G45" s="81" t="n"/>
      <c r="H45" s="211">
        <f>+H44*0.19</f>
        <v/>
      </c>
    </row>
    <row r="46" ht="14.25" customFormat="1" customHeight="1" s="58" thickBot="1">
      <c r="E46" s="75" t="inlineStr">
        <is>
          <t>Rechnungsendbetrag</t>
        </is>
      </c>
      <c r="F46" s="76" t="n"/>
      <c r="G46" s="77" t="n"/>
      <c r="H46" s="216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D51" s="90" t="n"/>
      <c r="E51" s="183" t="n"/>
      <c r="F51" s="90" t="n"/>
      <c r="G51" s="10" t="n"/>
    </row>
    <row r="52" ht="15" customFormat="1" customHeight="1" s="15">
      <c r="B52" s="21" t="n"/>
      <c r="D52" s="90" t="n"/>
      <c r="E52" s="183" t="n"/>
      <c r="F52" s="90" t="n"/>
      <c r="G52" s="10" t="n"/>
    </row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 codeName="Tabelle35">
    <outlinePr summaryBelow="1" summaryRight="1"/>
    <pageSetUpPr/>
  </sheetPr>
  <dimension ref="A5:J51"/>
  <sheetViews>
    <sheetView workbookViewId="0">
      <selection activeCell="G24" sqref="G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44333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10113-2021-004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ROUND((1009597/10*12)/100,)*100</f>
        <v/>
      </c>
      <c r="F24" s="159" t="inlineStr">
        <is>
          <t>C</t>
        </is>
      </c>
      <c r="G24" s="183" t="n">
        <v>3.25</v>
      </c>
      <c r="H24" s="193">
        <f>G24/10*993</f>
        <v/>
      </c>
    </row>
    <row r="25" ht="15" customFormat="1" customHeight="1" s="15">
      <c r="B25" s="15" t="inlineStr">
        <is>
          <t>für 01/2021 am</t>
        </is>
      </c>
      <c r="C25" s="169" t="n">
        <v>44264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G27/10*993</f>
        <v/>
      </c>
    </row>
    <row r="28" ht="15" customFormat="1" customHeight="1" s="15">
      <c r="B28" s="15" t="inlineStr">
        <is>
          <t>für 02/2021 am</t>
        </is>
      </c>
      <c r="C28" s="169" t="n">
        <v>44286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+G24</f>
        <v/>
      </c>
      <c r="H30" s="193">
        <f>G30/10*993</f>
        <v/>
      </c>
    </row>
    <row r="31" ht="15" customFormat="1" customHeight="1" s="15">
      <c r="B31" s="15" t="inlineStr">
        <is>
          <t>für 03/2021 am</t>
        </is>
      </c>
      <c r="C31" s="169" t="n">
        <v>44327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 codeName="Tabelle36">
    <outlinePr summaryBelow="1" summaryRight="1"/>
    <pageSetUpPr/>
  </sheetPr>
  <dimension ref="A2:R60"/>
  <sheetViews>
    <sheetView topLeftCell="A10" workbookViewId="0">
      <selection activeCell="R4" sqref="R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2">
      <c r="L2" s="63" t="n"/>
      <c r="M2" s="59" t="n"/>
      <c r="N2" s="60" t="n"/>
      <c r="O2" s="212" t="n"/>
      <c r="P2" s="58" t="n"/>
      <c r="Q2" s="213" t="n"/>
      <c r="R2" s="211" t="n"/>
    </row>
    <row r="3">
      <c r="L3" s="58" t="n"/>
      <c r="M3" s="59" t="n"/>
      <c r="N3" s="60" t="n"/>
      <c r="O3" s="212" t="n"/>
      <c r="P3" s="58" t="n"/>
      <c r="Q3" s="213" t="n"/>
      <c r="R3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44449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5" t="inlineStr">
        <is>
          <t>Rg-Nr.:</t>
        </is>
      </c>
      <c r="G9" s="178" t="inlineStr">
        <is>
          <t>10113-2021-005</t>
        </is>
      </c>
      <c r="H9" s="188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116" t="inlineStr">
        <is>
          <t>Leistungsdatum:</t>
        </is>
      </c>
      <c r="F10" s="54" t="n"/>
      <c r="G10" s="182" t="inlineStr">
        <is>
          <t>siehe Einzelposition</t>
        </is>
      </c>
      <c r="H10" s="190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88" t="inlineStr">
        <is>
          <t xml:space="preserve">IBAN: </t>
        </is>
      </c>
      <c r="F11" s="184" t="inlineStr">
        <is>
          <t>DE 13 50070024 0 4092862 00</t>
        </is>
      </c>
      <c r="H11" s="188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65" t="inlineStr">
        <is>
          <t>BIC:</t>
        </is>
      </c>
      <c r="F12" s="150" t="inlineStr">
        <is>
          <t>DEUTDEDBFRA</t>
        </is>
      </c>
      <c r="G12" s="150" t="n"/>
      <c r="H12" s="151" t="n"/>
    </row>
    <row r="13" ht="15" customFormat="1" customHeight="1" s="140">
      <c r="D13" s="52" t="n"/>
      <c r="E13" s="53" t="n"/>
      <c r="F13" s="47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  <c r="L20" s="63" t="n"/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  <c r="L21" s="63" t="n"/>
    </row>
    <row r="22" ht="13.5" customFormat="1" customHeight="1" s="58">
      <c r="A22" s="58" t="n">
        <v>34</v>
      </c>
      <c r="B22" s="58" t="inlineStr">
        <is>
          <t xml:space="preserve">Löhne/Gehälter 04/2021 </t>
        </is>
      </c>
      <c r="D22" s="60" t="n"/>
    </row>
    <row r="23" ht="13.5" customFormat="1" customHeight="1" s="58">
      <c r="B23" s="63" t="inlineStr">
        <is>
          <t xml:space="preserve"> - Einrichten von Lohnkonten /</t>
        </is>
      </c>
      <c r="C23" s="114" t="inlineStr">
        <is>
          <t>04/2021</t>
        </is>
      </c>
      <c r="D23" s="60" t="n"/>
      <c r="E23" s="212" t="n">
        <v>15</v>
      </c>
      <c r="G23" s="213" t="n">
        <v>1</v>
      </c>
      <c r="H23" s="211">
        <f>+G23*E23</f>
        <v/>
      </c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44311</v>
      </c>
      <c r="D25" s="60" t="n"/>
      <c r="E25" s="212" t="n">
        <v>15</v>
      </c>
      <c r="G25" s="213" t="n">
        <v>14</v>
      </c>
      <c r="H25" s="211">
        <f>+G25*E25</f>
        <v/>
      </c>
    </row>
    <row r="26" ht="5.2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05/2021 </t>
        </is>
      </c>
      <c r="D27" s="60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44342</v>
      </c>
      <c r="D29" s="60" t="n"/>
      <c r="E29" s="212" t="n">
        <v>15</v>
      </c>
      <c r="G29" s="213" t="n">
        <v>14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06/2021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44371</v>
      </c>
      <c r="D33" s="60" t="n"/>
      <c r="E33" s="212" t="n">
        <v>15</v>
      </c>
      <c r="G33" s="213" t="n">
        <v>13</v>
      </c>
      <c r="H33" s="211">
        <f>+G33*E33</f>
        <v/>
      </c>
    </row>
    <row r="34" ht="5.2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0.5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>- LFZ-Anträge M. Perikic, V.Perikic, Boycjinov</t>
        </is>
      </c>
      <c r="C37" s="59" t="n"/>
      <c r="D37" s="60" t="n"/>
    </row>
    <row r="38" ht="13.5" customFormat="1" customHeight="1" s="58">
      <c r="B38" s="63" t="inlineStr">
        <is>
          <t xml:space="preserve">  in</t>
        </is>
      </c>
      <c r="C38" s="59" t="inlineStr">
        <is>
          <t>II/2021</t>
        </is>
      </c>
      <c r="D38" s="60" t="n"/>
      <c r="E38" s="209" t="n"/>
      <c r="G38" s="210" t="n"/>
      <c r="H38" s="211" t="n"/>
    </row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II/2021</t>
        </is>
      </c>
      <c r="D41" s="60" t="n"/>
      <c r="E41" s="211">
        <f>SUM(H22:H34)*0.2</f>
        <v/>
      </c>
      <c r="G41" s="211" t="n"/>
      <c r="H41" s="211" t="n">
        <v>60</v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3" ht="8.25" customHeight="1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1:H11"/>
    <mergeCell ref="A55:H55"/>
    <mergeCell ref="A15:H15"/>
    <mergeCell ref="G7:H7"/>
    <mergeCell ref="E7:F7"/>
    <mergeCell ref="G10:H10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 codeName="Tabelle37">
    <outlinePr summaryBelow="1" summaryRight="1"/>
    <pageSetUpPr/>
  </sheetPr>
  <dimension ref="A5:J51"/>
  <sheetViews>
    <sheetView workbookViewId="0">
      <selection activeCell="G9" sqref="G9:H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44449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10113-2021-006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1036000</v>
      </c>
      <c r="F24" s="159" t="inlineStr">
        <is>
          <t>C</t>
        </is>
      </c>
      <c r="G24" s="183" t="n">
        <v>6</v>
      </c>
      <c r="H24" s="193">
        <f>G24/10*857</f>
        <v/>
      </c>
    </row>
    <row r="25" ht="15" customFormat="1" customHeight="1" s="15">
      <c r="B25" s="15" t="inlineStr">
        <is>
          <t>für 04/2021 am</t>
        </is>
      </c>
      <c r="C25" s="117" t="n">
        <v>44357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G27/10*857</f>
        <v/>
      </c>
    </row>
    <row r="28" ht="15" customFormat="1" customHeight="1" s="15">
      <c r="B28" s="15" t="inlineStr">
        <is>
          <t>für 05/2021 am</t>
        </is>
      </c>
      <c r="C28" s="169" t="n">
        <v>44384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G30/10*857</f>
        <v/>
      </c>
    </row>
    <row r="31" ht="15" customFormat="1" customHeight="1" s="15">
      <c r="B31" s="15" t="inlineStr">
        <is>
          <t>für 06/2021 am</t>
        </is>
      </c>
      <c r="C31" s="169" t="n">
        <v>44414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inlineStr">
        <is>
          <t>Rat/Auskunft</t>
        </is>
      </c>
      <c r="C33" s="93" t="n">
        <v>44415</v>
      </c>
      <c r="D33" s="93" t="n"/>
      <c r="E33" s="202" t="n">
        <v>6000</v>
      </c>
      <c r="F33" s="183" t="inlineStr">
        <is>
          <t>A</t>
        </is>
      </c>
      <c r="G33" s="20" t="n">
        <v>3</v>
      </c>
      <c r="H33" s="193">
        <f>G33/10*355</f>
        <v/>
      </c>
    </row>
    <row r="34" ht="15" customFormat="1" customHeight="1" s="15">
      <c r="B34" s="94" t="inlineStr">
        <is>
          <t>Zusammenstellung von Daten für die Bauhaupterhebung</t>
        </is>
      </c>
      <c r="C34" s="93" t="n"/>
      <c r="D34" s="93" t="n"/>
      <c r="E34" s="202" t="n"/>
      <c r="F34" s="183" t="n"/>
      <c r="G34" s="205" t="n"/>
      <c r="H34" s="193" t="n"/>
    </row>
    <row r="35" ht="15" customFormat="1" customHeight="1" s="15">
      <c r="B35" s="94" t="inlineStr">
        <is>
          <t>des stat. Landesamtes 2021</t>
        </is>
      </c>
      <c r="C35" s="93" t="n"/>
      <c r="D35" s="93" t="n"/>
      <c r="E35" s="202" t="n"/>
      <c r="F35" s="183" t="n"/>
      <c r="G35" s="205" t="n"/>
      <c r="H35" s="193" t="n"/>
    </row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G9:H9"/>
    <mergeCell ref="G7:H7"/>
    <mergeCell ref="E7:F7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 codeName="Tabelle38">
    <outlinePr summaryBelow="1" summaryRight="1"/>
    <pageSetUpPr/>
  </sheetPr>
  <dimension ref="A5:J51"/>
  <sheetViews>
    <sheetView topLeftCell="A19" workbookViewId="0">
      <selection activeCell="K42" sqref="K42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44552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10113-2021-007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1300000</v>
      </c>
      <c r="F24" s="159" t="inlineStr">
        <is>
          <t>C</t>
        </is>
      </c>
      <c r="G24" s="183" t="n">
        <v>2.5</v>
      </c>
      <c r="H24" s="193">
        <f>G24/10*1027</f>
        <v/>
      </c>
    </row>
    <row r="25" ht="15" customFormat="1" customHeight="1" s="15">
      <c r="B25" s="15" t="inlineStr">
        <is>
          <t>für 07/2021 am</t>
        </is>
      </c>
      <c r="C25" s="169" t="n">
        <v>44447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3</v>
      </c>
      <c r="H27" s="193">
        <f>G27/10*1027</f>
        <v/>
      </c>
    </row>
    <row r="28" ht="15" customFormat="1" customHeight="1" s="15">
      <c r="B28" s="15" t="inlineStr">
        <is>
          <t>für 08/2021 am</t>
        </is>
      </c>
      <c r="C28" s="169" t="n">
        <v>44474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G30/10*1027</f>
        <v/>
      </c>
    </row>
    <row r="31" ht="15" customFormat="1" customHeight="1" s="15">
      <c r="B31" s="15" t="inlineStr">
        <is>
          <t>für 09/2021 am</t>
        </is>
      </c>
      <c r="C31" s="169" t="n">
        <v>44508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 codeName="Tabelle39">
    <outlinePr summaryBelow="1" summaryRight="1"/>
    <pageSetUpPr/>
  </sheetPr>
  <dimension ref="A5:R59"/>
  <sheetViews>
    <sheetView topLeftCell="A28" zoomScale="130" zoomScaleNormal="130" workbookViewId="0">
      <selection activeCell="H60" sqref="H6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44552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60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64" t="inlineStr">
        <is>
          <t>10113-2021-008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K16" s="58" t="n"/>
      <c r="L16" s="63" t="inlineStr">
        <is>
          <t xml:space="preserve"> - Einrichten von Lohnkonten</t>
        </is>
      </c>
      <c r="M16" s="114" t="inlineStr">
        <is>
          <t>08/2021</t>
        </is>
      </c>
      <c r="N16" s="60" t="n"/>
      <c r="O16" s="212" t="n">
        <v>9</v>
      </c>
      <c r="P16" s="58" t="n"/>
      <c r="Q16" s="213" t="n">
        <v>1</v>
      </c>
      <c r="R16" s="211">
        <f>+Q16*O16</f>
        <v/>
      </c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  <c r="K17" s="58" t="n"/>
      <c r="L17" s="58" t="inlineStr">
        <is>
          <t xml:space="preserve">   (S.Perikic)</t>
        </is>
      </c>
      <c r="M17" s="58" t="n"/>
      <c r="N17" s="60" t="n"/>
      <c r="O17" s="212" t="n"/>
      <c r="P17" s="58" t="n"/>
      <c r="Q17" s="213" t="n"/>
      <c r="R17" s="211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07/2021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44404</v>
      </c>
      <c r="D24" s="60" t="n"/>
      <c r="E24" s="212" t="n">
        <v>15</v>
      </c>
      <c r="G24" s="213" t="n">
        <v>13</v>
      </c>
      <c r="H24" s="211">
        <f>+G24*E24</f>
        <v/>
      </c>
    </row>
    <row r="25" ht="3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08/2021 </t>
        </is>
      </c>
      <c r="D26" s="60" t="n"/>
    </row>
    <row r="27" ht="13.5" customFormat="1" customHeight="1" s="58">
      <c r="B27" s="63" t="inlineStr">
        <is>
          <t xml:space="preserve"> - Lohnabrechnungen inkl. </t>
        </is>
      </c>
      <c r="C27" s="59" t="n"/>
      <c r="D27" s="60" t="n"/>
    </row>
    <row r="28" ht="13.5" customFormat="1" customHeight="1" s="58">
      <c r="B28" s="58" t="inlineStr">
        <is>
          <t xml:space="preserve">   Sozialvers.-meldungen</t>
        </is>
      </c>
      <c r="C28" s="59" t="n">
        <v>44420</v>
      </c>
      <c r="D28" s="60" t="n"/>
      <c r="E28" s="212" t="n">
        <v>15</v>
      </c>
      <c r="G28" s="213" t="n">
        <v>13</v>
      </c>
      <c r="H28" s="211">
        <f>+G28*E28</f>
        <v/>
      </c>
    </row>
    <row r="29" ht="5.25" customFormat="1" customHeight="1" s="58">
      <c r="C29" s="59" t="n"/>
      <c r="D29" s="60" t="n"/>
      <c r="E29" s="212" t="n"/>
      <c r="G29" s="213" t="n"/>
      <c r="H29" s="211" t="n"/>
    </row>
    <row r="30" ht="13.5" customFormat="1" customHeight="1" s="58">
      <c r="A30" s="58" t="n">
        <v>34</v>
      </c>
      <c r="B30" s="58" t="inlineStr">
        <is>
          <t xml:space="preserve">Löhne/Gehälter 09/2021 </t>
        </is>
      </c>
      <c r="D30" s="60" t="n"/>
    </row>
    <row r="31" ht="13.5" customFormat="1" customHeight="1" s="58">
      <c r="B31" s="63" t="inlineStr">
        <is>
          <t xml:space="preserve"> - Lohnabrechnungen inkl. </t>
        </is>
      </c>
      <c r="C31" s="59" t="n"/>
      <c r="D31" s="60" t="n"/>
    </row>
    <row r="32" ht="13.5" customFormat="1" customHeight="1" s="58">
      <c r="B32" s="58" t="inlineStr">
        <is>
          <t xml:space="preserve">   Sozialvers.-meldungen</t>
        </is>
      </c>
      <c r="C32" s="59" t="n">
        <v>43371</v>
      </c>
      <c r="D32" s="60" t="n"/>
      <c r="E32" s="212" t="n">
        <v>15</v>
      </c>
      <c r="G32" s="213" t="n">
        <v>13</v>
      </c>
      <c r="H32" s="211">
        <f>+G32*E32</f>
        <v/>
      </c>
    </row>
    <row r="33" ht="5.25" customFormat="1" customHeight="1" s="58">
      <c r="C33" s="59" t="n"/>
      <c r="D33" s="60" t="n"/>
      <c r="E33" s="212" t="n"/>
      <c r="G33" s="213" t="n"/>
      <c r="H33" s="211" t="n"/>
    </row>
    <row r="34" ht="13.5" customFormat="1" customHeight="1" s="58">
      <c r="A34" s="58" t="n">
        <v>34</v>
      </c>
      <c r="B34" s="58" t="inlineStr">
        <is>
          <t>Hilfeleistung bei sonstigen Tätigkeiten im Zusammen-</t>
        </is>
      </c>
      <c r="C34" s="59" t="n"/>
      <c r="D34" s="60" t="n"/>
      <c r="E34" s="209" t="n">
        <v>80</v>
      </c>
      <c r="F34" s="58" t="inlineStr">
        <is>
          <t>Zeitgeb.</t>
        </is>
      </c>
      <c r="G34" s="210" t="n">
        <v>0.5</v>
      </c>
      <c r="H34" s="211">
        <f>+G34*E34</f>
        <v/>
      </c>
    </row>
    <row r="35" ht="13.5" customFormat="1" customHeight="1" s="58">
      <c r="B35" s="58" t="inlineStr">
        <is>
          <t>hang mit dem Lohnsteuerabzug/der Lohnbuchführung</t>
        </is>
      </c>
      <c r="C35" s="59" t="n"/>
      <c r="D35" s="60" t="n"/>
      <c r="E35" s="212" t="n"/>
      <c r="G35" s="213" t="n"/>
      <c r="H35" s="211" t="n"/>
    </row>
    <row r="36" ht="13.5" customFormat="1" customHeight="1" s="58">
      <c r="B36" s="63" t="inlineStr">
        <is>
          <t>- LFZ-Anträge Chmielowski (2x)</t>
        </is>
      </c>
      <c r="C36" s="59" t="inlineStr">
        <is>
          <t>III/2021</t>
        </is>
      </c>
      <c r="D36" s="60" t="n"/>
    </row>
    <row r="37" ht="13.5" customFormat="1" customHeight="1" s="58">
      <c r="B37" s="63" t="n"/>
      <c r="C37" s="59" t="n"/>
      <c r="D37" s="60" t="n"/>
    </row>
    <row r="38" ht="13.5" customFormat="1" customHeight="1" s="58">
      <c r="B38" s="63" t="n"/>
      <c r="C38" s="59" t="n"/>
      <c r="D38" s="60" t="n"/>
    </row>
    <row r="39" ht="13.5" customFormat="1" customHeight="1" s="58">
      <c r="D39" s="60" t="n"/>
    </row>
    <row r="40" ht="5.25" customFormat="1" customHeight="1" s="58"/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III/2021</t>
        </is>
      </c>
      <c r="D42" s="60" t="n"/>
      <c r="E42" s="211">
        <f>SUM(H22:H34)*0.2</f>
        <v/>
      </c>
      <c r="G42" s="211" t="n"/>
      <c r="H42" s="211">
        <f>(G24+G28+G32)*1.3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SUM(H22:H43)</f>
        <v/>
      </c>
      <c r="J44" s="211" t="n"/>
    </row>
    <row r="45" ht="13.5" customFormat="1" customHeight="1" s="58">
      <c r="E45" s="74" t="inlineStr">
        <is>
          <t>USt 19%</t>
        </is>
      </c>
      <c r="F45" s="71" t="n"/>
      <c r="G45" s="81" t="n"/>
      <c r="H45" s="211">
        <f>+H44*19%</f>
        <v/>
      </c>
    </row>
    <row r="46" ht="14.25" customFormat="1" customHeight="1" s="58" thickBot="1">
      <c r="E46" s="75" t="inlineStr">
        <is>
          <t>Rechnungsendbetrag</t>
        </is>
      </c>
      <c r="F46" s="76" t="n"/>
      <c r="G46" s="77" t="n"/>
      <c r="H46" s="216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20.25" customHeight="1">
      <c r="B51" s="21" t="n"/>
    </row>
    <row r="53" ht="19.5" customHeight="1"/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 codeName="Tabelle31">
    <outlinePr summaryBelow="1" summaryRight="1"/>
    <pageSetUpPr/>
  </sheetPr>
  <dimension ref="A5:R52"/>
  <sheetViews>
    <sheetView topLeftCell="A10" workbookViewId="0">
      <selection activeCell="J43" sqref="J43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10"/>
    <col width="13.140625" bestFit="1" customWidth="1" style="6" min="11" max="12"/>
    <col width="11.5703125" customWidth="1" style="6" min="13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44552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10113-2021-009</t>
        </is>
      </c>
      <c r="H9" s="188" t="n"/>
      <c r="K9" s="15" t="n">
        <v>27</v>
      </c>
      <c r="L9" s="15" t="inlineStr">
        <is>
          <t>Prüfung der Bescheide zur Körperschaftsteuer,</t>
        </is>
      </c>
      <c r="M9" s="159" t="n"/>
      <c r="O9" s="203" t="n">
        <v>80</v>
      </c>
      <c r="P9" s="183" t="inlineStr">
        <is>
          <t>Zeitgeb.</t>
        </is>
      </c>
      <c r="Q9" s="204" t="n">
        <v>0.5</v>
      </c>
      <c r="R9" s="193">
        <f>+Q9*O9</f>
        <v/>
      </c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</f>
        <v/>
      </c>
      <c r="H10" s="190" t="n"/>
      <c r="L10" s="15" t="inlineStr">
        <is>
          <t xml:space="preserve">zum Gewerbesteuermeßbetrag und zur Feststellung </t>
        </is>
      </c>
      <c r="M10" s="159" t="n"/>
      <c r="O10" s="202" t="n"/>
      <c r="P10" s="183" t="n"/>
      <c r="Q10" s="20" t="n"/>
      <c r="R10" s="193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L11" s="15" t="inlineStr">
        <is>
          <t>körperschaftsteuerlicher Bemessungsgrundlagen 2016</t>
        </is>
      </c>
      <c r="M11" s="159" t="n"/>
      <c r="O11" s="202" t="n"/>
      <c r="P11" s="183" t="n"/>
      <c r="Q11" s="20" t="n"/>
      <c r="R11" s="193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  <c r="K12" s="15" t="n"/>
      <c r="L12" s="15" t="inlineStr">
        <is>
          <t>am 06.09.2017</t>
        </is>
      </c>
      <c r="M12" s="159" t="n"/>
      <c r="N12" s="15" t="n"/>
      <c r="O12" s="202" t="n"/>
      <c r="P12" s="183" t="n"/>
      <c r="Q12" s="20" t="n"/>
      <c r="R12" s="193" t="n"/>
    </row>
    <row r="17" ht="14.25" customFormat="1" customHeight="1" s="12">
      <c r="A17" s="152" t="inlineStr">
        <is>
          <t xml:space="preserve">Rechnung über Honorare </t>
        </is>
      </c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4.25" customFormat="1" customHeight="1" s="12">
      <c r="A19" s="152" t="n"/>
      <c r="B19" s="152" t="n"/>
      <c r="C19" s="152" t="n"/>
      <c r="D19" s="152" t="n"/>
      <c r="E19" s="152" t="n"/>
      <c r="F19" s="152" t="n"/>
      <c r="G19" s="152" t="n"/>
      <c r="H19" s="152" t="n"/>
    </row>
    <row r="20" ht="15" customFormat="1" customHeight="1" s="15">
      <c r="A20" s="15" t="inlineStr">
        <is>
          <t xml:space="preserve">Für die nachfolgend aufgeführten Leistungen erlaube ich mir nach der Steuerberatervergütungs- </t>
        </is>
      </c>
      <c r="B20" s="13" t="n"/>
      <c r="D20" s="90" t="n"/>
      <c r="E20" s="183" t="n"/>
      <c r="F20" s="90" t="n"/>
      <c r="G20" s="18" t="n"/>
    </row>
    <row r="21" ht="15" customFormat="1" customHeight="1" s="15">
      <c r="A21" s="15" t="inlineStr">
        <is>
          <t>verordnung wie folgt abzurechnen:</t>
        </is>
      </c>
      <c r="B21" s="13" t="n"/>
      <c r="D21" s="90" t="n"/>
      <c r="E21" s="183" t="n"/>
      <c r="F21" s="90" t="n"/>
      <c r="G21" s="18" t="n"/>
    </row>
    <row r="22" ht="9" customFormat="1" customHeight="1" s="15">
      <c r="D22" s="90" t="n"/>
      <c r="E22" s="183" t="n"/>
      <c r="F22" s="10" t="n"/>
      <c r="G22" s="18" t="n"/>
      <c r="J22" s="202" t="n"/>
      <c r="K22" s="202" t="n"/>
      <c r="L22" s="202" t="n"/>
      <c r="M22" s="202" t="n"/>
      <c r="N22" s="202" t="n"/>
      <c r="O22" s="202" t="n"/>
    </row>
    <row r="23" ht="15" customFormat="1" customHeight="1" s="15">
      <c r="A23" s="17" t="inlineStr">
        <is>
          <t>Leistung</t>
        </is>
      </c>
      <c r="B23" s="19" t="n"/>
      <c r="C23" s="17" t="n"/>
      <c r="D23" s="90" t="n"/>
      <c r="E23" s="90" t="inlineStr">
        <is>
          <t>Gegenstands-</t>
        </is>
      </c>
      <c r="F23" s="183" t="inlineStr">
        <is>
          <t>Tabelle</t>
        </is>
      </c>
      <c r="G23" s="20" t="inlineStr">
        <is>
          <t>Geb.-</t>
        </is>
      </c>
      <c r="H23" s="183" t="inlineStr">
        <is>
          <t>Gebühr</t>
        </is>
      </c>
      <c r="J23" s="202" t="n"/>
      <c r="K23" s="202" t="n"/>
      <c r="L23" s="202" t="n"/>
      <c r="M23" s="202" t="n"/>
      <c r="N23" s="202" t="n"/>
      <c r="O23" s="202" t="n"/>
    </row>
    <row r="24" ht="15" customFormat="1" customHeight="1" s="15">
      <c r="A24" s="21" t="inlineStr">
        <is>
          <t>§§</t>
        </is>
      </c>
      <c r="B24" s="21" t="n"/>
      <c r="C24" s="21" t="n"/>
      <c r="D24" s="22" t="n"/>
      <c r="E24" s="22" t="inlineStr">
        <is>
          <t xml:space="preserve"> wert</t>
        </is>
      </c>
      <c r="F24" s="150" t="n"/>
      <c r="G24" s="24" t="inlineStr">
        <is>
          <t>satz</t>
        </is>
      </c>
      <c r="H24" s="25" t="n"/>
      <c r="J24" s="202" t="n"/>
      <c r="K24" s="202" t="n"/>
      <c r="L24" s="202" t="n"/>
      <c r="M24" s="202" t="n"/>
      <c r="N24" s="202" t="n"/>
      <c r="O24" s="202" t="n"/>
    </row>
    <row r="25" ht="16.5" customFormat="1" customHeight="1" s="15">
      <c r="A25" s="15" t="n">
        <v>35</v>
      </c>
      <c r="B25" s="15" t="inlineStr">
        <is>
          <t>Jahresabschluß</t>
        </is>
      </c>
      <c r="C25" s="159" t="n">
        <v>2020</v>
      </c>
      <c r="E25" s="202">
        <f>+(J25+K25)/2</f>
        <v/>
      </c>
      <c r="F25" s="183" t="inlineStr">
        <is>
          <t>B</t>
        </is>
      </c>
      <c r="G25" s="20" t="n">
        <v>25</v>
      </c>
      <c r="H25" s="193">
        <f>G25/10*1062</f>
        <v/>
      </c>
      <c r="J25" s="202" t="n">
        <v>532820.5</v>
      </c>
      <c r="K25" s="202">
        <f>1241142.42+6550</f>
        <v/>
      </c>
      <c r="L25" s="202" t="n"/>
      <c r="M25" s="202" t="n"/>
      <c r="N25" s="202" t="n"/>
      <c r="O25" s="202" t="n"/>
    </row>
    <row r="26" ht="5.25" customFormat="1" customHeight="1" s="15">
      <c r="C26" s="159" t="n"/>
      <c r="E26" s="202" t="n"/>
      <c r="F26" s="183" t="n"/>
      <c r="G26" s="20" t="n"/>
      <c r="H26" s="193" t="n"/>
      <c r="J26" s="202" t="n"/>
      <c r="K26" s="202" t="n"/>
      <c r="L26" s="202" t="n"/>
      <c r="M26" s="202" t="n"/>
      <c r="N26" s="202" t="n"/>
      <c r="O26" s="202" t="n"/>
    </row>
    <row r="27" ht="16.5" customFormat="1" customHeight="1" s="15">
      <c r="A27" s="15" t="n">
        <v>35</v>
      </c>
      <c r="B27" s="15" t="inlineStr">
        <is>
          <t>Steuerbilanz und -GuV</t>
        </is>
      </c>
      <c r="C27" s="159">
        <f>+C25</f>
        <v/>
      </c>
      <c r="E27" s="202">
        <f>+(J27+K27)/2</f>
        <v/>
      </c>
      <c r="F27" s="183" t="inlineStr">
        <is>
          <t>B</t>
        </is>
      </c>
      <c r="G27" s="20" t="n">
        <v>7.5</v>
      </c>
      <c r="H27" s="193">
        <f>G27/10*991</f>
        <v/>
      </c>
      <c r="J27" s="202" t="n">
        <v>502276.5</v>
      </c>
      <c r="K27" s="202">
        <f>+K25</f>
        <v/>
      </c>
      <c r="L27" s="202" t="n"/>
      <c r="M27" s="202" t="n"/>
      <c r="N27" s="202" t="n"/>
      <c r="O27" s="202" t="n"/>
    </row>
    <row r="28" ht="5.25" customFormat="1" customHeight="1" s="15">
      <c r="C28" s="159" t="n"/>
      <c r="E28" s="202" t="n"/>
      <c r="F28" s="183" t="n"/>
      <c r="G28" s="20" t="n"/>
      <c r="H28" s="193" t="n"/>
      <c r="J28" s="202" t="n"/>
      <c r="K28" s="202" t="n"/>
      <c r="L28" s="202" t="n"/>
      <c r="M28" s="202" t="n"/>
      <c r="N28" s="202" t="n"/>
      <c r="O28" s="202" t="n"/>
    </row>
    <row r="29" ht="15" customFormat="1" customHeight="1" s="15">
      <c r="A29" s="15" t="n">
        <v>24</v>
      </c>
      <c r="B29" s="15" t="inlineStr">
        <is>
          <t>Umsatzsteuerjahreserklärung</t>
        </is>
      </c>
      <c r="C29" s="159">
        <f>+C27</f>
        <v/>
      </c>
      <c r="E29" s="202">
        <f>+(367856+390602+255333)/10</f>
        <v/>
      </c>
      <c r="F29" s="183" t="inlineStr">
        <is>
          <t>A</t>
        </is>
      </c>
      <c r="G29" s="20" t="n">
        <v>2</v>
      </c>
      <c r="H29" s="193">
        <f>G29/10*1593</f>
        <v/>
      </c>
      <c r="J29" s="202" t="n"/>
      <c r="K29" s="202" t="n"/>
      <c r="L29" s="202" t="n"/>
      <c r="M29" s="202" t="n"/>
      <c r="N29" s="202" t="n"/>
      <c r="O29" s="202" t="n"/>
    </row>
    <row r="30" ht="5.25" customFormat="1" customHeight="1" s="15">
      <c r="C30" s="159" t="n"/>
      <c r="E30" s="202" t="n"/>
      <c r="F30" s="183" t="n"/>
      <c r="G30" s="20" t="n"/>
      <c r="H30" s="193" t="n"/>
      <c r="J30" s="202" t="n"/>
      <c r="K30" s="202" t="n"/>
      <c r="L30" s="202" t="n"/>
      <c r="M30" s="202" t="n"/>
      <c r="N30" s="202" t="n"/>
      <c r="O30" s="202" t="n"/>
    </row>
    <row r="31" ht="15" customFormat="1" customHeight="1" s="15">
      <c r="A31" s="15" t="n">
        <v>24</v>
      </c>
      <c r="B31" s="15" t="inlineStr">
        <is>
          <t>Gewerbesteuererklärung nach dem Gewerbe-</t>
        </is>
      </c>
      <c r="C31" s="159" t="n"/>
      <c r="E31" s="202" t="n">
        <v>48084</v>
      </c>
      <c r="F31" s="183" t="inlineStr">
        <is>
          <t>A</t>
        </is>
      </c>
      <c r="G31" s="20" t="n">
        <v>2</v>
      </c>
      <c r="H31" s="193">
        <f>G31/10*1230</f>
        <v/>
      </c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B32" s="15" t="inlineStr">
        <is>
          <t xml:space="preserve">ertrag für </t>
        </is>
      </c>
      <c r="C32" s="159">
        <f>+C25</f>
        <v/>
      </c>
      <c r="E32" s="202" t="n"/>
      <c r="F32" s="183" t="n"/>
      <c r="G32" s="20" t="n"/>
      <c r="H32" s="193" t="n"/>
      <c r="J32" s="202" t="n"/>
      <c r="K32" s="202" t="n"/>
      <c r="L32" s="202" t="n"/>
      <c r="M32" s="202" t="n"/>
      <c r="N32" s="202" t="n"/>
      <c r="O32" s="202" t="n"/>
    </row>
    <row r="33" ht="5.25" customFormat="1" customHeight="1" s="15">
      <c r="C33" s="159" t="n"/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15" customFormat="1" customHeight="1" s="15">
      <c r="A34" s="15" t="n">
        <v>24</v>
      </c>
      <c r="B34" s="15" t="inlineStr">
        <is>
          <t>Gewerbesteuerzerlegungserklärung</t>
        </is>
      </c>
      <c r="C34" s="159">
        <f>+C32</f>
        <v/>
      </c>
      <c r="E34" s="202">
        <f>546737/10</f>
        <v/>
      </c>
      <c r="F34" s="183" t="inlineStr">
        <is>
          <t>A</t>
        </is>
      </c>
      <c r="G34" s="20" t="n">
        <v>1</v>
      </c>
      <c r="H34" s="193">
        <f>G34/10*1320</f>
        <v/>
      </c>
      <c r="J34" s="202" t="n"/>
      <c r="K34" s="202" t="n"/>
      <c r="L34" s="202" t="n"/>
      <c r="M34" s="202" t="n"/>
      <c r="N34" s="202" t="n"/>
      <c r="O34" s="202" t="n"/>
    </row>
    <row r="35" ht="5.25" customFormat="1" customHeight="1" s="15">
      <c r="C35" s="159" t="n"/>
      <c r="E35" s="202" t="n"/>
      <c r="F35" s="183" t="n"/>
      <c r="G35" s="20" t="n"/>
      <c r="H35" s="193" t="n"/>
      <c r="J35" s="202" t="n"/>
      <c r="K35" s="202" t="n"/>
      <c r="L35" s="202" t="n"/>
      <c r="M35" s="202" t="n"/>
      <c r="N35" s="202" t="n"/>
      <c r="O35" s="202" t="n"/>
    </row>
    <row r="36" ht="15" customFormat="1" customHeight="1" s="15">
      <c r="A36" s="15" t="n">
        <v>24</v>
      </c>
      <c r="B36" s="15" t="inlineStr">
        <is>
          <t xml:space="preserve">Körperschaftsteuererklärung für </t>
        </is>
      </c>
      <c r="C36" s="159">
        <f>+C32</f>
        <v/>
      </c>
      <c r="E36" s="202">
        <f>+E31</f>
        <v/>
      </c>
      <c r="F36" s="183" t="inlineStr">
        <is>
          <t>A</t>
        </is>
      </c>
      <c r="G36" s="20" t="n">
        <v>2</v>
      </c>
      <c r="H36" s="193">
        <f>G36/10*1320</f>
        <v/>
      </c>
      <c r="J36" s="202" t="n"/>
      <c r="K36" s="202" t="n"/>
      <c r="L36" s="202" t="n"/>
      <c r="M36" s="202" t="n"/>
      <c r="N36" s="202" t="n"/>
      <c r="O36" s="202" t="n"/>
    </row>
    <row r="37" ht="9" customFormat="1" customHeight="1" s="15">
      <c r="C37" s="159" t="n"/>
      <c r="E37" s="202" t="n"/>
      <c r="F37" s="183" t="n"/>
      <c r="G37" s="20" t="n"/>
      <c r="H37" s="193" t="n"/>
      <c r="J37" s="202" t="n"/>
      <c r="K37" s="202" t="n"/>
      <c r="L37" s="202" t="n"/>
      <c r="M37" s="202" t="n"/>
      <c r="N37" s="202" t="n"/>
      <c r="O37" s="202" t="n"/>
    </row>
    <row r="38" ht="15" customFormat="1" customHeight="1" s="15">
      <c r="C38" s="159" t="n"/>
      <c r="E38" s="202" t="n"/>
      <c r="F38" s="183" t="n"/>
      <c r="G38" s="20" t="n"/>
      <c r="H38" s="193" t="n"/>
    </row>
    <row r="39" ht="5.25" customFormat="1" customHeight="1" s="15">
      <c r="C39" s="159" t="n"/>
      <c r="E39" s="202" t="n"/>
      <c r="F39" s="183" t="n"/>
      <c r="G39" s="20" t="n"/>
      <c r="H39" s="193" t="n"/>
    </row>
    <row r="40" ht="15" customFormat="1" customHeight="1" s="15">
      <c r="I40" s="193" t="n"/>
    </row>
    <row r="41" ht="15.75" customFormat="1" customHeight="1" s="15">
      <c r="A41" s="15" t="n">
        <v>16</v>
      </c>
      <c r="B41" s="15" t="inlineStr">
        <is>
          <t xml:space="preserve">Auslagenersatz für Post- und </t>
        </is>
      </c>
      <c r="C41" s="159" t="n"/>
      <c r="E41" s="202">
        <f>SUM(H25:H36)*0.15</f>
        <v/>
      </c>
      <c r="F41" s="159" t="n"/>
      <c r="G41" s="20" t="n">
        <v>0</v>
      </c>
      <c r="H41" s="193" t="n">
        <v>20</v>
      </c>
      <c r="I41" s="193" t="n"/>
    </row>
    <row r="42" ht="15.75" customFormat="1" customHeight="1" s="15">
      <c r="B42" s="15" t="inlineStr">
        <is>
          <t>Telekommunikation</t>
        </is>
      </c>
      <c r="E42" s="90" t="n"/>
      <c r="G42" s="20" t="n"/>
      <c r="H42" s="193" t="n"/>
      <c r="I42" s="193" t="n"/>
    </row>
    <row r="43" ht="15" customFormat="1" customHeight="1" s="15">
      <c r="A43" s="112" t="inlineStr">
        <is>
          <t>*sofern nicht separat anders angegeben</t>
        </is>
      </c>
      <c r="B43" s="28" t="n"/>
      <c r="C43" s="28" t="n"/>
      <c r="D43" s="28" t="n"/>
      <c r="E43" s="29" t="inlineStr">
        <is>
          <t>Zwischensumme</t>
        </is>
      </c>
      <c r="F43" s="197" t="n"/>
      <c r="G43" s="31" t="n"/>
      <c r="H43" s="198">
        <f>SUM(H25:H42)</f>
        <v/>
      </c>
      <c r="I43" s="193">
        <f>+'JA 2018'!H43</f>
        <v/>
      </c>
      <c r="J43" s="193" t="n">
        <v>4214.3</v>
      </c>
    </row>
    <row r="44" ht="15" customFormat="1" customHeight="1" s="15">
      <c r="A44" s="15" t="n"/>
      <c r="B44" s="15" t="n"/>
      <c r="C44" s="15" t="n"/>
      <c r="D44" s="15" t="n"/>
      <c r="E44" s="100" t="inlineStr">
        <is>
          <t>Umsatzsteuer 19%</t>
        </is>
      </c>
      <c r="F44" s="199" t="n"/>
      <c r="G44" s="35" t="n"/>
      <c r="H44" s="193">
        <f>+H43*0.19</f>
        <v/>
      </c>
      <c r="I44" s="193" t="n"/>
    </row>
    <row r="45" customFormat="1" s="15" thickBot="1">
      <c r="A45" s="15" t="n"/>
      <c r="B45" s="15" t="n"/>
      <c r="C45" s="15" t="n"/>
      <c r="D45" s="15" t="n"/>
      <c r="E45" s="37" t="inlineStr">
        <is>
          <t>Rechnungsbetrag</t>
        </is>
      </c>
      <c r="F45" s="200" t="n"/>
      <c r="G45" s="39" t="n"/>
      <c r="H45" s="201">
        <f>SUM(H43:H44)</f>
        <v/>
      </c>
      <c r="I45" s="193">
        <f>+I43*1.19</f>
        <v/>
      </c>
    </row>
    <row r="46" customFormat="1" s="15" thickTop="1">
      <c r="D46" s="90" t="n"/>
      <c r="E46" s="183" t="n"/>
      <c r="F46" s="10" t="n"/>
      <c r="I46" s="193" t="n"/>
    </row>
    <row r="49">
      <c r="B49" s="14" t="n"/>
    </row>
    <row r="50" ht="12.75" customFormat="1" customHeight="1" s="41"/>
    <row r="51" ht="12.75" customFormat="1" customHeight="1" s="41"/>
    <row r="52">
      <c r="A52" s="147" t="inlineStr">
        <is>
          <t xml:space="preserve">Steuernummer: 012 801 35159       </t>
        </is>
      </c>
    </row>
  </sheetData>
  <mergeCells count="11">
    <mergeCell ref="F11:H11"/>
    <mergeCell ref="G7:H7"/>
    <mergeCell ref="E10:F10"/>
    <mergeCell ref="E7:F7"/>
    <mergeCell ref="G10:H10"/>
    <mergeCell ref="A52:H52"/>
    <mergeCell ref="F12:H12"/>
    <mergeCell ref="G9:H9"/>
    <mergeCell ref="E9:F9"/>
    <mergeCell ref="E8:F8"/>
    <mergeCell ref="A17:H17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 codeName="Tabelle40">
    <outlinePr summaryBelow="1" summaryRight="1"/>
    <pageSetUpPr/>
  </sheetPr>
  <dimension ref="A3:S60"/>
  <sheetViews>
    <sheetView workbookViewId="0">
      <selection activeCell="H44" sqref="H4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n"/>
      <c r="N3" s="114" t="n"/>
      <c r="O3" s="60" t="n"/>
      <c r="P3" s="212" t="n"/>
      <c r="Q3" s="58" t="n"/>
      <c r="R3" s="213" t="n"/>
      <c r="S3" s="211" t="n"/>
    </row>
    <row r="4">
      <c r="M4" s="58" t="n"/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44585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10113-2022-001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4.25" customFormat="1" customHeight="1" s="49">
      <c r="A14" s="170" t="inlineStr">
        <is>
          <t xml:space="preserve">Rechnung über Honorare </t>
        </is>
      </c>
    </row>
    <row r="15" ht="14.25" customFormat="1" customHeight="1" s="49">
      <c r="A15" s="170" t="n"/>
      <c r="B15" s="170" t="n"/>
      <c r="C15" s="170" t="n"/>
      <c r="D15" s="170" t="n"/>
      <c r="E15" s="170" t="n"/>
      <c r="F15" s="170" t="n"/>
      <c r="G15" s="170" t="n"/>
      <c r="H15" s="170" t="n"/>
    </row>
    <row r="16" ht="15" customFormat="1" customHeight="1" s="140">
      <c r="A16" s="140" t="inlineStr">
        <is>
          <t xml:space="preserve">Für die nachfolgend aufgeführten Leistungen erlaube ich mir nach der Steuerberatervergütungs- </t>
        </is>
      </c>
      <c r="B16" s="43" t="n"/>
      <c r="D16" s="52" t="n"/>
      <c r="E16" s="53" t="n"/>
      <c r="F16" s="47" t="n"/>
    </row>
    <row r="17" ht="15" customFormat="1" customHeight="1" s="140">
      <c r="A17" s="140" t="inlineStr">
        <is>
          <t>verordnung wie folgt abzurechnen:</t>
        </is>
      </c>
      <c r="B17" s="43" t="n"/>
      <c r="D17" s="52" t="n"/>
      <c r="E17" s="53" t="n"/>
      <c r="F17" s="47" t="n"/>
    </row>
    <row r="18" ht="4.5" customFormat="1" customHeight="1" s="140">
      <c r="D18" s="52" t="n"/>
      <c r="E18" s="52" t="n"/>
      <c r="F18" s="53" t="n"/>
      <c r="G18" s="52" t="n"/>
    </row>
    <row r="19" ht="15" customFormat="1" customHeight="1" s="140">
      <c r="A19" s="50" t="inlineStr">
        <is>
          <t>Leistung</t>
        </is>
      </c>
      <c r="B19" s="51" t="n"/>
      <c r="C19" s="50" t="n"/>
      <c r="D19" s="52" t="n"/>
      <c r="E19" s="52" t="inlineStr">
        <is>
          <t>Gegenstands-</t>
        </is>
      </c>
      <c r="F19" s="53" t="inlineStr">
        <is>
          <t>Tabelle</t>
        </is>
      </c>
      <c r="G19" s="52" t="inlineStr">
        <is>
          <t>Arbeit-</t>
        </is>
      </c>
      <c r="H19" s="53" t="inlineStr">
        <is>
          <t>Gebühr</t>
        </is>
      </c>
    </row>
    <row r="20" ht="15" customFormat="1" customHeight="1" s="140">
      <c r="A20" s="54" t="inlineStr">
        <is>
          <t>§§</t>
        </is>
      </c>
      <c r="B20" s="54" t="n"/>
      <c r="C20" s="181" t="inlineStr">
        <is>
          <t>am/in:</t>
        </is>
      </c>
      <c r="D20" s="55" t="n"/>
      <c r="E20" s="56" t="inlineStr">
        <is>
          <t>wert</t>
        </is>
      </c>
      <c r="F20" s="56" t="n"/>
      <c r="G20" s="57" t="inlineStr">
        <is>
          <t>nehmer</t>
        </is>
      </c>
      <c r="H20" s="181" t="n"/>
    </row>
    <row r="21" ht="13.5" customFormat="1" customHeight="1" s="58">
      <c r="A21" s="58" t="n">
        <v>34</v>
      </c>
      <c r="B21" s="58" t="inlineStr">
        <is>
          <t xml:space="preserve">Löhne/Gehälter 10/2021 </t>
        </is>
      </c>
      <c r="D21" s="60" t="n"/>
    </row>
    <row r="22" ht="13.5" customFormat="1" customHeight="1" s="58">
      <c r="B22" s="63" t="inlineStr">
        <is>
          <t xml:space="preserve"> - Einrichten von Lohnkonten</t>
        </is>
      </c>
      <c r="C22" s="114" t="inlineStr">
        <is>
          <t>10/2021</t>
        </is>
      </c>
      <c r="D22" s="60" t="n"/>
      <c r="E22" s="212" t="n">
        <v>9</v>
      </c>
      <c r="G22" s="213" t="n">
        <v>1</v>
      </c>
      <c r="H22" s="211">
        <f>+G22*E22</f>
        <v/>
      </c>
    </row>
    <row r="23" ht="13.5" customFormat="1" customHeight="1" s="58">
      <c r="B23" s="58" t="inlineStr">
        <is>
          <t xml:space="preserve">   (Toshkov)</t>
        </is>
      </c>
      <c r="D23" s="60" t="n"/>
      <c r="E23" s="212" t="n"/>
      <c r="G23" s="213" t="n"/>
      <c r="H23" s="211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44495</v>
      </c>
      <c r="D25" s="60" t="n"/>
      <c r="E25" s="212" t="n">
        <v>15</v>
      </c>
      <c r="G25" s="213" t="n">
        <v>13</v>
      </c>
      <c r="H25" s="211">
        <f>+G25*E25</f>
        <v/>
      </c>
    </row>
    <row r="26" ht="3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11/2021 </t>
        </is>
      </c>
      <c r="D27" s="60" t="n"/>
    </row>
    <row r="28" ht="13.5" customFormat="1" customHeight="1" s="58">
      <c r="B28" s="63" t="inlineStr">
        <is>
          <t xml:space="preserve"> - Einrichten von Lohnkonten</t>
        </is>
      </c>
      <c r="C28" s="114" t="inlineStr">
        <is>
          <t>11/2021</t>
        </is>
      </c>
      <c r="D28" s="60" t="n"/>
      <c r="E28" s="212" t="n">
        <v>9</v>
      </c>
      <c r="G28" s="213" t="n">
        <v>1</v>
      </c>
      <c r="H28" s="211">
        <f>+G28*E28</f>
        <v/>
      </c>
    </row>
    <row r="29" ht="13.5" customFormat="1" customHeight="1" s="58">
      <c r="B29" s="58" t="inlineStr">
        <is>
          <t xml:space="preserve">   (Vukic)</t>
        </is>
      </c>
      <c r="D29" s="60" t="n"/>
      <c r="E29" s="212" t="n"/>
      <c r="G29" s="213" t="n"/>
      <c r="H29" s="211" t="n"/>
    </row>
    <row r="30" ht="13.5" customFormat="1" customHeight="1" s="58">
      <c r="B30" s="63" t="inlineStr">
        <is>
          <t xml:space="preserve"> - Lohnabrechnungen inkl. </t>
        </is>
      </c>
      <c r="C30" s="59" t="n"/>
      <c r="D30" s="60" t="n"/>
    </row>
    <row r="31" ht="13.5" customFormat="1" customHeight="1" s="58">
      <c r="B31" s="58" t="inlineStr">
        <is>
          <t xml:space="preserve">   Sozialvers.-meldungen</t>
        </is>
      </c>
      <c r="C31" s="59" t="n">
        <v>44523</v>
      </c>
      <c r="D31" s="60" t="n"/>
      <c r="E31" s="212" t="n">
        <v>15</v>
      </c>
      <c r="G31" s="213" t="n">
        <v>14</v>
      </c>
      <c r="H31" s="211">
        <f>+G31*E31</f>
        <v/>
      </c>
    </row>
    <row r="32" ht="3" customFormat="1" customHeight="1" s="58">
      <c r="C32" s="59" t="n"/>
      <c r="D32" s="60" t="n"/>
      <c r="E32" s="212" t="n"/>
      <c r="G32" s="213" t="n"/>
      <c r="H32" s="211" t="n"/>
    </row>
    <row r="33" ht="13.5" customFormat="1" customHeight="1" s="58">
      <c r="A33" s="58" t="n">
        <v>34</v>
      </c>
      <c r="B33" s="58" t="inlineStr">
        <is>
          <t xml:space="preserve">Löhne/Gehälter 12/2021 </t>
        </is>
      </c>
      <c r="D33" s="60" t="n"/>
    </row>
    <row r="34" ht="13.5" customFormat="1" customHeight="1" s="58">
      <c r="B34" s="63" t="inlineStr">
        <is>
          <t xml:space="preserve"> - Lohnabrechnungen inkl. </t>
        </is>
      </c>
      <c r="C34" s="59" t="n"/>
      <c r="D34" s="60" t="n"/>
    </row>
    <row r="35" ht="13.5" customFormat="1" customHeight="1" s="58">
      <c r="B35" s="58" t="inlineStr">
        <is>
          <t xml:space="preserve">   Sozialvers.-meldungen</t>
        </is>
      </c>
      <c r="C35" s="59" t="n">
        <v>44550</v>
      </c>
      <c r="D35" s="60" t="n"/>
      <c r="E35" s="212" t="n">
        <v>15</v>
      </c>
      <c r="G35" s="213" t="n">
        <v>13</v>
      </c>
      <c r="H35" s="211">
        <f>+G35*E35</f>
        <v/>
      </c>
    </row>
    <row r="36" ht="2.25" customFormat="1" customHeight="1" s="58">
      <c r="C36" s="59" t="n"/>
      <c r="D36" s="60" t="n"/>
      <c r="E36" s="212" t="n"/>
      <c r="G36" s="213" t="n"/>
      <c r="H36" s="211" t="n"/>
    </row>
    <row r="37" ht="13.5" customFormat="1" customHeight="1" s="58">
      <c r="A37" s="58" t="n">
        <v>34</v>
      </c>
      <c r="B37" s="58" t="inlineStr">
        <is>
          <t>Hilfeleistung bei sonstigen Tätigkeiten im Zusammen-</t>
        </is>
      </c>
      <c r="C37" s="59" t="n"/>
      <c r="D37" s="60" t="n"/>
      <c r="E37" s="209" t="n">
        <v>80</v>
      </c>
      <c r="F37" s="58" t="inlineStr">
        <is>
          <t>Zeitgeb.</t>
        </is>
      </c>
      <c r="G37" s="210" t="n">
        <v>1.5</v>
      </c>
      <c r="H37" s="211">
        <f>+G37*E37</f>
        <v/>
      </c>
    </row>
    <row r="38" ht="13.5" customFormat="1" customHeight="1" s="58">
      <c r="B38" s="58" t="inlineStr">
        <is>
          <t>hang mit dem Lohnsteuerabzug/der Lohnbuchführung</t>
        </is>
      </c>
      <c r="C38" s="59" t="n"/>
      <c r="D38" s="60" t="n"/>
      <c r="E38" s="212" t="n"/>
      <c r="G38" s="213" t="n"/>
      <c r="H38" s="211" t="n"/>
    </row>
    <row r="39" ht="13.5" customFormat="1" customHeight="1" s="58">
      <c r="B39" s="63" t="inlineStr">
        <is>
          <t>- LFZ-Anträge Münster (2x), M.Perikic, V. Perikic (2x),</t>
        </is>
      </c>
      <c r="C39" s="59" t="n"/>
      <c r="D39" s="60" t="n"/>
    </row>
    <row r="40" ht="13.5" customFormat="1" customHeight="1" s="58">
      <c r="B40" s="63" t="inlineStr">
        <is>
          <t xml:space="preserve">  Chmielowski (3x), S. Perikic (2x), </t>
        </is>
      </c>
      <c r="D40" s="60" t="n"/>
    </row>
    <row r="41" ht="13.5" customFormat="1" customHeight="1" s="58">
      <c r="B41" s="63" t="inlineStr">
        <is>
          <t xml:space="preserve"> Jurkovic, Boycijnov (6x)</t>
        </is>
      </c>
      <c r="C41" s="59" t="inlineStr">
        <is>
          <t>IV/2021</t>
        </is>
      </c>
      <c r="D41" s="60" t="n"/>
    </row>
    <row r="42" ht="1.5" customFormat="1" customHeight="1" s="58"/>
    <row r="43" ht="13.5" customFormat="1" customHeight="1" s="58">
      <c r="A43" s="58" t="n">
        <v>16</v>
      </c>
      <c r="B43" s="58" t="inlineStr">
        <is>
          <t xml:space="preserve">Auslagenersatz für Post- und </t>
        </is>
      </c>
      <c r="C43" s="59" t="n"/>
      <c r="D43" s="60" t="n"/>
      <c r="E43" s="212" t="n"/>
      <c r="G43" s="213" t="n"/>
      <c r="H43" s="211" t="n"/>
    </row>
    <row r="44" ht="13.5" customFormat="1" customHeight="1" s="58">
      <c r="B44" s="58" t="inlineStr">
        <is>
          <t>Telekommunikation</t>
        </is>
      </c>
      <c r="C44" s="59" t="inlineStr">
        <is>
          <t>IV/2021</t>
        </is>
      </c>
      <c r="D44" s="60" t="n"/>
      <c r="E44" s="211">
        <f>SUM(H21:H36)*0.2</f>
        <v/>
      </c>
      <c r="G44" s="211" t="n"/>
      <c r="H44" s="211">
        <f>(G25+G31+G35)*1.3</f>
        <v/>
      </c>
    </row>
    <row r="45" ht="6.75" customFormat="1" customHeight="1" s="58">
      <c r="C45" s="60" t="n"/>
      <c r="D45" s="60" t="n"/>
      <c r="E45" s="214" t="n"/>
      <c r="F45" s="68" t="n"/>
      <c r="G45" s="69" t="n"/>
      <c r="H45" s="215" t="n"/>
    </row>
    <row r="46" ht="13.5" customFormat="1" customHeight="1" s="58">
      <c r="A46" s="71" t="n"/>
      <c r="B46" s="71" t="n"/>
      <c r="E46" s="58" t="inlineStr">
        <is>
          <t>Gesamt</t>
        </is>
      </c>
      <c r="F46" s="71" t="n"/>
      <c r="G46" s="81" t="n"/>
      <c r="H46" s="211">
        <f>SUM(H21:H45)</f>
        <v/>
      </c>
      <c r="J46" s="211" t="n"/>
    </row>
    <row r="47" ht="15" customFormat="1" customHeight="1" s="58">
      <c r="E47" s="100" t="inlineStr">
        <is>
          <t>Umsatzsteuer 19%</t>
        </is>
      </c>
      <c r="F47" s="199" t="n"/>
      <c r="G47" s="35" t="n"/>
      <c r="H47" s="193">
        <f>+H46*0.19</f>
        <v/>
      </c>
    </row>
    <row r="48" customFormat="1" s="58" thickBot="1">
      <c r="E48" s="37" t="inlineStr">
        <is>
          <t>Rechnungsbetrag</t>
        </is>
      </c>
      <c r="F48" s="200" t="n"/>
      <c r="G48" s="39" t="n"/>
      <c r="H48" s="201">
        <f>SUM(H46:H47)</f>
        <v/>
      </c>
      <c r="J48" s="211" t="n"/>
    </row>
    <row r="49" ht="5.25" customFormat="1" customHeight="1" s="58" thickTop="1">
      <c r="E49" s="79" t="n"/>
      <c r="F49" s="80" t="n"/>
      <c r="G49" s="81" t="n"/>
      <c r="H49" s="211" t="n"/>
      <c r="J49" s="211" t="n"/>
    </row>
    <row r="50" ht="15" customFormat="1" customHeight="1" s="58">
      <c r="A50" s="15" t="inlineStr">
        <is>
          <t>Bitte überweisen Sie den Betrag ohne Abzüge innerhalb von 14 Tagen auf das angegebene Konto.</t>
        </is>
      </c>
      <c r="B50" s="71" t="n"/>
      <c r="D50" s="81" t="n"/>
      <c r="E50" s="80" t="n"/>
      <c r="F50" s="62" t="n"/>
    </row>
    <row r="51" ht="15" customFormat="1" customHeight="1" s="15">
      <c r="D51" s="90" t="n"/>
      <c r="E51" s="183" t="n"/>
      <c r="F51" s="90" t="n"/>
      <c r="G51" s="10" t="n"/>
    </row>
    <row r="52" ht="15" customFormat="1" customHeight="1" s="15">
      <c r="D52" s="90" t="n"/>
      <c r="E52" s="183" t="n"/>
      <c r="F52" s="90" t="n"/>
      <c r="G52" s="10" t="n"/>
    </row>
    <row r="53" ht="20.25" customHeight="1">
      <c r="B53" s="21" t="n"/>
    </row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G7:H7"/>
    <mergeCell ref="E7:F7"/>
    <mergeCell ref="A14:H1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 codeName="Tabelle41">
    <outlinePr summaryBelow="1" summaryRight="1"/>
    <pageSetUpPr/>
  </sheetPr>
  <dimension ref="A5:J51"/>
  <sheetViews>
    <sheetView workbookViewId="0">
      <selection activeCell="F10" sqref="F10:H1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44635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10113-2022-002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1160000</v>
      </c>
      <c r="F24" s="159" t="inlineStr">
        <is>
          <t>C</t>
        </is>
      </c>
      <c r="G24" s="183" t="n">
        <v>3.5</v>
      </c>
      <c r="H24" s="193">
        <f>+G24/10*959</f>
        <v/>
      </c>
    </row>
    <row r="25" ht="15" customFormat="1" customHeight="1" s="15">
      <c r="B25" s="15" t="inlineStr">
        <is>
          <t>für 10/2021 am</t>
        </is>
      </c>
      <c r="C25" s="169" t="n">
        <v>44509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+G27/10*959</f>
        <v/>
      </c>
    </row>
    <row r="28" ht="15" customFormat="1" customHeight="1" s="15">
      <c r="B28" s="15" t="inlineStr">
        <is>
          <t>für 11/2021 am</t>
        </is>
      </c>
      <c r="C28" s="169" t="n">
        <v>44574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4</v>
      </c>
      <c r="H30" s="193">
        <f>+G30/10*959</f>
        <v/>
      </c>
    </row>
    <row r="31" ht="15" customFormat="1" customHeight="1" s="15">
      <c r="B31" s="15" t="inlineStr">
        <is>
          <t>für 12/2021 am</t>
        </is>
      </c>
      <c r="C31" s="169" t="n">
        <v>44599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 codeName="Tabelle42">
    <outlinePr summaryBelow="1" summaryRight="1"/>
    <pageSetUpPr/>
  </sheetPr>
  <dimension ref="A5:R60"/>
  <sheetViews>
    <sheetView workbookViewId="0">
      <selection activeCell="B61" sqref="B6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44659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10113-2022-003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8.25" customHeight="1"/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01/2022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44586</v>
      </c>
      <c r="D24" s="60" t="n"/>
      <c r="E24" s="212" t="n">
        <v>15</v>
      </c>
      <c r="G24" s="213" t="n">
        <v>12</v>
      </c>
      <c r="H24" s="211">
        <f>+G24*E24</f>
        <v/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02/2022 </t>
        </is>
      </c>
      <c r="D26" s="60" t="n"/>
    </row>
    <row r="27" ht="13.5" customFormat="1" customHeight="1" s="58">
      <c r="B27" s="63" t="inlineStr">
        <is>
          <t xml:space="preserve"> - Einrichten von Lohnkonten /</t>
        </is>
      </c>
      <c r="C27" s="114" t="inlineStr">
        <is>
          <t>02/2022</t>
        </is>
      </c>
      <c r="D27" s="60" t="n"/>
      <c r="E27" s="212" t="n">
        <v>15</v>
      </c>
      <c r="G27" s="213" t="n">
        <v>2</v>
      </c>
      <c r="H27" s="211">
        <f>+G27*E27</f>
        <v/>
      </c>
    </row>
    <row r="28" ht="13.5" customFormat="1" customHeight="1" s="58">
      <c r="B28" s="58" t="inlineStr">
        <is>
          <t xml:space="preserve">   Sofortmeldung (Cabrero, Glodczey)</t>
        </is>
      </c>
      <c r="D28" s="60" t="n"/>
      <c r="E28" s="212" t="n"/>
      <c r="G28" s="213" t="n"/>
      <c r="H28" s="211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44614</v>
      </c>
      <c r="D30" s="60" t="n"/>
      <c r="E30" s="212" t="n">
        <v>15</v>
      </c>
      <c r="G30" s="213" t="n">
        <v>14</v>
      </c>
      <c r="H30" s="211">
        <f>+G30*E30</f>
        <v/>
      </c>
    </row>
    <row r="31" ht="5.2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03/2022 </t>
        </is>
      </c>
      <c r="D32" s="60" t="n"/>
    </row>
    <row r="33" ht="13.5" customFormat="1" customHeight="1" s="58">
      <c r="B33" s="63" t="inlineStr">
        <is>
          <t xml:space="preserve"> - Einrichten von Lohnkonten /</t>
        </is>
      </c>
      <c r="C33" s="114" t="inlineStr">
        <is>
          <t>03/2022</t>
        </is>
      </c>
      <c r="D33" s="60" t="n"/>
      <c r="E33" s="212" t="n">
        <v>15</v>
      </c>
      <c r="G33" s="213" t="n">
        <v>2</v>
      </c>
      <c r="H33" s="211">
        <f>+G33*E33</f>
        <v/>
      </c>
    </row>
    <row r="34" ht="13.5" customFormat="1" customHeight="1" s="58">
      <c r="B34" s="58" t="inlineStr">
        <is>
          <t xml:space="preserve">   Sofortmeldung (Hasanov, Buzdugan)</t>
        </is>
      </c>
      <c r="D34" s="60" t="n"/>
      <c r="E34" s="212" t="n"/>
      <c r="G34" s="213" t="n"/>
      <c r="H34" s="211" t="n"/>
    </row>
    <row r="35" ht="13.5" customFormat="1" customHeight="1" s="58">
      <c r="B35" s="63" t="inlineStr">
        <is>
          <t xml:space="preserve"> - Lohnabrechnungen inkl. </t>
        </is>
      </c>
      <c r="C35" s="59" t="n"/>
      <c r="D35" s="60" t="n"/>
    </row>
    <row r="36" ht="13.5" customFormat="1" customHeight="1" s="58">
      <c r="B36" s="58" t="inlineStr">
        <is>
          <t xml:space="preserve">   Sozialvers.-meldungen</t>
        </is>
      </c>
      <c r="C36" s="59" t="n">
        <v>44648</v>
      </c>
      <c r="D36" s="60" t="n"/>
      <c r="E36" s="212" t="n">
        <v>15</v>
      </c>
      <c r="G36" s="213" t="n">
        <v>15</v>
      </c>
      <c r="H36" s="211">
        <f>+G36*E36</f>
        <v/>
      </c>
    </row>
    <row r="37" ht="5.25" customFormat="1" customHeight="1" s="58">
      <c r="C37" s="59" t="n"/>
      <c r="D37" s="60" t="n"/>
      <c r="E37" s="212" t="n"/>
      <c r="G37" s="213" t="n"/>
      <c r="H37" s="211" t="n"/>
    </row>
    <row r="38" ht="13.5" customFormat="1" customHeight="1" s="58">
      <c r="A38" s="58" t="n">
        <v>34</v>
      </c>
      <c r="B38" s="58" t="inlineStr">
        <is>
          <t>Hilfeleistung bei sonstigen Tätigkeiten im Zusammen-</t>
        </is>
      </c>
      <c r="C38" s="59" t="n"/>
      <c r="D38" s="60" t="n"/>
      <c r="E38" s="209" t="n">
        <v>80</v>
      </c>
      <c r="F38" s="58" t="inlineStr">
        <is>
          <t>Zeitgeb.</t>
        </is>
      </c>
      <c r="G38" s="210" t="n">
        <v>2</v>
      </c>
      <c r="H38" s="211">
        <f>+G38*E38</f>
        <v/>
      </c>
    </row>
    <row r="39" ht="13.5" customFormat="1" customHeight="1" s="58">
      <c r="B39" s="58" t="inlineStr">
        <is>
          <t>hang mit dem Lohnsteuerabzug/der Lohnbuchführung</t>
        </is>
      </c>
      <c r="C39" s="59" t="n"/>
      <c r="D39" s="60" t="n"/>
      <c r="E39" s="212" t="n"/>
      <c r="G39" s="213" t="n"/>
      <c r="H39" s="211" t="n"/>
    </row>
    <row r="40" ht="13.5" customFormat="1" customHeight="1" s="58">
      <c r="B40" s="63" t="inlineStr">
        <is>
          <t>- LFZ-Anträge (S. Perikic, Boycjinov, Jurkovic (3),</t>
        </is>
      </c>
      <c r="C40" s="59" t="n"/>
      <c r="D40" s="60" t="n"/>
    </row>
    <row r="41" ht="13.5" customFormat="1" customHeight="1" s="58">
      <c r="B41" s="58" t="inlineStr">
        <is>
          <t xml:space="preserve">  Vukic, Mita)</t>
        </is>
      </c>
      <c r="C41" s="59" t="inlineStr">
        <is>
          <t>I/2022</t>
        </is>
      </c>
      <c r="D41" s="60" t="n"/>
    </row>
    <row r="42" ht="3" customFormat="1" customHeight="1" s="58">
      <c r="C42" s="59" t="n"/>
      <c r="D42" s="60" t="n"/>
    </row>
    <row r="43" ht="13.5" customFormat="1" customHeight="1" s="58">
      <c r="A43" s="58" t="n">
        <v>16</v>
      </c>
      <c r="B43" s="58" t="inlineStr">
        <is>
          <t xml:space="preserve">Auslagenersatz für Post- und </t>
        </is>
      </c>
      <c r="C43" s="59" t="n"/>
      <c r="D43" s="60" t="n"/>
      <c r="E43" s="212" t="n"/>
      <c r="G43" s="213" t="n"/>
      <c r="H43" s="211" t="n"/>
    </row>
    <row r="44" ht="13.5" customFormat="1" customHeight="1" s="58">
      <c r="B44" s="58" t="inlineStr">
        <is>
          <t>Telekommunikation</t>
        </is>
      </c>
      <c r="C44" s="59" t="inlineStr">
        <is>
          <t>I/2022</t>
        </is>
      </c>
      <c r="D44" s="60" t="n"/>
      <c r="E44" s="211">
        <f>SUM(H22:H39)*0.2</f>
        <v/>
      </c>
      <c r="G44" s="211" t="n"/>
      <c r="H44" s="211">
        <f>SUM(G24:G36)*1.3-1.3*4</f>
        <v/>
      </c>
    </row>
    <row r="45" ht="6.75" customFormat="1" customHeight="1" s="58">
      <c r="C45" s="60" t="n"/>
      <c r="D45" s="60" t="n"/>
      <c r="E45" s="214" t="n"/>
      <c r="F45" s="68" t="n"/>
      <c r="G45" s="69" t="n"/>
      <c r="H45" s="215" t="n"/>
    </row>
    <row r="46" ht="13.5" customFormat="1" customHeight="1" s="58">
      <c r="A46" s="71" t="n"/>
      <c r="B46" s="71" t="n"/>
      <c r="E46" s="58" t="inlineStr">
        <is>
          <t>Gesamt</t>
        </is>
      </c>
      <c r="F46" s="71" t="n"/>
      <c r="G46" s="81" t="n"/>
      <c r="H46" s="211">
        <f>SUM(H22:H45)</f>
        <v/>
      </c>
      <c r="J46" s="211" t="n"/>
      <c r="L46" s="211" t="n"/>
    </row>
    <row r="47" ht="13.5" customFormat="1" customHeight="1" s="58">
      <c r="E47" s="74" t="inlineStr">
        <is>
          <t>USt 19%</t>
        </is>
      </c>
      <c r="F47" s="71" t="n"/>
      <c r="G47" s="81" t="n"/>
      <c r="H47" s="211">
        <f>+H46*0.19</f>
        <v/>
      </c>
    </row>
    <row r="48" ht="14.25" customFormat="1" customHeight="1" s="58" thickBot="1">
      <c r="E48" s="75" t="inlineStr">
        <is>
          <t>Rechnungsendbetrag</t>
        </is>
      </c>
      <c r="F48" s="76" t="n"/>
      <c r="G48" s="77" t="n"/>
      <c r="H48" s="216">
        <f>SUM(H46:H47)</f>
        <v/>
      </c>
      <c r="J48" s="211" t="n"/>
    </row>
    <row r="49" ht="5.25" customFormat="1" customHeight="1" s="58" thickTop="1">
      <c r="E49" s="79" t="n"/>
      <c r="F49" s="80" t="n"/>
      <c r="G49" s="81" t="n"/>
      <c r="H49" s="211" t="n"/>
      <c r="J49" s="211" t="n"/>
    </row>
    <row r="50" ht="15" customFormat="1" customHeight="1" s="58">
      <c r="A50" s="15" t="inlineStr">
        <is>
          <t>Bitte überweisen Sie den Betrag ohne Abzüge innerhalb von 14 Tagen auf das angegebene Konto.</t>
        </is>
      </c>
      <c r="B50" s="71" t="n"/>
      <c r="D50" s="81" t="n"/>
      <c r="E50" s="80" t="n"/>
      <c r="F50" s="62" t="n"/>
    </row>
    <row r="51" ht="15" customFormat="1" customHeight="1" s="15">
      <c r="D51" s="90" t="n"/>
      <c r="E51" s="183" t="n"/>
      <c r="F51" s="90" t="n"/>
      <c r="G51" s="10" t="n"/>
    </row>
    <row r="52" ht="15" customFormat="1" customHeight="1" s="15">
      <c r="D52" s="90" t="n"/>
      <c r="E52" s="183" t="n"/>
      <c r="F52" s="90" t="n"/>
      <c r="G52" s="10" t="n"/>
    </row>
    <row r="53" ht="19.5" customFormat="1" customHeight="1" s="15">
      <c r="B53" s="21" t="n"/>
      <c r="D53" s="90" t="n"/>
      <c r="E53" s="183" t="n"/>
      <c r="F53" s="90" t="n"/>
      <c r="G53" s="10" t="n"/>
    </row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8" ht="13.5" customFormat="1" customHeight="1" s="58">
      <c r="C58" s="59" t="n"/>
      <c r="D58" s="60" t="n"/>
      <c r="E58" s="212" t="n"/>
      <c r="G58" s="213" t="n"/>
      <c r="H58" s="211" t="n"/>
    </row>
    <row r="60">
      <c r="D60" s="6" t="n"/>
      <c r="E60" s="6" t="n"/>
      <c r="F60" s="6" t="n"/>
    </row>
  </sheetData>
  <mergeCells count="10">
    <mergeCell ref="F10:H10"/>
    <mergeCell ref="F11:H11"/>
    <mergeCell ref="A55:H55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 codeName="Tabelle43">
    <outlinePr summaryBelow="1" summaryRight="1"/>
    <pageSetUpPr/>
  </sheetPr>
  <dimension ref="A5:J51"/>
  <sheetViews>
    <sheetView workbookViewId="0">
      <selection activeCell="E24" sqref="E24:H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44693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10113-2022-004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ROUND((1145000+83000)/100,)*100</f>
        <v/>
      </c>
      <c r="F24" s="159" t="inlineStr">
        <is>
          <t>C</t>
        </is>
      </c>
      <c r="G24" s="183" t="n">
        <v>3.75</v>
      </c>
      <c r="H24" s="193">
        <f>G24/10*993</f>
        <v/>
      </c>
    </row>
    <row r="25" ht="15" customFormat="1" customHeight="1" s="15">
      <c r="B25" s="15" t="inlineStr">
        <is>
          <t>für 01/2022 am</t>
        </is>
      </c>
      <c r="C25" s="169" t="n">
        <v>44628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4</v>
      </c>
      <c r="H27" s="193">
        <f>G27/10*993</f>
        <v/>
      </c>
    </row>
    <row r="28" ht="15" customFormat="1" customHeight="1" s="15">
      <c r="B28" s="15" t="inlineStr">
        <is>
          <t>für 02/2022 am</t>
        </is>
      </c>
      <c r="C28" s="169" t="n">
        <v>44659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G30/10*993</f>
        <v/>
      </c>
    </row>
    <row r="31" ht="15" customFormat="1" customHeight="1" s="15">
      <c r="B31" s="15" t="inlineStr">
        <is>
          <t>für 03/2022 am</t>
        </is>
      </c>
      <c r="C31" s="169" t="n">
        <v>44690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 codeName="Tabelle44">
    <outlinePr summaryBelow="1" summaryRight="1"/>
    <pageSetUpPr/>
  </sheetPr>
  <dimension ref="A2:U59"/>
  <sheetViews>
    <sheetView workbookViewId="0">
      <selection activeCell="A55" sqref="A55:H55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2">
      <c r="L2" s="63" t="n"/>
      <c r="M2" s="59" t="n"/>
      <c r="N2" s="60" t="n"/>
      <c r="O2" s="212" t="n"/>
      <c r="P2" s="58" t="n"/>
      <c r="Q2" s="213" t="n"/>
      <c r="R2" s="211" t="n"/>
    </row>
    <row r="3">
      <c r="L3" s="58" t="n"/>
      <c r="M3" s="59" t="n"/>
      <c r="N3" s="60" t="n"/>
      <c r="O3" s="212" t="n"/>
      <c r="P3" s="58" t="n"/>
      <c r="Q3" s="213" t="n"/>
      <c r="R3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44784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5" t="inlineStr">
        <is>
          <t>Rg-Nr.:</t>
        </is>
      </c>
      <c r="G9" s="178" t="inlineStr">
        <is>
          <t>10113-2022-005</t>
        </is>
      </c>
      <c r="H9" s="188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116" t="inlineStr">
        <is>
          <t>Leistungsdatum:</t>
        </is>
      </c>
      <c r="F10" s="54" t="n"/>
      <c r="G10" s="182" t="inlineStr">
        <is>
          <t>siehe Einzelposition</t>
        </is>
      </c>
      <c r="H10" s="190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88" t="inlineStr">
        <is>
          <t xml:space="preserve">IBAN: </t>
        </is>
      </c>
      <c r="F11" s="184" t="inlineStr">
        <is>
          <t>DE 13 50070024 0 4092862 00</t>
        </is>
      </c>
      <c r="H11" s="188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65" t="inlineStr">
        <is>
          <t>BIC:</t>
        </is>
      </c>
      <c r="F12" s="150" t="inlineStr">
        <is>
          <t>DEUTDEDBFRA</t>
        </is>
      </c>
      <c r="G12" s="150" t="n"/>
      <c r="H12" s="151" t="n"/>
    </row>
    <row r="13" ht="15" customFormat="1" customHeight="1" s="140">
      <c r="D13" s="52" t="n"/>
      <c r="E13" s="53" t="n"/>
      <c r="F13" s="47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  <c r="L20" s="63" t="n"/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  <c r="L21" s="63" t="n"/>
    </row>
    <row r="22" ht="13.5" customFormat="1" customHeight="1" s="58">
      <c r="A22" s="58" t="n">
        <v>34</v>
      </c>
      <c r="B22" s="58" t="inlineStr">
        <is>
          <t xml:space="preserve">Löhne/Gehälter 04/2022 </t>
        </is>
      </c>
      <c r="D22" s="60" t="n"/>
      <c r="K22" s="58" t="n">
        <v>34</v>
      </c>
      <c r="L22" s="58" t="inlineStr">
        <is>
          <t>Hilfeleistung bei sonstigen Tätigkeiten im Zusammen-</t>
        </is>
      </c>
      <c r="M22" s="59" t="n"/>
      <c r="N22" s="60" t="n"/>
      <c r="O22" s="209" t="n">
        <v>80</v>
      </c>
      <c r="P22" s="58" t="inlineStr">
        <is>
          <t>Zeitgeb.</t>
        </is>
      </c>
      <c r="Q22" s="210" t="n">
        <v>0.5</v>
      </c>
      <c r="R22" s="211">
        <f>+Q22*O22</f>
        <v/>
      </c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  <c r="L23" s="58" t="inlineStr">
        <is>
          <t>hang mit dem Lohnsteuerabzug/der Lohnbuchführung</t>
        </is>
      </c>
      <c r="M23" s="59" t="n"/>
      <c r="N23" s="60" t="n"/>
      <c r="O23" s="212" t="n"/>
      <c r="Q23" s="213" t="n"/>
      <c r="R23" s="211" t="n"/>
      <c r="U23" s="58" t="inlineStr">
        <is>
          <t xml:space="preserve">Cabrero (2x) </t>
        </is>
      </c>
    </row>
    <row r="24" ht="13.5" customFormat="1" customHeight="1" s="58">
      <c r="B24" s="58" t="inlineStr">
        <is>
          <t xml:space="preserve">   Sozialvers.-meldungen</t>
        </is>
      </c>
      <c r="C24" s="59" t="n">
        <v>44677</v>
      </c>
      <c r="D24" s="60" t="n"/>
      <c r="E24" s="212" t="n">
        <v>15</v>
      </c>
      <c r="G24" s="213" t="n">
        <v>15</v>
      </c>
      <c r="H24" s="211">
        <f>+G24*E24</f>
        <v/>
      </c>
      <c r="L24" s="63" t="inlineStr">
        <is>
          <t>- LFZ-Anträge M. Perikic, V.Perikic, Boycjinov</t>
        </is>
      </c>
      <c r="M24" s="59" t="n"/>
      <c r="N24" s="60" t="n"/>
    </row>
    <row r="25" ht="5.25" customFormat="1" customHeight="1" s="58">
      <c r="C25" s="59" t="n"/>
      <c r="D25" s="60" t="n"/>
      <c r="E25" s="212" t="n"/>
      <c r="G25" s="213" t="n"/>
      <c r="H25" s="211" t="n"/>
      <c r="L25" s="63" t="inlineStr">
        <is>
          <t xml:space="preserve">  in</t>
        </is>
      </c>
      <c r="M25" s="59" t="inlineStr">
        <is>
          <t>II/2022</t>
        </is>
      </c>
      <c r="N25" s="60" t="n"/>
      <c r="O25" s="209" t="n"/>
      <c r="Q25" s="210" t="n"/>
      <c r="R25" s="211" t="n"/>
    </row>
    <row r="26" ht="13.5" customFormat="1" customHeight="1" s="58">
      <c r="A26" s="58" t="n">
        <v>34</v>
      </c>
      <c r="B26" s="58" t="inlineStr">
        <is>
          <t xml:space="preserve">Löhne/Gehälter 05/2022 </t>
        </is>
      </c>
      <c r="D26" s="60" t="n"/>
    </row>
    <row r="27" ht="13.5" customFormat="1" customHeight="1" s="58">
      <c r="B27" s="63" t="inlineStr">
        <is>
          <t xml:space="preserve"> - Einrichten von Lohnkonten (Para)</t>
        </is>
      </c>
      <c r="C27" s="114" t="inlineStr">
        <is>
          <t>05/2022</t>
        </is>
      </c>
      <c r="D27" s="60" t="n"/>
      <c r="E27" s="212" t="n">
        <v>15</v>
      </c>
      <c r="G27" s="213" t="n">
        <v>1</v>
      </c>
      <c r="H27" s="211">
        <f>+G27*E27</f>
        <v/>
      </c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44705</v>
      </c>
      <c r="D29" s="60" t="n"/>
      <c r="E29" s="212" t="n">
        <v>15</v>
      </c>
      <c r="G29" s="213" t="n">
        <v>14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06/2022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44732</v>
      </c>
      <c r="D33" s="60" t="n"/>
      <c r="E33" s="212" t="n">
        <v>15</v>
      </c>
      <c r="G33" s="213" t="n">
        <v>12</v>
      </c>
      <c r="H33" s="211">
        <f>+G33*E33</f>
        <v/>
      </c>
    </row>
    <row r="34" ht="5.2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/>
    <row r="36" ht="13.5" customFormat="1" customHeight="1" s="58"/>
    <row r="37" ht="13.5" customFormat="1" customHeight="1" s="58"/>
    <row r="38" ht="13.5" customFormat="1" customHeight="1" s="58"/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II/2022</t>
        </is>
      </c>
      <c r="D41" s="60" t="n"/>
      <c r="E41" s="211">
        <f>SUM(H22:H34)*0.2</f>
        <v/>
      </c>
      <c r="G41" s="211" t="n"/>
      <c r="H41" s="211" t="n">
        <v>60</v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4" ht="13.5" customFormat="1" customHeight="1" s="58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1:H11"/>
    <mergeCell ref="A55:H55"/>
    <mergeCell ref="A15:H15"/>
    <mergeCell ref="G7:H7"/>
    <mergeCell ref="E7:F7"/>
    <mergeCell ref="G10:H10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 codeName="Tabelle45">
    <outlinePr summaryBelow="1" summaryRight="1"/>
    <pageSetUpPr/>
  </sheetPr>
  <dimension ref="A5:Q51"/>
  <sheetViews>
    <sheetView workbookViewId="0">
      <selection activeCell="B36" sqref="B36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44784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10113-2022-006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>
        <v>44780</v>
      </c>
      <c r="M22" s="93" t="n"/>
      <c r="N22" s="202" t="n">
        <v>6000</v>
      </c>
      <c r="O22" s="183" t="inlineStr">
        <is>
          <t>A</t>
        </is>
      </c>
      <c r="P22" s="20" t="n">
        <v>3</v>
      </c>
      <c r="Q22" s="193">
        <f>P22/10*355</f>
        <v/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inlineStr">
        <is>
          <t>Zusammenstellung von Daten für die Bauhaupterhebung</t>
        </is>
      </c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ROUND((1145000+83000)/100,)*100</f>
        <v/>
      </c>
      <c r="F24" s="159" t="inlineStr">
        <is>
          <t>C</t>
        </is>
      </c>
      <c r="G24" s="183" t="n">
        <v>6</v>
      </c>
      <c r="H24" s="193">
        <f>G24/10*993</f>
        <v/>
      </c>
      <c r="K24" s="94" t="inlineStr">
        <is>
          <t>des stat. Landesamtes 2022</t>
        </is>
      </c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04/2022 am</t>
        </is>
      </c>
      <c r="C25" s="117" t="n">
        <v>44700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G27/10*857</f>
        <v/>
      </c>
    </row>
    <row r="28" ht="15" customFormat="1" customHeight="1" s="15">
      <c r="B28" s="15" t="inlineStr">
        <is>
          <t>für 05/2022 am</t>
        </is>
      </c>
      <c r="C28" s="169" t="n">
        <v>44777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5.5</v>
      </c>
      <c r="H30" s="193">
        <f>G30/10*857</f>
        <v/>
      </c>
    </row>
    <row r="31" ht="15" customFormat="1" customHeight="1" s="15">
      <c r="B31" s="15" t="inlineStr">
        <is>
          <t>für 06/2022 am</t>
        </is>
      </c>
      <c r="C31" s="169">
        <f>+C28</f>
        <v/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A33" s="15" t="n">
        <v>21</v>
      </c>
      <c r="B33" s="94" t="inlineStr">
        <is>
          <t>Rat/Auskunft</t>
        </is>
      </c>
      <c r="C33" s="15" t="inlineStr">
        <is>
          <t>im II. Vj 2022</t>
        </is>
      </c>
      <c r="E33" s="202">
        <f>86638+40460.93+71172.82</f>
        <v/>
      </c>
      <c r="F33" s="159" t="inlineStr">
        <is>
          <t>A</t>
        </is>
      </c>
      <c r="G33" s="183" t="n">
        <v>5</v>
      </c>
      <c r="H33" s="193">
        <f>+G33/10*2136</f>
        <v/>
      </c>
    </row>
    <row r="34" ht="15" customFormat="1" customHeight="1" s="15">
      <c r="B34" s="15" t="inlineStr">
        <is>
          <t>Ermittlungsfragebögen des Finanzamtes Wies-</t>
        </is>
      </c>
    </row>
    <row r="35" ht="15" customFormat="1" customHeight="1" s="15">
      <c r="B35" s="15" t="inlineStr">
        <is>
          <t>badenund der HZA Gießen</t>
        </is>
      </c>
    </row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F11:H11"/>
    <mergeCell ref="C31:D31"/>
    <mergeCell ref="G7:H7"/>
    <mergeCell ref="E7:F7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 codeName="Tabelle46">
    <outlinePr summaryBelow="1" summaryRight="1"/>
    <pageSetUpPr/>
  </sheetPr>
  <dimension ref="A5:R52"/>
  <sheetViews>
    <sheetView topLeftCell="A10" workbookViewId="0">
      <selection activeCell="F11" sqref="F11:H1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10"/>
    <col width="13.140625" bestFit="1" customWidth="1" style="6" min="11" max="12"/>
    <col width="11.5703125" customWidth="1" style="6" min="13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44784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10113-2022-007</t>
        </is>
      </c>
      <c r="H9" s="188" t="n"/>
      <c r="K9" s="15" t="n">
        <v>27</v>
      </c>
      <c r="L9" s="15" t="inlineStr">
        <is>
          <t>Prüfung der Bescheide zur Körperschaftsteuer,</t>
        </is>
      </c>
      <c r="M9" s="159" t="n"/>
      <c r="O9" s="203" t="n">
        <v>80</v>
      </c>
      <c r="P9" s="183" t="inlineStr">
        <is>
          <t>Zeitgeb.</t>
        </is>
      </c>
      <c r="Q9" s="204" t="n">
        <v>0.5</v>
      </c>
      <c r="R9" s="193">
        <f>+Q9*O9</f>
        <v/>
      </c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 t="n">
        <v>44756</v>
      </c>
      <c r="H10" s="190" t="n"/>
      <c r="L10" s="15" t="inlineStr">
        <is>
          <t xml:space="preserve">zum Gewerbesteuermeßbetrag und zur Feststellung </t>
        </is>
      </c>
      <c r="M10" s="159" t="n"/>
      <c r="O10" s="202" t="n"/>
      <c r="P10" s="183" t="n"/>
      <c r="Q10" s="20" t="n"/>
      <c r="R10" s="193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L11" s="15" t="inlineStr">
        <is>
          <t>körperschaftsteuerlicher Bemessungsgrundlagen 2016</t>
        </is>
      </c>
      <c r="M11" s="159" t="n"/>
      <c r="O11" s="202" t="n"/>
      <c r="P11" s="183" t="n"/>
      <c r="Q11" s="20" t="n"/>
      <c r="R11" s="193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  <c r="K12" s="15" t="n"/>
      <c r="L12" s="15" t="inlineStr">
        <is>
          <t>am 06.09.2017</t>
        </is>
      </c>
      <c r="M12" s="159" t="n"/>
      <c r="N12" s="15" t="n"/>
      <c r="O12" s="202" t="n"/>
      <c r="P12" s="183" t="n"/>
      <c r="Q12" s="20" t="n"/>
      <c r="R12" s="193" t="n"/>
    </row>
    <row r="17" ht="14.25" customFormat="1" customHeight="1" s="12">
      <c r="A17" s="152" t="inlineStr">
        <is>
          <t xml:space="preserve">Rechnung über Honorare </t>
        </is>
      </c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4.25" customFormat="1" customHeight="1" s="12">
      <c r="A19" s="152" t="n"/>
      <c r="B19" s="152" t="n"/>
      <c r="C19" s="152" t="n"/>
      <c r="D19" s="152" t="n"/>
      <c r="E19" s="152" t="n"/>
      <c r="F19" s="152" t="n"/>
      <c r="G19" s="152" t="n"/>
      <c r="H19" s="152" t="n"/>
    </row>
    <row r="20" ht="15" customFormat="1" customHeight="1" s="15">
      <c r="A20" s="15" t="inlineStr">
        <is>
          <t xml:space="preserve">Für die nachfolgend aufgeführten Leistungen erlaube ich mir nach der Steuerberatervergütungs- </t>
        </is>
      </c>
      <c r="B20" s="13" t="n"/>
      <c r="D20" s="90" t="n"/>
      <c r="E20" s="183" t="n"/>
      <c r="F20" s="90" t="n"/>
      <c r="G20" s="18" t="n"/>
    </row>
    <row r="21" ht="15" customFormat="1" customHeight="1" s="15">
      <c r="A21" s="15" t="inlineStr">
        <is>
          <t>verordnung wie folgt abzurechnen:</t>
        </is>
      </c>
      <c r="B21" s="13" t="n"/>
      <c r="D21" s="90" t="n"/>
      <c r="E21" s="183" t="n"/>
      <c r="F21" s="90" t="n"/>
      <c r="G21" s="18" t="n"/>
    </row>
    <row r="22" ht="9" customFormat="1" customHeight="1" s="15">
      <c r="D22" s="90" t="n"/>
      <c r="E22" s="183" t="n"/>
      <c r="F22" s="10" t="n"/>
      <c r="G22" s="18" t="n"/>
      <c r="J22" s="202" t="n"/>
      <c r="K22" s="202" t="n"/>
      <c r="L22" s="202" t="n"/>
      <c r="M22" s="202" t="n"/>
      <c r="N22" s="202" t="n"/>
      <c r="O22" s="202" t="n"/>
    </row>
    <row r="23" ht="15" customFormat="1" customHeight="1" s="15">
      <c r="A23" s="17" t="inlineStr">
        <is>
          <t>Leistung</t>
        </is>
      </c>
      <c r="B23" s="19" t="n"/>
      <c r="C23" s="17" t="n"/>
      <c r="D23" s="90" t="n"/>
      <c r="E23" s="90" t="inlineStr">
        <is>
          <t>Gegenstands-</t>
        </is>
      </c>
      <c r="F23" s="183" t="inlineStr">
        <is>
          <t>Tabelle</t>
        </is>
      </c>
      <c r="G23" s="20" t="inlineStr">
        <is>
          <t>Geb.-</t>
        </is>
      </c>
      <c r="H23" s="183" t="inlineStr">
        <is>
          <t>Gebühr</t>
        </is>
      </c>
      <c r="J23" s="202" t="n"/>
      <c r="K23" s="202" t="n"/>
      <c r="L23" s="202" t="n"/>
      <c r="M23" s="202" t="n"/>
      <c r="N23" s="202" t="n"/>
      <c r="O23" s="202" t="n"/>
    </row>
    <row r="24" ht="15" customFormat="1" customHeight="1" s="15">
      <c r="A24" s="21" t="inlineStr">
        <is>
          <t>§§</t>
        </is>
      </c>
      <c r="B24" s="21" t="n"/>
      <c r="C24" s="21" t="n"/>
      <c r="D24" s="22" t="n"/>
      <c r="E24" s="22" t="inlineStr">
        <is>
          <t xml:space="preserve"> wert</t>
        </is>
      </c>
      <c r="F24" s="150" t="n"/>
      <c r="G24" s="24" t="inlineStr">
        <is>
          <t>satz</t>
        </is>
      </c>
      <c r="H24" s="25" t="n"/>
      <c r="J24" s="202" t="n"/>
      <c r="K24" s="202" t="n"/>
      <c r="L24" s="202" t="n"/>
      <c r="M24" s="202" t="n"/>
      <c r="N24" s="202" t="n"/>
      <c r="O24" s="202" t="n"/>
    </row>
    <row r="25" ht="16.5" customFormat="1" customHeight="1" s="15">
      <c r="A25" s="15" t="n">
        <v>35</v>
      </c>
      <c r="B25" s="15" t="inlineStr">
        <is>
          <t>Jahresabschluß</t>
        </is>
      </c>
      <c r="C25" s="159" t="n">
        <v>2021</v>
      </c>
      <c r="E25" s="202">
        <f>+(J25+K25)/2</f>
        <v/>
      </c>
      <c r="F25" s="183" t="inlineStr">
        <is>
          <t>B</t>
        </is>
      </c>
      <c r="G25" s="20" t="n">
        <v>31</v>
      </c>
      <c r="H25" s="193">
        <f>G25/10*1062</f>
        <v/>
      </c>
      <c r="J25" s="202" t="n">
        <v>405719.53</v>
      </c>
      <c r="K25" s="202" t="n">
        <v>1156409.43</v>
      </c>
      <c r="L25" s="202" t="n"/>
      <c r="M25" s="202" t="n"/>
      <c r="N25" s="202" t="n"/>
      <c r="O25" s="202" t="n"/>
    </row>
    <row r="26" ht="5.25" customFormat="1" customHeight="1" s="15">
      <c r="C26" s="159" t="n"/>
      <c r="E26" s="202" t="n"/>
      <c r="F26" s="183" t="n"/>
      <c r="G26" s="20" t="n"/>
      <c r="H26" s="193" t="n"/>
      <c r="J26" s="202" t="n"/>
      <c r="K26" s="202" t="n"/>
      <c r="L26" s="202" t="n"/>
      <c r="M26" s="202" t="n"/>
      <c r="N26" s="202" t="n"/>
      <c r="O26" s="202" t="n"/>
    </row>
    <row r="27" ht="16.5" customFormat="1" customHeight="1" s="15">
      <c r="A27" s="15" t="n">
        <v>35</v>
      </c>
      <c r="B27" s="15" t="inlineStr">
        <is>
          <t>Steuerbilanz und -GuV</t>
        </is>
      </c>
      <c r="C27" s="159">
        <f>+C25</f>
        <v/>
      </c>
      <c r="E27" s="202">
        <f>+(J27+K27)/2</f>
        <v/>
      </c>
      <c r="F27" s="183" t="inlineStr">
        <is>
          <t>B</t>
        </is>
      </c>
      <c r="G27" s="20" t="n">
        <v>7</v>
      </c>
      <c r="H27" s="193">
        <f>G27/10*991</f>
        <v/>
      </c>
      <c r="J27" s="202" t="n">
        <v>367030.53</v>
      </c>
      <c r="K27" s="202">
        <f>+K25</f>
        <v/>
      </c>
      <c r="L27" s="202" t="n"/>
      <c r="M27" s="202" t="n"/>
      <c r="N27" s="202" t="n"/>
      <c r="O27" s="202" t="n"/>
    </row>
    <row r="28" ht="5.25" customFormat="1" customHeight="1" s="15">
      <c r="C28" s="159" t="n"/>
      <c r="E28" s="202" t="n"/>
      <c r="F28" s="183" t="n"/>
      <c r="G28" s="20" t="n"/>
      <c r="H28" s="193" t="n"/>
      <c r="J28" s="202" t="n"/>
      <c r="K28" s="202" t="n"/>
      <c r="L28" s="202" t="n"/>
      <c r="M28" s="202" t="n"/>
      <c r="N28" s="202" t="n"/>
      <c r="O28" s="202" t="n"/>
    </row>
    <row r="29" ht="15" customFormat="1" customHeight="1" s="15">
      <c r="A29" s="15" t="n">
        <v>24</v>
      </c>
      <c r="B29" s="15" t="inlineStr">
        <is>
          <t>Umsatzsteuerjahreserklärung</t>
        </is>
      </c>
      <c r="C29" s="159">
        <f>+C27</f>
        <v/>
      </c>
      <c r="E29" s="202">
        <f>+(730120+939+192483+416441)/10</f>
        <v/>
      </c>
      <c r="F29" s="183" t="inlineStr">
        <is>
          <t>A</t>
        </is>
      </c>
      <c r="G29" s="20" t="n">
        <v>2</v>
      </c>
      <c r="H29" s="193">
        <f>G29/10*1773</f>
        <v/>
      </c>
      <c r="J29" s="202" t="n"/>
      <c r="K29" s="202" t="n"/>
      <c r="L29" s="202" t="n"/>
      <c r="M29" s="202" t="n"/>
      <c r="N29" s="202" t="n"/>
      <c r="O29" s="202" t="n"/>
    </row>
    <row r="30" ht="5.25" customFormat="1" customHeight="1" s="15">
      <c r="C30" s="159" t="n"/>
      <c r="E30" s="202" t="n"/>
      <c r="F30" s="183" t="n"/>
      <c r="G30" s="20" t="n"/>
      <c r="H30" s="193" t="n"/>
      <c r="J30" s="202" t="n"/>
      <c r="K30" s="202" t="n"/>
      <c r="L30" s="202" t="n"/>
      <c r="M30" s="202" t="n"/>
      <c r="N30" s="202" t="n"/>
      <c r="O30" s="202" t="n"/>
    </row>
    <row r="31" ht="15" customFormat="1" customHeight="1" s="15">
      <c r="A31" s="15" t="n">
        <v>24</v>
      </c>
      <c r="B31" s="15" t="inlineStr">
        <is>
          <t>Gewerbesteuererklärung nach dem Gewerbe-</t>
        </is>
      </c>
      <c r="C31" s="159" t="n"/>
      <c r="E31" s="202" t="n">
        <v>8000</v>
      </c>
      <c r="F31" s="183" t="inlineStr">
        <is>
          <t>A</t>
        </is>
      </c>
      <c r="G31" s="20" t="n">
        <v>3</v>
      </c>
      <c r="H31" s="193">
        <f>G31/10*485</f>
        <v/>
      </c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B32" s="15" t="inlineStr">
        <is>
          <t xml:space="preserve">ertrag für </t>
        </is>
      </c>
      <c r="C32" s="159">
        <f>+C25</f>
        <v/>
      </c>
      <c r="E32" s="202" t="n"/>
      <c r="F32" s="183" t="n"/>
      <c r="G32" s="20" t="n"/>
      <c r="H32" s="193" t="n"/>
      <c r="J32" s="202" t="n"/>
      <c r="K32" s="202" t="n"/>
      <c r="L32" s="202" t="n"/>
      <c r="M32" s="202" t="n"/>
      <c r="N32" s="202" t="n"/>
      <c r="O32" s="202" t="n"/>
    </row>
    <row r="33" ht="5.25" customFormat="1" customHeight="1" s="15">
      <c r="C33" s="159" t="n"/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15" customFormat="1" customHeight="1" s="15">
      <c r="A34" s="15" t="n">
        <v>24</v>
      </c>
      <c r="B34" s="15" t="inlineStr">
        <is>
          <t>Gewerbesteuerzerlegungserklärung</t>
        </is>
      </c>
      <c r="C34" s="159">
        <f>+C32</f>
        <v/>
      </c>
      <c r="E34" s="202">
        <f>582430/10</f>
        <v/>
      </c>
      <c r="F34" s="183" t="inlineStr">
        <is>
          <t>A</t>
        </is>
      </c>
      <c r="G34" s="20" t="n">
        <v>2</v>
      </c>
      <c r="H34" s="193">
        <f>G34/10*1320</f>
        <v/>
      </c>
      <c r="J34" s="202" t="n"/>
      <c r="K34" s="202" t="n"/>
      <c r="L34" s="202" t="n"/>
      <c r="M34" s="202" t="n"/>
      <c r="N34" s="202" t="n"/>
      <c r="O34" s="202" t="n"/>
    </row>
    <row r="35" ht="5.25" customFormat="1" customHeight="1" s="15">
      <c r="C35" s="159" t="n"/>
      <c r="E35" s="202" t="n"/>
      <c r="F35" s="183" t="n"/>
      <c r="G35" s="20" t="n"/>
      <c r="H35" s="193" t="n"/>
      <c r="J35" s="202" t="n"/>
      <c r="K35" s="202" t="n"/>
      <c r="L35" s="202" t="n"/>
      <c r="M35" s="202" t="n"/>
      <c r="N35" s="202" t="n"/>
      <c r="O35" s="202" t="n"/>
    </row>
    <row r="36" ht="15" customFormat="1" customHeight="1" s="15">
      <c r="A36" s="15" t="n">
        <v>24</v>
      </c>
      <c r="B36" s="15" t="inlineStr">
        <is>
          <t xml:space="preserve">Körperschaftsteuererklärung für </t>
        </is>
      </c>
      <c r="C36" s="159">
        <f>+C32</f>
        <v/>
      </c>
      <c r="E36" s="202" t="n">
        <v>16000</v>
      </c>
      <c r="F36" s="183" t="inlineStr">
        <is>
          <t>A</t>
        </is>
      </c>
      <c r="G36" s="20" t="n">
        <v>3</v>
      </c>
      <c r="H36" s="193">
        <f>G36/10*665</f>
        <v/>
      </c>
      <c r="J36" s="202" t="n"/>
      <c r="K36" s="202" t="n"/>
      <c r="L36" s="202" t="n"/>
      <c r="M36" s="202" t="n"/>
      <c r="N36" s="202" t="n"/>
      <c r="O36" s="202" t="n"/>
    </row>
    <row r="37" ht="9" customFormat="1" customHeight="1" s="15">
      <c r="C37" s="159" t="n"/>
      <c r="E37" s="202" t="n"/>
      <c r="F37" s="183" t="n"/>
      <c r="G37" s="20" t="n"/>
      <c r="H37" s="193" t="n"/>
      <c r="J37" s="202" t="n"/>
      <c r="K37" s="202" t="n"/>
      <c r="L37" s="202" t="n"/>
      <c r="M37" s="202" t="n"/>
      <c r="N37" s="202" t="n"/>
      <c r="O37" s="202" t="n"/>
    </row>
    <row r="38" ht="15" customFormat="1" customHeight="1" s="15">
      <c r="C38" s="159" t="n"/>
      <c r="E38" s="202" t="n"/>
      <c r="F38" s="183" t="n"/>
      <c r="G38" s="20" t="n"/>
      <c r="H38" s="193" t="n"/>
    </row>
    <row r="39" ht="5.25" customFormat="1" customHeight="1" s="15">
      <c r="C39" s="159" t="n"/>
      <c r="E39" s="202" t="n"/>
      <c r="F39" s="183" t="n"/>
      <c r="G39" s="20" t="n"/>
      <c r="H39" s="193" t="n"/>
    </row>
    <row r="40" ht="15" customFormat="1" customHeight="1" s="15">
      <c r="I40" s="193" t="n"/>
    </row>
    <row r="41" ht="15.75" customFormat="1" customHeight="1" s="15">
      <c r="A41" s="15" t="n">
        <v>16</v>
      </c>
      <c r="B41" s="15" t="inlineStr">
        <is>
          <t xml:space="preserve">Auslagenersatz für Post- und </t>
        </is>
      </c>
      <c r="C41" s="159" t="n"/>
      <c r="E41" s="202">
        <f>SUM(H25:H36)*0.15</f>
        <v/>
      </c>
      <c r="F41" s="159" t="n"/>
      <c r="G41" s="20" t="n">
        <v>0</v>
      </c>
      <c r="H41" s="193" t="n">
        <v>20</v>
      </c>
      <c r="I41" s="193" t="n"/>
    </row>
    <row r="42" ht="15.75" customFormat="1" customHeight="1" s="15">
      <c r="B42" s="15" t="inlineStr">
        <is>
          <t>Telekommunikation</t>
        </is>
      </c>
      <c r="E42" s="90" t="n"/>
      <c r="G42" s="20" t="n"/>
      <c r="H42" s="193" t="n"/>
      <c r="I42" s="193" t="n"/>
    </row>
    <row r="43" ht="15" customFormat="1" customHeight="1" s="15">
      <c r="A43" s="112" t="inlineStr">
        <is>
          <t>*sofern nicht separat anders angegeben</t>
        </is>
      </c>
      <c r="B43" s="28" t="n"/>
      <c r="C43" s="28" t="n"/>
      <c r="D43" s="28" t="n"/>
      <c r="E43" s="29" t="inlineStr">
        <is>
          <t>Zwischensumme</t>
        </is>
      </c>
      <c r="F43" s="197" t="n"/>
      <c r="G43" s="31" t="n"/>
      <c r="H43" s="198">
        <f>SUM(H25:H42)</f>
        <v/>
      </c>
      <c r="I43" s="193" t="n"/>
      <c r="J43" s="193">
        <f>+'JA 2020'!H43</f>
        <v/>
      </c>
    </row>
    <row r="44" ht="15" customFormat="1" customHeight="1" s="15">
      <c r="A44" s="15" t="n"/>
      <c r="B44" s="15" t="n"/>
      <c r="C44" s="15" t="n"/>
      <c r="D44" s="15" t="n"/>
      <c r="E44" s="100" t="inlineStr">
        <is>
          <t>Umsatzsteuer 19%</t>
        </is>
      </c>
      <c r="F44" s="199" t="n"/>
      <c r="G44" s="35" t="n"/>
      <c r="H44" s="193">
        <f>+H43*0.19</f>
        <v/>
      </c>
      <c r="I44" s="193" t="n"/>
    </row>
    <row r="45" customFormat="1" s="15" thickBot="1">
      <c r="A45" s="15" t="n"/>
      <c r="B45" s="15" t="n"/>
      <c r="C45" s="15" t="n"/>
      <c r="D45" s="15" t="n"/>
      <c r="E45" s="37" t="inlineStr">
        <is>
          <t>Rechnungsbetrag</t>
        </is>
      </c>
      <c r="F45" s="200" t="n"/>
      <c r="G45" s="39" t="n"/>
      <c r="H45" s="201">
        <f>SUM(H43:H44)</f>
        <v/>
      </c>
      <c r="I45" s="193" t="n"/>
    </row>
    <row r="46" customFormat="1" s="15" thickTop="1">
      <c r="D46" s="90" t="n"/>
      <c r="E46" s="183" t="n"/>
      <c r="F46" s="10" t="n"/>
      <c r="I46" s="193" t="n"/>
    </row>
    <row r="49">
      <c r="B49" s="14" t="n"/>
    </row>
    <row r="50" ht="12.75" customFormat="1" customHeight="1" s="41"/>
    <row r="51" ht="12.75" customFormat="1" customHeight="1" s="41"/>
    <row r="52">
      <c r="A52" s="147" t="inlineStr">
        <is>
          <t xml:space="preserve">Steuernummer: 012 801 35159       </t>
        </is>
      </c>
    </row>
  </sheetData>
  <mergeCells count="11">
    <mergeCell ref="F11:H11"/>
    <mergeCell ref="G7:H7"/>
    <mergeCell ref="E10:F10"/>
    <mergeCell ref="E7:F7"/>
    <mergeCell ref="G10:H10"/>
    <mergeCell ref="A52:H52"/>
    <mergeCell ref="F12:H12"/>
    <mergeCell ref="G9:H9"/>
    <mergeCell ref="E9:F9"/>
    <mergeCell ref="E8:F8"/>
    <mergeCell ref="A17:H17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 codeName="Tabelle47">
    <outlinePr summaryBelow="1" summaryRight="1"/>
    <pageSetUpPr/>
  </sheetPr>
  <dimension ref="A5:Q51"/>
  <sheetViews>
    <sheetView topLeftCell="A10" workbookViewId="0">
      <selection activeCell="L33" sqref="L33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/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10113-2022-006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>
        <v>44780</v>
      </c>
      <c r="M22" s="93" t="n"/>
      <c r="N22" s="202" t="n">
        <v>6000</v>
      </c>
      <c r="O22" s="183" t="inlineStr">
        <is>
          <t>A</t>
        </is>
      </c>
      <c r="P22" s="20" t="n">
        <v>3</v>
      </c>
      <c r="Q22" s="193">
        <f>P22/10*355</f>
        <v/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inlineStr">
        <is>
          <t>Zusammenstellung von Daten für die Bauhaupterhebung</t>
        </is>
      </c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ROUND((1145000+83000)/100,)*100</f>
        <v/>
      </c>
      <c r="F24" s="159" t="inlineStr">
        <is>
          <t>C</t>
        </is>
      </c>
      <c r="G24" s="183" t="n">
        <v>6</v>
      </c>
      <c r="H24" s="193">
        <f>G24/10*993</f>
        <v/>
      </c>
      <c r="K24" s="94" t="inlineStr">
        <is>
          <t>des stat. Landesamtes 2022</t>
        </is>
      </c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04/2022 am</t>
        </is>
      </c>
      <c r="C25" s="117" t="n">
        <v>44700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G27/10*857</f>
        <v/>
      </c>
    </row>
    <row r="28" ht="15" customFormat="1" customHeight="1" s="15">
      <c r="B28" s="15" t="inlineStr">
        <is>
          <t>für 05/2022 am</t>
        </is>
      </c>
      <c r="C28" s="169" t="n">
        <v>44777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5.5</v>
      </c>
      <c r="H30" s="193">
        <f>G30/10*857</f>
        <v/>
      </c>
    </row>
    <row r="31" ht="15" customFormat="1" customHeight="1" s="15">
      <c r="B31" s="15" t="inlineStr">
        <is>
          <t>für 06/2022 am</t>
        </is>
      </c>
      <c r="C31" s="169">
        <f>+C28</f>
        <v/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inlineStr">
        <is>
          <t>Rat/Auskunft</t>
        </is>
      </c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F11:H11"/>
    <mergeCell ref="C31:D31"/>
    <mergeCell ref="G7:H7"/>
    <mergeCell ref="E7:F7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 codeName="Tabelle48">
    <outlinePr summaryBelow="1" summaryRight="1"/>
    <pageSetUpPr/>
  </sheetPr>
  <dimension ref="A5:S58"/>
  <sheetViews>
    <sheetView topLeftCell="A19" zoomScale="130" zoomScaleNormal="130" workbookViewId="0">
      <selection activeCell="B56" sqref="B56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44888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60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64" t="inlineStr">
        <is>
          <t>10113-2022-008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  <c r="K17" s="58" t="n"/>
    </row>
    <row r="18" ht="15" customFormat="1" customHeight="1" s="140">
      <c r="A18" s="140" t="inlineStr">
        <is>
          <t xml:space="preserve">Für die nachfolgend aufgeführten Leistungen erlaube ich mir nach der Steuerberatervergütungs- </t>
        </is>
      </c>
      <c r="B18" s="43" t="n"/>
      <c r="D18" s="52" t="n"/>
      <c r="E18" s="53" t="n"/>
      <c r="F18" s="47" t="n"/>
      <c r="K18" s="58" t="n"/>
    </row>
    <row r="19" ht="15" customFormat="1" customHeight="1" s="140">
      <c r="A19" s="140" t="inlineStr">
        <is>
          <t>verordnung wie folgt abzurechnen:</t>
        </is>
      </c>
      <c r="B19" s="43" t="n"/>
      <c r="D19" s="52" t="n"/>
      <c r="E19" s="53" t="n"/>
      <c r="F19" s="47" t="n"/>
    </row>
    <row r="20" ht="4.5" customFormat="1" customHeight="1" s="140">
      <c r="D20" s="52" t="n"/>
      <c r="E20" s="52" t="n"/>
      <c r="F20" s="53" t="n"/>
      <c r="G20" s="52" t="n"/>
    </row>
    <row r="21" ht="15" customFormat="1" customHeight="1" s="140">
      <c r="A21" s="50" t="inlineStr">
        <is>
          <t>Leistung</t>
        </is>
      </c>
      <c r="B21" s="51" t="n"/>
      <c r="C21" s="50" t="n"/>
      <c r="D21" s="52" t="n"/>
      <c r="E21" s="52" t="inlineStr">
        <is>
          <t>Gegenstands-</t>
        </is>
      </c>
      <c r="F21" s="53" t="inlineStr">
        <is>
          <t>Tabelle</t>
        </is>
      </c>
      <c r="G21" s="52" t="inlineStr">
        <is>
          <t>Arbeit-</t>
        </is>
      </c>
      <c r="H21" s="53" t="inlineStr">
        <is>
          <t>Gebühr</t>
        </is>
      </c>
    </row>
    <row r="22" ht="15" customFormat="1" customHeight="1" s="140">
      <c r="A22" s="54" t="inlineStr">
        <is>
          <t>§§</t>
        </is>
      </c>
      <c r="B22" s="54" t="n"/>
      <c r="C22" s="181" t="inlineStr">
        <is>
          <t>am/in:</t>
        </is>
      </c>
      <c r="D22" s="55" t="n"/>
      <c r="E22" s="56" t="inlineStr">
        <is>
          <t>wert</t>
        </is>
      </c>
      <c r="F22" s="56" t="n"/>
      <c r="G22" s="57" t="inlineStr">
        <is>
          <t>nehmer</t>
        </is>
      </c>
      <c r="H22" s="181" t="n"/>
    </row>
    <row r="23" ht="13.5" customFormat="1" customHeight="1" s="58">
      <c r="A23" s="58" t="n">
        <v>34</v>
      </c>
      <c r="B23" s="58" t="inlineStr">
        <is>
          <t xml:space="preserve">Löhne/Gehälter 07/2022 </t>
        </is>
      </c>
      <c r="D23" s="60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44767</v>
      </c>
      <c r="D25" s="60" t="n"/>
      <c r="E25" s="212" t="n">
        <v>15</v>
      </c>
      <c r="G25" s="213" t="n">
        <v>11</v>
      </c>
      <c r="H25" s="211">
        <f>+G25*E25</f>
        <v/>
      </c>
    </row>
    <row r="26" ht="3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08/2022 </t>
        </is>
      </c>
      <c r="D27" s="60" t="n"/>
    </row>
    <row r="28" ht="13.5" customFormat="1" customHeight="1" s="58">
      <c r="B28" s="63" t="inlineStr">
        <is>
          <t xml:space="preserve"> - Einrichten von Lohnkonten</t>
        </is>
      </c>
      <c r="C28" s="114" t="inlineStr">
        <is>
          <t>08/2022</t>
        </is>
      </c>
      <c r="D28" s="60" t="n"/>
      <c r="E28" s="212" t="n">
        <v>9</v>
      </c>
      <c r="G28" s="213" t="n">
        <v>2</v>
      </c>
      <c r="H28" s="211">
        <f>+G28*E28</f>
        <v/>
      </c>
    </row>
    <row r="29" ht="13.5" customFormat="1" customHeight="1" s="58">
      <c r="B29" s="58" t="inlineStr">
        <is>
          <t xml:space="preserve">   (Boycjinov, Manalachi)</t>
        </is>
      </c>
      <c r="D29" s="60" t="n"/>
      <c r="E29" s="212" t="n"/>
      <c r="G29" s="213" t="n"/>
      <c r="H29" s="211" t="n"/>
      <c r="L29" s="58" t="n">
        <v>34</v>
      </c>
      <c r="M29" s="58" t="inlineStr">
        <is>
          <t>Hilfeleistung bei sonstigen Tätigkeiten im Zusammen-</t>
        </is>
      </c>
      <c r="N29" s="59" t="n"/>
      <c r="O29" s="60" t="n"/>
      <c r="P29" s="209" t="n">
        <v>80</v>
      </c>
      <c r="Q29" s="58" t="inlineStr">
        <is>
          <t>Zeitgeb.</t>
        </is>
      </c>
      <c r="R29" s="210" t="n">
        <v>0.5</v>
      </c>
      <c r="S29" s="211">
        <f>+R29*P29</f>
        <v/>
      </c>
    </row>
    <row r="30" ht="13.5" customFormat="1" customHeight="1" s="58">
      <c r="B30" s="63" t="inlineStr">
        <is>
          <t xml:space="preserve"> - Lohnabrechnungen inkl. </t>
        </is>
      </c>
      <c r="C30" s="59" t="n"/>
      <c r="D30" s="60" t="n"/>
      <c r="M30" s="58" t="inlineStr">
        <is>
          <t>hang mit dem Lohnsteuerabzug/der Lohnbuchführung</t>
        </is>
      </c>
      <c r="N30" s="59" t="n"/>
      <c r="O30" s="60" t="n"/>
      <c r="P30" s="212" t="n"/>
      <c r="R30" s="213" t="n"/>
      <c r="S30" s="211" t="n"/>
    </row>
    <row r="31" ht="13.5" customFormat="1" customHeight="1" s="58">
      <c r="B31" s="58" t="inlineStr">
        <is>
          <t xml:space="preserve">   Sozialvers.-meldungen</t>
        </is>
      </c>
      <c r="C31" s="59" t="n">
        <v>44788</v>
      </c>
      <c r="D31" s="60" t="n"/>
      <c r="E31" s="212" t="n">
        <v>15</v>
      </c>
      <c r="G31" s="213" t="n">
        <v>13</v>
      </c>
      <c r="H31" s="211">
        <f>+G31*E31</f>
        <v/>
      </c>
      <c r="M31" s="63" t="inlineStr">
        <is>
          <t>- LFZ-Anträge Chmielowski (2x)</t>
        </is>
      </c>
      <c r="N31" s="59" t="inlineStr">
        <is>
          <t>III/2022</t>
        </is>
      </c>
      <c r="O31" s="60" t="n"/>
    </row>
    <row r="32" ht="5.25" customFormat="1" customHeight="1" s="58">
      <c r="C32" s="59" t="n"/>
      <c r="D32" s="60" t="n"/>
      <c r="E32" s="212" t="n"/>
      <c r="G32" s="213" t="n"/>
      <c r="H32" s="211" t="n"/>
      <c r="M32" s="63" t="n"/>
      <c r="N32" s="59" t="n"/>
      <c r="O32" s="60" t="n"/>
    </row>
    <row r="33" ht="13.5" customFormat="1" customHeight="1" s="58">
      <c r="A33" s="58" t="n">
        <v>34</v>
      </c>
      <c r="B33" s="58" t="inlineStr">
        <is>
          <t xml:space="preserve">Löhne/Gehälter 09/2022 </t>
        </is>
      </c>
      <c r="D33" s="60" t="n"/>
    </row>
    <row r="34" ht="13.5" customFormat="1" customHeight="1" s="58">
      <c r="B34" s="63" t="inlineStr">
        <is>
          <t xml:space="preserve"> - Einrichten von Lohnkonten</t>
        </is>
      </c>
      <c r="C34" s="114" t="inlineStr">
        <is>
          <t>09/2022</t>
        </is>
      </c>
      <c r="D34" s="60" t="n"/>
      <c r="E34" s="212" t="n">
        <v>9</v>
      </c>
      <c r="G34" s="213" t="n">
        <v>1</v>
      </c>
      <c r="H34" s="211">
        <f>+G34*E34</f>
        <v/>
      </c>
    </row>
    <row r="35" ht="13.5" customFormat="1" customHeight="1" s="58">
      <c r="B35" s="58" t="inlineStr">
        <is>
          <t xml:space="preserve">   (Buzdugan)</t>
        </is>
      </c>
      <c r="D35" s="60" t="n"/>
      <c r="E35" s="212" t="n"/>
      <c r="G35" s="213" t="n"/>
      <c r="H35" s="211" t="n"/>
    </row>
    <row r="36" ht="13.5" customFormat="1" customHeight="1" s="58">
      <c r="B36" s="63" t="inlineStr">
        <is>
          <t xml:space="preserve"> - Lohnabrechnungen inkl. </t>
        </is>
      </c>
      <c r="C36" s="59" t="n"/>
      <c r="D36" s="60" t="n"/>
    </row>
    <row r="37" ht="13.5" customFormat="1" customHeight="1" s="58">
      <c r="B37" s="58" t="inlineStr">
        <is>
          <t xml:space="preserve">   Sozialvers.-meldungen</t>
        </is>
      </c>
      <c r="C37" s="59" t="n">
        <v>44826</v>
      </c>
      <c r="D37" s="60" t="n"/>
      <c r="E37" s="212" t="n">
        <v>15</v>
      </c>
      <c r="G37" s="213" t="n">
        <v>12</v>
      </c>
      <c r="H37" s="211">
        <f>+G37*E37</f>
        <v/>
      </c>
    </row>
    <row r="38" ht="5.25" customFormat="1" customHeight="1" s="58">
      <c r="C38" s="59" t="n"/>
      <c r="D38" s="60" t="n"/>
      <c r="E38" s="212" t="n"/>
      <c r="G38" s="213" t="n"/>
      <c r="H38" s="211" t="n"/>
    </row>
    <row r="39" ht="13.5" customFormat="1" customHeight="1" s="58">
      <c r="A39" s="58" t="n">
        <v>16</v>
      </c>
      <c r="B39" s="58" t="inlineStr">
        <is>
          <t xml:space="preserve">Auslagenersatz für Post- und </t>
        </is>
      </c>
      <c r="C39" s="59" t="n"/>
      <c r="D39" s="60" t="n"/>
      <c r="E39" s="212" t="n"/>
      <c r="G39" s="213" t="n"/>
      <c r="H39" s="211" t="n"/>
    </row>
    <row r="40" ht="13.5" customFormat="1" customHeight="1" s="58">
      <c r="B40" s="58" t="inlineStr">
        <is>
          <t>Telekommunikation</t>
        </is>
      </c>
      <c r="C40" s="59" t="inlineStr">
        <is>
          <t>III/2022</t>
        </is>
      </c>
      <c r="D40" s="60" t="n"/>
      <c r="E40" s="211">
        <f>SUM(H23:H38)*0.2</f>
        <v/>
      </c>
      <c r="G40" s="211" t="n"/>
      <c r="H40" s="211">
        <f>(G25+G31+G37)*1.3</f>
        <v/>
      </c>
    </row>
    <row r="41" ht="6.75" customFormat="1" customHeight="1" s="58">
      <c r="C41" s="60" t="n"/>
      <c r="D41" s="60" t="n"/>
      <c r="E41" s="214" t="n"/>
      <c r="F41" s="68" t="n"/>
      <c r="G41" s="69" t="n"/>
      <c r="H41" s="215" t="n"/>
    </row>
    <row r="42" ht="13.5" customFormat="1" customHeight="1" s="58">
      <c r="A42" s="71" t="n"/>
      <c r="B42" s="71" t="n"/>
      <c r="E42" s="58" t="inlineStr">
        <is>
          <t>Gesamt</t>
        </is>
      </c>
      <c r="F42" s="71" t="n"/>
      <c r="G42" s="81" t="n"/>
      <c r="H42" s="211">
        <f>SUM(H23:H41)</f>
        <v/>
      </c>
      <c r="J42" s="211" t="n"/>
    </row>
    <row r="43" ht="13.5" customFormat="1" customHeight="1" s="58">
      <c r="E43" s="74" t="inlineStr">
        <is>
          <t>USt 19%</t>
        </is>
      </c>
      <c r="F43" s="71" t="n"/>
      <c r="G43" s="81" t="n"/>
      <c r="H43" s="211">
        <f>+H42*19%</f>
        <v/>
      </c>
    </row>
    <row r="44" ht="14.25" customFormat="1" customHeight="1" s="58" thickBot="1">
      <c r="E44" s="75" t="inlineStr">
        <is>
          <t>Rechnungsendbetrag</t>
        </is>
      </c>
      <c r="F44" s="76" t="n"/>
      <c r="G44" s="77" t="n"/>
      <c r="H44" s="216">
        <f>SUM(H42:H43)</f>
        <v/>
      </c>
      <c r="J44" s="211" t="n"/>
    </row>
    <row r="45" ht="5.25" customFormat="1" customHeight="1" s="58" thickTop="1">
      <c r="E45" s="79" t="n"/>
      <c r="F45" s="80" t="n"/>
      <c r="G45" s="81" t="n"/>
      <c r="H45" s="211" t="n"/>
      <c r="J45" s="211" t="n"/>
    </row>
    <row r="46" ht="15" customFormat="1" customHeight="1" s="58">
      <c r="A46" s="15" t="inlineStr">
        <is>
          <t>Bitte überweisen Sie den Betrag ohne Abzüge innerhalb von 14 Tagen auf das angegebene Konto.</t>
        </is>
      </c>
      <c r="B46" s="71" t="n"/>
      <c r="D46" s="81" t="n"/>
      <c r="E46" s="80" t="n"/>
      <c r="F46" s="62" t="n"/>
    </row>
    <row r="47" ht="13.5" customFormat="1" customHeight="1" s="58">
      <c r="D47" s="81" t="n"/>
      <c r="E47" s="80" t="n"/>
      <c r="F47" s="62" t="n"/>
    </row>
    <row r="48" ht="15" customFormat="1" customHeight="1" s="15">
      <c r="D48" s="90" t="n"/>
      <c r="E48" s="183" t="n"/>
      <c r="F48" s="90" t="n"/>
      <c r="G48" s="10" t="n"/>
    </row>
    <row r="49" ht="20.25" customHeight="1">
      <c r="B49" s="21" t="n"/>
    </row>
    <row r="51" ht="19.5" customHeight="1"/>
    <row r="52" ht="19.5" customHeight="1"/>
    <row r="53" ht="12.75" customFormat="1" customHeight="1" s="58">
      <c r="A53" s="147" t="inlineStr">
        <is>
          <t xml:space="preserve">Steuernummer: 012 801 35159    </t>
        </is>
      </c>
    </row>
    <row r="54" ht="13.5" customFormat="1" customHeight="1" s="58">
      <c r="C54" s="59" t="n"/>
      <c r="D54" s="60" t="n"/>
      <c r="E54" s="212" t="n"/>
      <c r="G54" s="213" t="n"/>
      <c r="H54" s="211" t="n"/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8">
      <c r="D58" s="6" t="n"/>
      <c r="E58" s="6" t="n"/>
      <c r="F58" s="6" t="n"/>
    </row>
  </sheetData>
  <mergeCells count="10">
    <mergeCell ref="F10:H10"/>
    <mergeCell ref="F11:H11"/>
    <mergeCell ref="A53:H53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 codeName="Tabelle49">
    <outlinePr summaryBelow="1" summaryRight="1"/>
    <pageSetUpPr/>
  </sheetPr>
  <dimension ref="A5:Q51"/>
  <sheetViews>
    <sheetView workbookViewId="0">
      <selection activeCell="L12" sqref="L12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44888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10113-2022-009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>
        <v>44780</v>
      </c>
      <c r="M22" s="93" t="n"/>
      <c r="N22" s="202" t="n">
        <v>6000</v>
      </c>
      <c r="O22" s="183" t="inlineStr">
        <is>
          <t>A</t>
        </is>
      </c>
      <c r="P22" s="20" t="n">
        <v>3</v>
      </c>
      <c r="Q22" s="193">
        <f>P22/10*355</f>
        <v/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inlineStr">
        <is>
          <t>Zusammenstellung von Daten für die Bauhaupterhebung</t>
        </is>
      </c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ROUND((1145000+83000)/100,)*100</f>
        <v/>
      </c>
      <c r="F24" s="159" t="inlineStr">
        <is>
          <t>C</t>
        </is>
      </c>
      <c r="G24" s="183" t="n">
        <v>6</v>
      </c>
      <c r="H24" s="193">
        <f>G24/10*993</f>
        <v/>
      </c>
      <c r="K24" s="94" t="inlineStr">
        <is>
          <t>des stat. Landesamtes 2022</t>
        </is>
      </c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07/2022 am</t>
        </is>
      </c>
      <c r="C25" s="117" t="n">
        <v>44700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G27/10*857</f>
        <v/>
      </c>
    </row>
    <row r="28" ht="15" customFormat="1" customHeight="1" s="15">
      <c r="B28" s="15" t="inlineStr">
        <is>
          <t>für 08/2022 am</t>
        </is>
      </c>
      <c r="C28" s="169" t="n">
        <v>44777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5.5</v>
      </c>
      <c r="H30" s="193">
        <f>G30/10*857</f>
        <v/>
      </c>
    </row>
    <row r="31" ht="15" customFormat="1" customHeight="1" s="15">
      <c r="B31" s="15" t="inlineStr">
        <is>
          <t>für 09/2022 am</t>
        </is>
      </c>
      <c r="C31" s="169">
        <f>+C28</f>
        <v/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F11:H11"/>
    <mergeCell ref="C31:D31"/>
    <mergeCell ref="G7:H7"/>
    <mergeCell ref="E7:F7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 codeName="Tabelle50">
    <outlinePr summaryBelow="1" summaryRight="1"/>
    <pageSetUpPr/>
  </sheetPr>
  <dimension ref="A3:S58"/>
  <sheetViews>
    <sheetView workbookViewId="0">
      <selection activeCell="N43" sqref="N43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n"/>
      <c r="N3" s="114" t="n"/>
      <c r="O3" s="60" t="n"/>
      <c r="P3" s="212" t="n"/>
      <c r="Q3" s="58" t="n"/>
      <c r="R3" s="213" t="n"/>
      <c r="S3" s="211" t="n"/>
    </row>
    <row r="4">
      <c r="M4" s="58" t="n"/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44945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10113-2023-001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100" t="n"/>
      <c r="F14" s="183" t="n"/>
      <c r="G14" s="183" t="n"/>
      <c r="H14" s="183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5" customFormat="1" customHeight="1" s="140">
      <c r="A18" s="140" t="inlineStr">
        <is>
          <t xml:space="preserve">Für die nachfolgend aufgeführten Leistungen erlaube ich mir nach der Steuerberatervergütungs- </t>
        </is>
      </c>
      <c r="B18" s="43" t="n"/>
      <c r="D18" s="52" t="n"/>
      <c r="E18" s="53" t="n"/>
      <c r="F18" s="47" t="n"/>
    </row>
    <row r="19" ht="15" customFormat="1" customHeight="1" s="140">
      <c r="A19" s="140" t="inlineStr">
        <is>
          <t>verordnung wie folgt abzurechnen:</t>
        </is>
      </c>
      <c r="B19" s="43" t="n"/>
      <c r="D19" s="52" t="n"/>
      <c r="E19" s="53" t="n"/>
      <c r="F19" s="47" t="n"/>
    </row>
    <row r="20" ht="4.5" customFormat="1" customHeight="1" s="140">
      <c r="D20" s="52" t="n"/>
      <c r="E20" s="52" t="n"/>
      <c r="F20" s="53" t="n"/>
      <c r="G20" s="52" t="n"/>
    </row>
    <row r="21" ht="15" customFormat="1" customHeight="1" s="140">
      <c r="A21" s="50" t="inlineStr">
        <is>
          <t>Leistung</t>
        </is>
      </c>
      <c r="B21" s="51" t="n"/>
      <c r="C21" s="50" t="n"/>
      <c r="D21" s="52" t="n"/>
      <c r="E21" s="52" t="inlineStr">
        <is>
          <t>Gegenstands-</t>
        </is>
      </c>
      <c r="F21" s="53" t="inlineStr">
        <is>
          <t>Tabelle</t>
        </is>
      </c>
      <c r="G21" s="52" t="inlineStr">
        <is>
          <t>Arbeit-</t>
        </is>
      </c>
      <c r="H21" s="53" t="inlineStr">
        <is>
          <t>Gebühr</t>
        </is>
      </c>
    </row>
    <row r="22" ht="15" customFormat="1" customHeight="1" s="140">
      <c r="A22" s="54" t="inlineStr">
        <is>
          <t>§§</t>
        </is>
      </c>
      <c r="B22" s="54" t="n"/>
      <c r="C22" s="181" t="inlineStr">
        <is>
          <t>am/in:</t>
        </is>
      </c>
      <c r="D22" s="55" t="n"/>
      <c r="E22" s="56" t="inlineStr">
        <is>
          <t>wert</t>
        </is>
      </c>
      <c r="F22" s="56" t="n"/>
      <c r="G22" s="57" t="inlineStr">
        <is>
          <t>nehmer</t>
        </is>
      </c>
      <c r="H22" s="181" t="n"/>
    </row>
    <row r="23" ht="13.5" customFormat="1" customHeight="1" s="58">
      <c r="A23" s="58" t="n">
        <v>34</v>
      </c>
      <c r="B23" s="58" t="inlineStr">
        <is>
          <t xml:space="preserve">Löhne/Gehälter 10/2022 </t>
        </is>
      </c>
      <c r="D23" s="60" t="n"/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44859</v>
      </c>
      <c r="D25" s="60" t="n"/>
      <c r="E25" s="212" t="n">
        <v>15</v>
      </c>
      <c r="G25" s="213" t="n">
        <v>12</v>
      </c>
      <c r="H25" s="211">
        <f>+G25*E25</f>
        <v/>
      </c>
    </row>
    <row r="26" ht="6.7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11/2022 </t>
        </is>
      </c>
      <c r="D27" s="60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44889</v>
      </c>
      <c r="D29" s="60" t="n"/>
      <c r="E29" s="212" t="n">
        <v>15</v>
      </c>
      <c r="G29" s="213" t="n">
        <v>12</v>
      </c>
      <c r="H29" s="211">
        <f>+G29*E29</f>
        <v/>
      </c>
    </row>
    <row r="30" ht="6.7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12/2022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44915</v>
      </c>
      <c r="D33" s="60" t="n"/>
      <c r="E33" s="212" t="n">
        <v>15</v>
      </c>
      <c r="G33" s="213" t="n">
        <v>12</v>
      </c>
      <c r="H33" s="211">
        <f>+G33*E33</f>
        <v/>
      </c>
    </row>
    <row r="34" ht="6.7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1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>- LFZ-Anträge M.Perikic, Boyciknov, Buzdugan,</t>
        </is>
      </c>
      <c r="C37" s="59" t="n"/>
      <c r="D37" s="60" t="n"/>
    </row>
    <row r="38" ht="13.5" customFormat="1" customHeight="1" s="58">
      <c r="B38" s="63" t="inlineStr">
        <is>
          <t xml:space="preserve">  Munteanu</t>
        </is>
      </c>
      <c r="C38" s="59" t="inlineStr">
        <is>
          <t>IV/2022</t>
        </is>
      </c>
      <c r="D38" s="60" t="n"/>
    </row>
    <row r="39" ht="6.75" customFormat="1" customHeight="1" s="58">
      <c r="B39" s="63" t="n"/>
      <c r="D39" s="60" t="n"/>
    </row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IV/2022</t>
        </is>
      </c>
      <c r="D41" s="60" t="n"/>
      <c r="E41" s="211">
        <f>SUM(H23:H34)*0.2</f>
        <v/>
      </c>
      <c r="G41" s="211" t="n"/>
      <c r="H41" s="211">
        <f>(G25+G29+G33)*1.3</f>
        <v/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B43" s="71" t="n"/>
      <c r="E43" s="58" t="inlineStr">
        <is>
          <t>Gesamt</t>
        </is>
      </c>
      <c r="F43" s="71" t="n"/>
      <c r="G43" s="81" t="n"/>
      <c r="H43" s="211">
        <f>SUM(H23:H42)</f>
        <v/>
      </c>
      <c r="J43" s="211" t="n"/>
    </row>
    <row r="44" ht="15" customFormat="1" customHeight="1" s="58">
      <c r="E44" s="100" t="inlineStr">
        <is>
          <t>Umsatzsteuer 19%</t>
        </is>
      </c>
      <c r="F44" s="199" t="n"/>
      <c r="G44" s="35" t="n"/>
      <c r="H44" s="193">
        <f>+H43*0.19</f>
        <v/>
      </c>
    </row>
    <row r="45" customFormat="1" s="58" thickBot="1">
      <c r="E45" s="37" t="inlineStr">
        <is>
          <t>Rechnungsbetrag</t>
        </is>
      </c>
      <c r="F45" s="200" t="n"/>
      <c r="G45" s="39" t="n"/>
      <c r="H45" s="201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5" customFormat="1" customHeight="1" s="15">
      <c r="D48" s="90" t="n"/>
      <c r="E48" s="183" t="n"/>
      <c r="F48" s="90" t="n"/>
      <c r="G48" s="10" t="n"/>
    </row>
    <row r="49" ht="15" customFormat="1" customHeight="1" s="15">
      <c r="D49" s="90" t="n"/>
      <c r="E49" s="183" t="n"/>
      <c r="F49" s="90" t="n"/>
      <c r="G49" s="10" t="n"/>
    </row>
    <row r="50" ht="20.25" customHeight="1">
      <c r="B50" s="21" t="n"/>
    </row>
    <row r="53" ht="13.5" customFormat="1" customHeight="1" s="58">
      <c r="A53" s="147" t="inlineStr">
        <is>
          <t xml:space="preserve">Steuernummer: 012 801 35159    </t>
        </is>
      </c>
    </row>
    <row r="54" ht="13.5" customFormat="1" customHeight="1" s="58">
      <c r="C54" s="59" t="n"/>
      <c r="D54" s="60" t="n"/>
      <c r="E54" s="212" t="n"/>
      <c r="G54" s="213" t="n"/>
      <c r="H54" s="211" t="n"/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8">
      <c r="D58" s="6" t="n"/>
      <c r="E58" s="6" t="n"/>
      <c r="F58" s="6" t="n"/>
    </row>
  </sheetData>
  <mergeCells count="10">
    <mergeCell ref="F10:H10"/>
    <mergeCell ref="F11:H11"/>
    <mergeCell ref="A53:H53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 codeName="Tabelle51">
    <outlinePr summaryBelow="1" summaryRight="1"/>
    <pageSetUpPr/>
  </sheetPr>
  <dimension ref="A3:S50"/>
  <sheetViews>
    <sheetView workbookViewId="0">
      <selection activeCell="G30" sqref="G3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n"/>
      <c r="N3" s="114" t="n"/>
      <c r="O3" s="60" t="n"/>
      <c r="P3" s="212" t="n"/>
      <c r="Q3" s="58" t="n"/>
      <c r="R3" s="213" t="n"/>
      <c r="S3" s="211" t="n"/>
    </row>
    <row r="4">
      <c r="M4" s="58" t="n"/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44998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5" t="inlineStr">
        <is>
          <t>Rg-Nr.:</t>
        </is>
      </c>
      <c r="G9" s="178" t="inlineStr">
        <is>
          <t>10113-2023-002</t>
        </is>
      </c>
      <c r="H9" s="188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141" t="inlineStr">
        <is>
          <t>Leistungsdatum:</t>
        </is>
      </c>
      <c r="F10" s="140" t="n"/>
      <c r="G10" s="217">
        <f>+G7</f>
        <v/>
      </c>
      <c r="H10" s="188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53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65" t="inlineStr">
        <is>
          <t>BIC:</t>
        </is>
      </c>
      <c r="F12" s="151" t="inlineStr">
        <is>
          <t>DEUTDEDBFRA</t>
        </is>
      </c>
      <c r="G12" s="189" t="n"/>
      <c r="H12" s="190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100" t="n"/>
      <c r="F14" s="183" t="n"/>
      <c r="G14" s="183" t="n"/>
      <c r="H14" s="183" t="n"/>
    </row>
    <row r="15" ht="15" customFormat="1" customHeight="1" s="140">
      <c r="D15" s="52" t="n"/>
      <c r="E15" s="100" t="n"/>
      <c r="F15" s="183" t="n"/>
      <c r="G15" s="183" t="n"/>
      <c r="H15" s="183" t="n"/>
    </row>
    <row r="16" ht="14.25" customFormat="1" customHeight="1" s="49">
      <c r="A16" s="170" t="inlineStr">
        <is>
          <t xml:space="preserve">Rechnung über Honorare </t>
        </is>
      </c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4.25" customFormat="1" customHeight="1" s="49">
      <c r="A18" s="170" t="n"/>
      <c r="B18" s="170" t="n"/>
      <c r="C18" s="170" t="n"/>
      <c r="D18" s="170" t="n"/>
      <c r="E18" s="170" t="n"/>
      <c r="F18" s="170" t="n"/>
      <c r="G18" s="170" t="n"/>
      <c r="H18" s="170" t="n"/>
    </row>
    <row r="19" ht="15" customFormat="1" customHeight="1" s="140">
      <c r="A19" s="140" t="inlineStr">
        <is>
          <t xml:space="preserve">Für die nachfolgend aufgeführten Leistungen erlaube ich mir nach der Steuerberatervergütungs- </t>
        </is>
      </c>
      <c r="B19" s="43" t="n"/>
      <c r="D19" s="52" t="n"/>
      <c r="E19" s="53" t="n"/>
      <c r="F19" s="47" t="n"/>
    </row>
    <row r="20" ht="15" customFormat="1" customHeight="1" s="140">
      <c r="A20" s="140" t="inlineStr">
        <is>
          <t>verordnung wie folgt abzurechnen:</t>
        </is>
      </c>
      <c r="B20" s="43" t="n"/>
      <c r="D20" s="52" t="n"/>
      <c r="E20" s="53" t="n"/>
      <c r="F20" s="47" t="n"/>
    </row>
    <row r="21" ht="4.5" customFormat="1" customHeight="1" s="140">
      <c r="D21" s="52" t="n"/>
      <c r="E21" s="52" t="n"/>
      <c r="F21" s="53" t="n"/>
      <c r="G21" s="52" t="n"/>
    </row>
    <row r="22" ht="15" customFormat="1" customHeight="1" s="140">
      <c r="A22" s="50" t="inlineStr">
        <is>
          <t>Leistung</t>
        </is>
      </c>
      <c r="B22" s="51" t="n"/>
      <c r="C22" s="50" t="n"/>
      <c r="D22" s="52" t="n"/>
      <c r="E22" s="52" t="inlineStr">
        <is>
          <t>Gegenstands-</t>
        </is>
      </c>
      <c r="F22" s="53" t="inlineStr">
        <is>
          <t>Tabelle</t>
        </is>
      </c>
      <c r="G22" s="52" t="inlineStr">
        <is>
          <t>Arbeit-</t>
        </is>
      </c>
      <c r="H22" s="53" t="inlineStr">
        <is>
          <t>Gebühr</t>
        </is>
      </c>
    </row>
    <row r="23" ht="15" customFormat="1" customHeight="1" s="140">
      <c r="A23" s="54" t="inlineStr">
        <is>
          <t>§§</t>
        </is>
      </c>
      <c r="B23" s="54" t="n"/>
      <c r="C23" s="181" t="inlineStr">
        <is>
          <t>am/in:</t>
        </is>
      </c>
      <c r="D23" s="55" t="n"/>
      <c r="E23" s="56" t="inlineStr">
        <is>
          <t>wert</t>
        </is>
      </c>
      <c r="F23" s="56" t="n"/>
      <c r="G23" s="57" t="inlineStr">
        <is>
          <t>nehmer</t>
        </is>
      </c>
      <c r="H23" s="181" t="n"/>
    </row>
    <row r="24" ht="15" customFormat="1" customHeight="1" s="119">
      <c r="A24" s="15" t="n">
        <v>29</v>
      </c>
      <c r="B24" s="15" t="inlineStr">
        <is>
          <t>Teilnahme an der Prüfung der DRV für</t>
        </is>
      </c>
      <c r="C24" s="169" t="n"/>
      <c r="D24" s="93" t="n"/>
      <c r="E24" s="191" t="n">
        <v>120</v>
      </c>
      <c r="F24" s="15" t="inlineStr">
        <is>
          <t>Zeitgeb.</t>
        </is>
      </c>
      <c r="G24" s="192" t="n">
        <v>3.5</v>
      </c>
      <c r="H24" s="193">
        <f>+G24*E24</f>
        <v/>
      </c>
    </row>
    <row r="25" ht="15" customFormat="1" customHeight="1" s="119">
      <c r="A25" s="15" t="n"/>
      <c r="B25" s="108" t="inlineStr">
        <is>
          <t>2019-2022</t>
        </is>
      </c>
      <c r="C25" s="169" t="n"/>
      <c r="D25" s="93" t="n"/>
      <c r="E25" s="15" t="n"/>
      <c r="F25" s="15" t="n"/>
      <c r="G25" s="15" t="n"/>
      <c r="H25" s="15" t="n"/>
    </row>
    <row r="26" ht="15" customFormat="1" customHeight="1" s="119">
      <c r="A26" s="15" t="n"/>
      <c r="B26" s="108" t="inlineStr">
        <is>
          <t xml:space="preserve"> - Vorbereitung der Prüfung und Zusammen-</t>
        </is>
      </c>
      <c r="C26" s="169" t="n"/>
      <c r="D26" s="93" t="n"/>
      <c r="E26" s="194" t="n"/>
      <c r="F26" s="15" t="n"/>
      <c r="G26" s="195" t="n"/>
      <c r="H26" s="193" t="n"/>
    </row>
    <row r="27" ht="15" customFormat="1" customHeight="1" s="119">
      <c r="A27" s="15" t="n"/>
      <c r="B27" s="15" t="inlineStr">
        <is>
          <t xml:space="preserve">   stellung von Unterlagen vom 09.01.-06.02.2023</t>
        </is>
      </c>
      <c r="C27" s="169" t="n"/>
      <c r="D27" s="93" t="n"/>
      <c r="E27" s="194" t="n"/>
      <c r="F27" s="15" t="n"/>
      <c r="G27" s="195" t="n"/>
      <c r="H27" s="193" t="n"/>
    </row>
    <row r="28" ht="15" customFormat="1" customHeight="1" s="119">
      <c r="A28" s="15" t="n"/>
      <c r="B28" s="15" t="inlineStr">
        <is>
          <t xml:space="preserve"> - Beantwortung der Prüfunganfragen am 09.02.2023</t>
        </is>
      </c>
      <c r="C28" s="15" t="n"/>
      <c r="D28" s="90" t="n"/>
      <c r="E28" s="183" t="n"/>
      <c r="F28" s="10" t="n"/>
      <c r="G28" s="15" t="n"/>
      <c r="H28" s="15" t="n"/>
    </row>
    <row r="29" ht="15" customFormat="1" customHeight="1" s="119">
      <c r="A29" s="15" t="n"/>
      <c r="B29" s="15" t="inlineStr">
        <is>
          <t xml:space="preserve"> - Abschluß der Prüfung durch Prüfung der Prüfberichte</t>
        </is>
      </c>
      <c r="C29" s="15" t="n"/>
      <c r="D29" s="90" t="n"/>
      <c r="E29" s="183" t="n"/>
      <c r="F29" s="10" t="n"/>
      <c r="G29" s="15" t="n"/>
      <c r="H29" s="15" t="n"/>
    </row>
    <row r="30" ht="15" customFormat="1" customHeight="1" s="119">
      <c r="A30" s="120" t="n"/>
      <c r="B30" s="15" t="inlineStr">
        <is>
          <t xml:space="preserve">   am 13.03.2023</t>
        </is>
      </c>
      <c r="C30" s="121" t="n"/>
      <c r="D30" s="122" t="n"/>
      <c r="E30" s="218" t="n"/>
      <c r="G30" s="219" t="n"/>
      <c r="H30" s="220" t="n"/>
    </row>
    <row r="31" ht="13.5" customFormat="1" customHeight="1" s="119">
      <c r="A31" s="120" t="n"/>
      <c r="C31" s="121" t="n"/>
      <c r="D31" s="122" t="n"/>
      <c r="E31" s="218" t="n"/>
      <c r="G31" s="219" t="n"/>
      <c r="H31" s="220" t="n"/>
    </row>
    <row r="32" ht="15" customFormat="1" customHeight="1" s="15">
      <c r="A32" s="15" t="n">
        <v>16</v>
      </c>
      <c r="B32" s="15" t="inlineStr">
        <is>
          <t xml:space="preserve">Auslagenersatz für Post- und </t>
        </is>
      </c>
      <c r="D32" s="93" t="n"/>
      <c r="E32" s="194" t="n"/>
      <c r="G32" s="195" t="n"/>
      <c r="H32" s="193" t="n"/>
    </row>
    <row r="33" ht="15" customFormat="1" customHeight="1" s="15">
      <c r="B33" s="15" t="inlineStr">
        <is>
          <t>Telekommunikation</t>
        </is>
      </c>
      <c r="C33" s="169" t="n"/>
      <c r="D33" s="93" t="n"/>
      <c r="E33" s="193" t="n"/>
      <c r="G33" s="193" t="n"/>
      <c r="H33" s="193" t="n">
        <v>10</v>
      </c>
    </row>
    <row r="34" ht="7.5" customFormat="1" customHeight="1" s="119">
      <c r="C34" s="122" t="n"/>
      <c r="D34" s="122" t="n"/>
      <c r="E34" s="221" t="n"/>
      <c r="F34" s="127" t="n"/>
      <c r="G34" s="128" t="n"/>
      <c r="H34" s="222" t="n"/>
    </row>
    <row r="35" ht="13.5" customFormat="1" customHeight="1" s="119">
      <c r="A35" s="130" t="n"/>
      <c r="B35" s="130" t="n"/>
      <c r="E35" s="119" t="inlineStr">
        <is>
          <t>Gesamt</t>
        </is>
      </c>
      <c r="F35" s="130" t="n"/>
      <c r="G35" s="131" t="n"/>
      <c r="H35" s="220">
        <f>SUM(H24:H33)</f>
        <v/>
      </c>
      <c r="J35" s="220" t="n"/>
    </row>
    <row r="36" ht="13.5" customFormat="1" customHeight="1" s="119">
      <c r="E36" s="132" t="inlineStr">
        <is>
          <t>USt 19%</t>
        </is>
      </c>
      <c r="F36" s="130" t="n"/>
      <c r="G36" s="131" t="n"/>
      <c r="H36" s="220">
        <f>+H35*0.19</f>
        <v/>
      </c>
    </row>
    <row r="37" ht="14.25" customFormat="1" customHeight="1" s="119" thickBot="1">
      <c r="E37" s="133" t="inlineStr">
        <is>
          <t>Rechnungsendbetrag</t>
        </is>
      </c>
      <c r="F37" s="134" t="n"/>
      <c r="G37" s="135" t="n"/>
      <c r="H37" s="223">
        <f>SUM(H35:H36)</f>
        <v/>
      </c>
      <c r="J37" s="220" t="n"/>
    </row>
    <row r="38" ht="9" customFormat="1" customHeight="1" s="119" thickTop="1">
      <c r="E38" s="137" t="n"/>
      <c r="F38" s="138" t="n"/>
      <c r="G38" s="131" t="n"/>
      <c r="H38" s="220" t="n"/>
      <c r="J38" s="220" t="n"/>
    </row>
    <row r="39" ht="13.5" customFormat="1" customHeight="1" s="119">
      <c r="A39" s="119" t="inlineStr">
        <is>
          <t>Bitte überweisen Sie die Summe ohne Abzüge innerhalb von 14 Tagen auf das unten angegebene</t>
        </is>
      </c>
      <c r="B39" s="130" t="n"/>
      <c r="D39" s="131" t="n"/>
      <c r="E39" s="138" t="n"/>
      <c r="F39" s="139" t="n"/>
    </row>
    <row r="40" ht="13.5" customFormat="1" customHeight="1" s="119">
      <c r="A40" s="119" t="inlineStr">
        <is>
          <t>Bankkonto.</t>
        </is>
      </c>
      <c r="D40" s="131" t="n"/>
      <c r="E40" s="138" t="n"/>
      <c r="F40" s="139" t="n"/>
    </row>
    <row r="42" ht="13.5" customFormat="1" customHeight="1" s="58"/>
    <row r="43" ht="13.5" customFormat="1" customHeight="1" s="58">
      <c r="C43" s="59" t="n"/>
      <c r="D43" s="60" t="n"/>
      <c r="E43" s="212" t="n"/>
      <c r="G43" s="213" t="n"/>
      <c r="H43" s="211" t="n"/>
    </row>
    <row r="44" ht="13.5" customFormat="1" customHeight="1" s="58">
      <c r="C44" s="59" t="n"/>
      <c r="D44" s="60" t="n"/>
      <c r="E44" s="212" t="n"/>
      <c r="G44" s="213" t="n"/>
      <c r="H44" s="211" t="n"/>
    </row>
    <row r="46">
      <c r="B46" s="14" t="n"/>
      <c r="D46" s="6" t="n"/>
      <c r="E46" s="6" t="n"/>
      <c r="F46" s="6" t="n"/>
    </row>
    <row r="50">
      <c r="A50" s="147" t="inlineStr">
        <is>
          <t xml:space="preserve">Steuernummer: 012 801 35159    </t>
        </is>
      </c>
    </row>
  </sheetData>
  <mergeCells count="11">
    <mergeCell ref="A50:H50"/>
    <mergeCell ref="F11:H11"/>
    <mergeCell ref="G7:H7"/>
    <mergeCell ref="E7:F7"/>
    <mergeCell ref="G10:H10"/>
    <mergeCell ref="A16:H16"/>
    <mergeCell ref="F12:H12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 codeName="Tabelle52">
    <outlinePr summaryBelow="1" summaryRight="1"/>
    <pageSetUpPr/>
  </sheetPr>
  <dimension ref="A5:Q51"/>
  <sheetViews>
    <sheetView workbookViewId="0">
      <selection activeCell="F30" sqref="F3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45007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10113-2023-003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1420500</v>
      </c>
      <c r="F24" s="159" t="inlineStr">
        <is>
          <t>C</t>
        </is>
      </c>
      <c r="G24" s="183" t="n">
        <v>5.5</v>
      </c>
      <c r="H24" s="193">
        <f>G24/10*1129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10/2022 am</t>
        </is>
      </c>
      <c r="C25" s="117" t="n">
        <v>44994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G27/10*1129</f>
        <v/>
      </c>
    </row>
    <row r="28" ht="15" customFormat="1" customHeight="1" s="15">
      <c r="B28" s="15" t="inlineStr">
        <is>
          <t>für 11/2022 am</t>
        </is>
      </c>
      <c r="C28" s="169" t="n">
        <v>44967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5.5</v>
      </c>
      <c r="H30" s="193">
        <f>G30/10*1129</f>
        <v/>
      </c>
    </row>
    <row r="31" ht="15" customFormat="1" customHeight="1" s="15">
      <c r="B31" s="15" t="inlineStr">
        <is>
          <t>für 12/2022 am</t>
        </is>
      </c>
      <c r="C31" s="169" t="n">
        <v>44965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G9:H9"/>
    <mergeCell ref="G7:H7"/>
    <mergeCell ref="E7:F7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 codeName="Tabelle53">
    <outlinePr summaryBelow="1" summaryRight="1"/>
    <pageSetUpPr/>
  </sheetPr>
  <dimension ref="A5:R59"/>
  <sheetViews>
    <sheetView workbookViewId="0">
      <selection activeCell="H46" sqref="H46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45069</v>
      </c>
      <c r="H7" s="187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10113-2023-004</t>
        </is>
      </c>
      <c r="H9" s="190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8.25" customHeight="1"/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01/2023 </t>
        </is>
      </c>
      <c r="D22" s="60" t="n"/>
    </row>
    <row r="23" ht="13.5" customFormat="1" customHeight="1" s="58">
      <c r="B23" s="63" t="inlineStr">
        <is>
          <t xml:space="preserve"> - Einrichten von Lohnkonten /</t>
        </is>
      </c>
      <c r="C23" s="114" t="inlineStr">
        <is>
          <t>01/2023</t>
        </is>
      </c>
      <c r="D23" s="60" t="n"/>
      <c r="E23" s="212" t="n">
        <v>15</v>
      </c>
      <c r="G23" s="213" t="n">
        <v>1</v>
      </c>
      <c r="H23" s="211">
        <f>+G23*E23</f>
        <v/>
      </c>
    </row>
    <row r="24" ht="13.5" customFormat="1" customHeight="1" s="58">
      <c r="B24" s="58" t="inlineStr">
        <is>
          <t xml:space="preserve">   Sofortmeldung (Onesim)</t>
        </is>
      </c>
      <c r="D24" s="60" t="n"/>
      <c r="E24" s="212" t="n"/>
      <c r="G24" s="213" t="n"/>
      <c r="H24" s="211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44951</v>
      </c>
      <c r="D26" s="60" t="n"/>
      <c r="E26" s="212" t="n">
        <v>15</v>
      </c>
      <c r="G26" s="213" t="n">
        <v>13</v>
      </c>
      <c r="H26" s="211">
        <f>+G26*E26</f>
        <v/>
      </c>
    </row>
    <row r="27" ht="5.2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02/2023 </t>
        </is>
      </c>
      <c r="D28" s="60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44979</v>
      </c>
      <c r="D30" s="60" t="n"/>
      <c r="E30" s="212" t="n">
        <v>15</v>
      </c>
      <c r="G30" s="213" t="n">
        <v>13</v>
      </c>
      <c r="H30" s="211">
        <f>+G30*E30</f>
        <v/>
      </c>
    </row>
    <row r="31" ht="5.2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03/2023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45007</v>
      </c>
      <c r="D34" s="60" t="n"/>
      <c r="E34" s="212" t="n">
        <v>15</v>
      </c>
      <c r="G34" s="213" t="n">
        <v>11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5" customFormat="1" customHeight="1" s="58">
      <c r="A36" s="58" t="n">
        <v>34</v>
      </c>
      <c r="B36" s="58" t="inlineStr">
        <is>
          <t>Hilfeleistung bei sonstigen Tätigkeiten im Zusammen-</t>
        </is>
      </c>
      <c r="C36" s="59" t="n"/>
      <c r="D36" s="60" t="n"/>
      <c r="I36" s="140" t="n"/>
    </row>
    <row r="37" ht="15" customFormat="1" customHeight="1" s="58">
      <c r="B37" s="58" t="inlineStr">
        <is>
          <t>hang mit dem Lohnsteuerabzug/der Lohnbuchführung</t>
        </is>
      </c>
      <c r="C37" s="59" t="n"/>
      <c r="D37" s="60" t="n"/>
      <c r="E37" s="212" t="n"/>
      <c r="G37" s="213" t="n"/>
      <c r="H37" s="211" t="n"/>
      <c r="I37" s="140" t="n"/>
    </row>
    <row r="38" ht="15" customFormat="1" customHeight="1" s="58">
      <c r="B38" s="63" t="inlineStr">
        <is>
          <t>KUG-Anträge 01-02/2023</t>
        </is>
      </c>
      <c r="C38" s="59" t="inlineStr">
        <is>
          <t>I/2023</t>
        </is>
      </c>
      <c r="D38" s="60" t="n"/>
      <c r="E38" s="209" t="n">
        <v>80</v>
      </c>
      <c r="F38" s="58" t="inlineStr">
        <is>
          <t>Zeitgeb.</t>
        </is>
      </c>
      <c r="G38" s="210" t="n">
        <v>2</v>
      </c>
      <c r="H38" s="211">
        <f>+G38*E38</f>
        <v/>
      </c>
      <c r="I38" s="140" t="n"/>
    </row>
    <row r="39" ht="15" customFormat="1" customHeight="1" s="58">
      <c r="B39" s="63" t="inlineStr">
        <is>
          <t>Beantwortung von Rückfragen des BAA im Rahmen</t>
        </is>
      </c>
      <c r="C39" s="59" t="n"/>
      <c r="D39" s="60" t="n"/>
      <c r="I39" s="140" t="n"/>
    </row>
    <row r="40" ht="15" customFormat="1" customHeight="1" s="58">
      <c r="B40" s="58" t="inlineStr">
        <is>
          <t>der Prüfng der KUG-Anträge 2022</t>
        </is>
      </c>
      <c r="C40" s="142" t="n">
        <v>45002</v>
      </c>
      <c r="D40" s="60" t="n"/>
      <c r="E40" s="209" t="n">
        <v>100</v>
      </c>
      <c r="F40" s="58" t="inlineStr">
        <is>
          <t>Zeitgeb.</t>
        </is>
      </c>
      <c r="G40" s="210" t="n">
        <v>3.5</v>
      </c>
      <c r="H40" s="211">
        <f>+G40*E40</f>
        <v/>
      </c>
      <c r="I40" s="140" t="n"/>
    </row>
    <row r="41" ht="3" customFormat="1" customHeight="1" s="58">
      <c r="C41" s="59" t="n"/>
      <c r="D41" s="60" t="n"/>
    </row>
    <row r="42" ht="13.5" customFormat="1" customHeight="1" s="58">
      <c r="A42" s="58" t="n">
        <v>16</v>
      </c>
      <c r="B42" s="58" t="inlineStr">
        <is>
          <t xml:space="preserve">Auslagenersatz für Post- und </t>
        </is>
      </c>
      <c r="C42" s="59" t="n"/>
      <c r="D42" s="60" t="n"/>
      <c r="E42" s="212" t="n"/>
      <c r="G42" s="213" t="n"/>
      <c r="H42" s="211" t="n"/>
    </row>
    <row r="43" ht="13.5" customFormat="1" customHeight="1" s="58">
      <c r="B43" s="58" t="inlineStr">
        <is>
          <t>Telekommunikation</t>
        </is>
      </c>
      <c r="C43" s="59" t="inlineStr">
        <is>
          <t>I/2023</t>
        </is>
      </c>
      <c r="D43" s="60" t="n"/>
      <c r="E43" s="211">
        <f>SUM(H22:H35)*0.2</f>
        <v/>
      </c>
      <c r="G43" s="211" t="n"/>
      <c r="H43" s="211" t="n">
        <v>60</v>
      </c>
    </row>
    <row r="44" ht="6.75" customFormat="1" customHeight="1" s="58">
      <c r="C44" s="60" t="n"/>
      <c r="D44" s="60" t="n"/>
      <c r="E44" s="214" t="n"/>
      <c r="F44" s="68" t="n"/>
      <c r="G44" s="69" t="n"/>
      <c r="H44" s="215" t="n"/>
    </row>
    <row r="45" ht="13.5" customFormat="1" customHeight="1" s="58">
      <c r="A45" s="71" t="n"/>
      <c r="B45" s="71" t="n"/>
      <c r="E45" s="58" t="inlineStr">
        <is>
          <t>Gesamt</t>
        </is>
      </c>
      <c r="F45" s="71" t="n"/>
      <c r="G45" s="81" t="n"/>
      <c r="H45" s="211">
        <f>SUM(H22:H44)</f>
        <v/>
      </c>
      <c r="J45" s="211" t="n"/>
      <c r="L45" s="211" t="n"/>
    </row>
    <row r="46" ht="13.5" customFormat="1" customHeight="1" s="58">
      <c r="E46" s="74" t="inlineStr">
        <is>
          <t>USt 19%</t>
        </is>
      </c>
      <c r="F46" s="71" t="n"/>
      <c r="G46" s="81" t="n"/>
      <c r="H46" s="211">
        <f>+H45*0.19</f>
        <v/>
      </c>
    </row>
    <row r="47" ht="14.25" customFormat="1" customHeight="1" s="58" thickBot="1">
      <c r="E47" s="75" t="inlineStr">
        <is>
          <t>Rechnungsendbetrag</t>
        </is>
      </c>
      <c r="F47" s="76" t="n"/>
      <c r="G47" s="77" t="n"/>
      <c r="H47" s="216">
        <f>SUM(H45:H46)</f>
        <v/>
      </c>
      <c r="J47" s="211" t="n"/>
    </row>
    <row r="48" ht="5.25" customFormat="1" customHeight="1" s="58" thickTop="1">
      <c r="E48" s="79" t="n"/>
      <c r="F48" s="80" t="n"/>
      <c r="G48" s="81" t="n"/>
      <c r="H48" s="211" t="n"/>
      <c r="J48" s="211" t="n"/>
    </row>
    <row r="49" ht="15" customFormat="1" customHeight="1" s="58">
      <c r="A49" s="15" t="inlineStr">
        <is>
          <t>Bitte überweisen Sie den Betrag ohne Abzüge innerhalb von 14 Tagen auf das angegebene Konto.</t>
        </is>
      </c>
      <c r="B49" s="71" t="n"/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D51" s="90" t="n"/>
      <c r="E51" s="183" t="n"/>
      <c r="F51" s="90" t="n"/>
      <c r="G51" s="10" t="n"/>
    </row>
    <row r="52" ht="19.5" customFormat="1" customHeight="1" s="15">
      <c r="B52" s="21" t="n"/>
      <c r="D52" s="90" t="n"/>
      <c r="E52" s="183" t="n"/>
      <c r="F52" s="90" t="n"/>
      <c r="G52" s="10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 codeName="Tabelle54">
    <outlinePr summaryBelow="1" summaryRight="1"/>
    <pageSetUpPr/>
  </sheetPr>
  <dimension ref="A5:J51"/>
  <sheetViews>
    <sheetView workbookViewId="0">
      <selection activeCell="G28" sqref="G2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45069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10113-2023-005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1370000</v>
      </c>
      <c r="F24" s="159" t="inlineStr">
        <is>
          <t>C</t>
        </is>
      </c>
      <c r="G24" s="183" t="n">
        <v>4</v>
      </c>
      <c r="H24" s="193">
        <f>G24/10*1095</f>
        <v/>
      </c>
    </row>
    <row r="25" ht="15" customFormat="1" customHeight="1" s="15">
      <c r="B25" s="15" t="inlineStr">
        <is>
          <t>für 01/2023 am</t>
        </is>
      </c>
      <c r="C25" s="169" t="n">
        <v>44993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4.25</v>
      </c>
      <c r="H27" s="193">
        <f>G27/10*1095</f>
        <v/>
      </c>
    </row>
    <row r="28" ht="15" customFormat="1" customHeight="1" s="15">
      <c r="B28" s="15" t="inlineStr">
        <is>
          <t>für 02/2023 am</t>
        </is>
      </c>
      <c r="C28" s="169" t="n">
        <v>45024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4.5</v>
      </c>
      <c r="H30" s="193">
        <f>G30/10*1095</f>
        <v/>
      </c>
    </row>
    <row r="31" ht="15" customFormat="1" customHeight="1" s="15">
      <c r="B31" s="15" t="inlineStr">
        <is>
          <t>für 03/2023 am</t>
        </is>
      </c>
      <c r="C31" s="169" t="n">
        <v>45055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6.75" customFormat="1" customHeight="1" s="15">
      <c r="C33" s="93" t="n"/>
      <c r="D33" s="93" t="n"/>
      <c r="E33" s="206" t="n"/>
      <c r="F33" s="150" t="n"/>
      <c r="G33" s="207" t="n"/>
      <c r="H33" s="208" t="n"/>
    </row>
    <row r="34" ht="15" customFormat="1" customHeight="1" s="15">
      <c r="A34" s="13" t="n"/>
      <c r="B34" s="13" t="n"/>
      <c r="E34" s="15" t="inlineStr">
        <is>
          <t>Gesamt</t>
        </is>
      </c>
      <c r="F34" s="99" t="n"/>
      <c r="G34" s="90" t="n"/>
      <c r="H34" s="193">
        <f>SUM(H24:H33)</f>
        <v/>
      </c>
      <c r="J34" s="193" t="n"/>
    </row>
    <row r="35" ht="15" customFormat="1" customHeight="1" s="15">
      <c r="E35" s="100" t="inlineStr">
        <is>
          <t>USt 19%</t>
        </is>
      </c>
      <c r="F35" s="99" t="n"/>
      <c r="G35" s="90" t="n"/>
      <c r="H35" s="193">
        <f>+H34*0.19</f>
        <v/>
      </c>
    </row>
    <row r="36" customFormat="1" s="15" thickBot="1">
      <c r="E36" s="101" t="inlineStr">
        <is>
          <t>Rechnungsendbetrag</t>
        </is>
      </c>
      <c r="F36" s="102" t="n"/>
      <c r="G36" s="103" t="n"/>
      <c r="H36" s="201">
        <f>SUM(H34:H35)</f>
        <v/>
      </c>
      <c r="J36" s="193" t="n"/>
    </row>
    <row r="37" ht="6.75" customFormat="1" customHeight="1" s="15" thickTop="1">
      <c r="E37" s="104" t="n"/>
      <c r="F37" s="183" t="n"/>
      <c r="G37" s="90" t="n"/>
      <c r="H37" s="193" t="n"/>
    </row>
    <row r="38" ht="15" customFormat="1" customHeight="1" s="15">
      <c r="A38" s="15" t="inlineStr">
        <is>
          <t>Bitte überweisen Sie den Betrag ohne Abzüge innerhalb von 14 Tagen auf das angegebene Konto.</t>
        </is>
      </c>
      <c r="B38" s="13" t="n"/>
      <c r="D38" s="90" t="n"/>
      <c r="E38" s="183" t="n"/>
      <c r="F38" s="10" t="n"/>
    </row>
    <row r="39" ht="15" customFormat="1" customHeight="1" s="15">
      <c r="D39" s="90" t="n"/>
      <c r="E39" s="183" t="n"/>
      <c r="F39" s="10" t="n"/>
    </row>
    <row r="40" ht="15" customFormat="1" customHeight="1" s="15">
      <c r="D40" s="90" t="n"/>
      <c r="E40" s="183" t="n"/>
      <c r="F40" s="90" t="n"/>
      <c r="G40" s="10" t="n"/>
    </row>
    <row r="41" ht="15" customFormat="1" customHeight="1" s="15">
      <c r="D41" s="90" t="n"/>
      <c r="E41" s="183" t="n"/>
      <c r="F41" s="90" t="n"/>
      <c r="G41" s="10" t="n"/>
    </row>
    <row r="42" ht="15" customFormat="1" customHeight="1" s="15">
      <c r="D42" s="90" t="n"/>
      <c r="E42" s="183" t="n"/>
      <c r="F42" s="90" t="n"/>
      <c r="G42" s="10" t="n"/>
    </row>
    <row r="43" ht="15" customFormat="1" customHeight="1" s="15">
      <c r="B43" s="21" t="n"/>
      <c r="D43" s="90" t="n"/>
      <c r="E43" s="183" t="n"/>
      <c r="F43" s="90" t="n"/>
      <c r="G43" s="10" t="n"/>
    </row>
    <row r="44" ht="15" customFormat="1" customHeight="1" s="15"/>
    <row r="45" ht="15" customFormat="1" customHeight="1" s="15">
      <c r="D45" s="90" t="n"/>
      <c r="E45" s="183" t="n"/>
      <c r="F45" s="10" t="n"/>
    </row>
    <row r="46" ht="15" customFormat="1" customHeight="1" s="15">
      <c r="D46" s="90" t="n"/>
      <c r="E46" s="183" t="n"/>
      <c r="F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3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2:V59"/>
  <sheetViews>
    <sheetView workbookViewId="0">
      <selection activeCell="G5" sqref="G5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2">
      <c r="L2" s="63" t="n"/>
      <c r="M2" s="59" t="n"/>
      <c r="N2" s="60" t="n"/>
      <c r="O2" s="212" t="n"/>
      <c r="P2" s="58" t="n"/>
      <c r="Q2" s="213" t="n"/>
      <c r="R2" s="211" t="n"/>
    </row>
    <row r="3">
      <c r="L3" s="58" t="n"/>
      <c r="M3" s="59" t="n"/>
      <c r="N3" s="60" t="n"/>
      <c r="O3" s="212" t="n"/>
      <c r="P3" s="58" t="n"/>
      <c r="Q3" s="213" t="n"/>
      <c r="R3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45204</v>
      </c>
      <c r="H7" s="187" t="n"/>
      <c r="L7" s="63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L8" s="63" t="n"/>
    </row>
    <row r="9" ht="15" customFormat="1" customHeight="1" s="140">
      <c r="B9" s="43" t="n"/>
      <c r="D9" s="52" t="n"/>
      <c r="E9" s="175" t="inlineStr">
        <is>
          <t>Rg-Nr.:</t>
        </is>
      </c>
      <c r="G9" s="178" t="inlineStr">
        <is>
          <t>10113-2023-006</t>
        </is>
      </c>
      <c r="H9" s="188" t="n"/>
      <c r="K9" s="58" t="n"/>
      <c r="L9" s="58" t="n"/>
      <c r="M9" s="59" t="n"/>
      <c r="N9" s="60" t="n"/>
      <c r="O9" s="209" t="n"/>
      <c r="P9" s="58" t="n"/>
      <c r="Q9" s="210" t="n"/>
      <c r="R9" s="211" t="n"/>
      <c r="S9" s="58" t="n"/>
      <c r="T9" s="58" t="n"/>
      <c r="U9" s="58" t="n"/>
      <c r="V9" s="58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116" t="inlineStr">
        <is>
          <t>Leistungsdatum:</t>
        </is>
      </c>
      <c r="F10" s="54" t="n"/>
      <c r="G10" s="182" t="inlineStr">
        <is>
          <t>siehe Einzelposition</t>
        </is>
      </c>
      <c r="H10" s="190" t="n"/>
      <c r="K10" s="58" t="n"/>
      <c r="L10" s="58" t="n"/>
      <c r="M10" s="59" t="n"/>
      <c r="N10" s="60" t="n"/>
      <c r="O10" s="212" t="n"/>
      <c r="P10" s="58" t="n"/>
      <c r="Q10" s="213" t="n"/>
      <c r="R10" s="211" t="n"/>
      <c r="S10" s="58" t="n"/>
      <c r="T10" s="58" t="n"/>
      <c r="U10" s="58" t="n"/>
      <c r="V10" s="58" t="n"/>
    </row>
    <row r="11" ht="15" customFormat="1" customHeight="1" s="140">
      <c r="D11" s="52" t="n"/>
      <c r="E11" s="88" t="inlineStr">
        <is>
          <t xml:space="preserve">IBAN: </t>
        </is>
      </c>
      <c r="F11" s="184" t="inlineStr">
        <is>
          <t>DE 13 50070024 0 4092862 00</t>
        </is>
      </c>
      <c r="H11" s="188" t="n"/>
      <c r="K11" s="58" t="n"/>
      <c r="L11" s="63" t="n"/>
      <c r="M11" s="59" t="n"/>
      <c r="N11" s="60" t="n"/>
      <c r="O11" s="58" t="n"/>
      <c r="P11" s="58" t="n"/>
      <c r="Q11" s="58" t="n"/>
      <c r="R11" s="58" t="n"/>
      <c r="S11" s="58" t="n"/>
      <c r="T11" s="58" t="n"/>
      <c r="U11" s="58" t="n"/>
      <c r="V11" s="58" t="n"/>
    </row>
    <row r="12" ht="15" customFormat="1" customHeight="1" s="140">
      <c r="D12" s="52" t="n"/>
      <c r="E12" s="165" t="inlineStr">
        <is>
          <t>BIC:</t>
        </is>
      </c>
      <c r="F12" s="150" t="inlineStr">
        <is>
          <t>DEUTDEDBFRA</t>
        </is>
      </c>
      <c r="G12" s="150" t="n"/>
      <c r="H12" s="151" t="n"/>
      <c r="K12" s="58" t="n"/>
      <c r="L12" s="63" t="n"/>
      <c r="M12" s="59" t="n"/>
      <c r="N12" s="60" t="n"/>
      <c r="O12" s="209" t="n"/>
      <c r="P12" s="58" t="n"/>
      <c r="Q12" s="210" t="n"/>
      <c r="R12" s="211" t="n"/>
      <c r="S12" s="58" t="n"/>
      <c r="T12" s="58" t="n"/>
      <c r="U12" s="58" t="n"/>
      <c r="V12" s="58" t="n"/>
    </row>
    <row r="13" ht="15" customFormat="1" customHeight="1" s="140">
      <c r="D13" s="52" t="n"/>
      <c r="E13" s="53" t="n"/>
      <c r="F13" s="47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</row>
    <row r="14" ht="15" customFormat="1" customHeight="1" s="140">
      <c r="D14" s="52" t="n"/>
      <c r="E14" s="53" t="n"/>
      <c r="F14" s="47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</row>
    <row r="15" ht="14.25" customFormat="1" customHeight="1" s="49">
      <c r="A15" s="170" t="inlineStr">
        <is>
          <t xml:space="preserve">Rechnung über Honorare </t>
        </is>
      </c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04/2023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45040</v>
      </c>
      <c r="D24" s="60" t="n"/>
      <c r="E24" s="212" t="n">
        <v>15</v>
      </c>
      <c r="G24" s="213" t="n">
        <v>11</v>
      </c>
      <c r="H24" s="211">
        <f>+G24*E24</f>
        <v/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05/2023 </t>
        </is>
      </c>
      <c r="D26" s="60" t="n"/>
    </row>
    <row r="27" ht="13.5" customFormat="1" customHeight="1" s="58">
      <c r="B27" s="63" t="inlineStr">
        <is>
          <t xml:space="preserve"> - Einrichten von Lohnkonten (Badanu, </t>
        </is>
      </c>
      <c r="D27" s="60" t="n"/>
      <c r="E27" s="212" t="n">
        <v>15</v>
      </c>
      <c r="G27" s="213" t="n">
        <v>2</v>
      </c>
      <c r="H27" s="211">
        <f>+G27*E27</f>
        <v/>
      </c>
    </row>
    <row r="28" ht="13.5" customFormat="1" customHeight="1" s="58">
      <c r="B28" s="63" t="inlineStr">
        <is>
          <t xml:space="preserve">   Borza)</t>
        </is>
      </c>
      <c r="C28" s="114" t="inlineStr">
        <is>
          <t>05/2023</t>
        </is>
      </c>
      <c r="D28" s="60" t="n"/>
      <c r="E28" s="212" t="n"/>
      <c r="G28" s="213" t="n"/>
      <c r="H28" s="211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45069</v>
      </c>
      <c r="D30" s="60" t="n"/>
      <c r="E30" s="212" t="n">
        <v>15</v>
      </c>
      <c r="G30" s="213" t="n">
        <v>13</v>
      </c>
      <c r="H30" s="211">
        <f>+G30*E30</f>
        <v/>
      </c>
    </row>
    <row r="31" ht="5.2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06/2023 </t>
        </is>
      </c>
      <c r="D32" s="60" t="n"/>
    </row>
    <row r="33" ht="13.5" customFormat="1" customHeight="1" s="58">
      <c r="B33" s="63" t="inlineStr">
        <is>
          <t xml:space="preserve"> - Einrichten von Lohnkonten (Zaet)</t>
        </is>
      </c>
      <c r="C33" s="143" t="inlineStr">
        <is>
          <t>06/2023</t>
        </is>
      </c>
      <c r="D33" s="60" t="n"/>
      <c r="E33" s="212" t="n">
        <v>15</v>
      </c>
      <c r="G33" s="213" t="n">
        <v>2</v>
      </c>
      <c r="H33" s="211">
        <f>+G33*E33</f>
        <v/>
      </c>
    </row>
    <row r="34" ht="13.5" customFormat="1" customHeight="1" s="58">
      <c r="B34" s="63" t="inlineStr">
        <is>
          <t xml:space="preserve"> - Lohnabrechnungen inkl. </t>
        </is>
      </c>
      <c r="C34" s="59" t="n"/>
      <c r="D34" s="60" t="n"/>
    </row>
    <row r="35" ht="13.5" customFormat="1" customHeight="1" s="58">
      <c r="B35" s="58" t="inlineStr">
        <is>
          <t xml:space="preserve">   Sozialvers.-meldungen</t>
        </is>
      </c>
      <c r="C35" s="59" t="n">
        <v>45106</v>
      </c>
      <c r="D35" s="60" t="n"/>
      <c r="E35" s="212" t="n">
        <v>15</v>
      </c>
      <c r="G35" s="213" t="n">
        <v>13</v>
      </c>
      <c r="H35" s="211">
        <f>+G35*E35</f>
        <v/>
      </c>
    </row>
    <row r="36" ht="5.25" customFormat="1" customHeight="1" s="58">
      <c r="C36" s="59" t="n"/>
      <c r="D36" s="60" t="n"/>
      <c r="E36" s="212" t="n"/>
      <c r="G36" s="213" t="n"/>
      <c r="H36" s="211" t="n"/>
    </row>
    <row r="37" ht="13.5" customFormat="1" customHeight="1" s="58"/>
    <row r="38" ht="13.5" customFormat="1" customHeight="1" s="58"/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II/2023</t>
        </is>
      </c>
      <c r="D41" s="60" t="n"/>
      <c r="E41" s="211">
        <f>SUM(H22:H36)*0.2</f>
        <v/>
      </c>
      <c r="G41" s="211" t="n"/>
      <c r="H41" s="211" t="n">
        <v>60</v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4" ht="12" customFormat="1" customHeight="1" s="58"/>
    <row r="55" ht="13.5" customFormat="1" customHeight="1" s="58">
      <c r="A55" s="147" t="inlineStr">
        <is>
          <t xml:space="preserve">Steuernummer: 012 801 35159  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1:H11"/>
    <mergeCell ref="A55:H55"/>
    <mergeCell ref="A15:H15"/>
    <mergeCell ref="G7:H7"/>
    <mergeCell ref="E7:F7"/>
    <mergeCell ref="G10:H10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5:S57"/>
  <sheetViews>
    <sheetView topLeftCell="A19" zoomScale="130" zoomScaleNormal="130" workbookViewId="0">
      <selection activeCell="A34" sqref="A34:IV34"/>
    </sheetView>
  </sheetViews>
  <sheetFormatPr baseColWidth="10" defaultColWidth="11.5703125" defaultRowHeight="15.75"/>
  <cols>
    <col width="3.5703125" customWidth="1" style="6" min="1" max="1"/>
    <col width="31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45204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60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64" t="inlineStr">
        <is>
          <t>10113-2023-007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4.25" customFormat="1" customHeight="1" s="49">
      <c r="A18" s="170" t="n"/>
      <c r="B18" s="170" t="n"/>
      <c r="C18" s="170" t="n"/>
      <c r="D18" s="170" t="n"/>
      <c r="E18" s="170" t="n"/>
      <c r="F18" s="170" t="n"/>
      <c r="G18" s="170" t="n"/>
      <c r="H18" s="170" t="n"/>
      <c r="K18" s="58" t="n"/>
    </row>
    <row r="19" ht="15" customFormat="1" customHeight="1" s="140">
      <c r="A19" s="140" t="inlineStr">
        <is>
          <t xml:space="preserve">Für die nachfolgend aufgeführten Leistungen erlaube ich mir nach der Steuerberatervergütungs- </t>
        </is>
      </c>
      <c r="B19" s="43" t="n"/>
      <c r="D19" s="52" t="n"/>
      <c r="E19" s="53" t="n"/>
      <c r="F19" s="47" t="n"/>
      <c r="K19" s="58" t="n"/>
    </row>
    <row r="20" ht="15" customFormat="1" customHeight="1" s="140">
      <c r="A20" s="140" t="inlineStr">
        <is>
          <t>verordnung wie folgt abzurechnen:</t>
        </is>
      </c>
      <c r="B20" s="43" t="n"/>
      <c r="D20" s="52" t="n"/>
      <c r="E20" s="53" t="n"/>
      <c r="F20" s="47" t="n"/>
    </row>
    <row r="21" ht="4.5" customFormat="1" customHeight="1" s="140">
      <c r="D21" s="52" t="n"/>
      <c r="E21" s="52" t="n"/>
      <c r="F21" s="53" t="n"/>
      <c r="G21" s="52" t="n"/>
    </row>
    <row r="22" ht="15" customFormat="1" customHeight="1" s="140">
      <c r="A22" s="50" t="inlineStr">
        <is>
          <t>Leistung</t>
        </is>
      </c>
      <c r="B22" s="51" t="n"/>
      <c r="C22" s="50" t="n"/>
      <c r="D22" s="52" t="n"/>
      <c r="E22" s="52" t="inlineStr">
        <is>
          <t>Gegenstands-</t>
        </is>
      </c>
      <c r="F22" s="53" t="inlineStr">
        <is>
          <t>Tabelle</t>
        </is>
      </c>
      <c r="G22" s="52" t="inlineStr">
        <is>
          <t>Arbeit-</t>
        </is>
      </c>
      <c r="H22" s="53" t="inlineStr">
        <is>
          <t>Gebühr</t>
        </is>
      </c>
    </row>
    <row r="23" ht="15" customFormat="1" customHeight="1" s="140">
      <c r="A23" s="54" t="inlineStr">
        <is>
          <t>§§</t>
        </is>
      </c>
      <c r="B23" s="54" t="n"/>
      <c r="C23" s="181" t="inlineStr">
        <is>
          <t>am/in:</t>
        </is>
      </c>
      <c r="D23" s="55" t="n"/>
      <c r="E23" s="56" t="inlineStr">
        <is>
          <t>wert</t>
        </is>
      </c>
      <c r="F23" s="56" t="n"/>
      <c r="G23" s="57" t="inlineStr">
        <is>
          <t>nehmer</t>
        </is>
      </c>
      <c r="H23" s="181" t="n"/>
    </row>
    <row r="24" ht="13.5" customFormat="1" customHeight="1" s="58">
      <c r="A24" s="58" t="n">
        <v>34</v>
      </c>
      <c r="B24" s="58" t="inlineStr">
        <is>
          <t xml:space="preserve">Löhne/Gehälter 07/2023 </t>
        </is>
      </c>
      <c r="D24" s="60" t="n"/>
    </row>
    <row r="25" ht="13.5" customFormat="1" customHeight="1" s="58">
      <c r="B25" s="63" t="inlineStr">
        <is>
          <t xml:space="preserve"> - Einrichten von Lohnkonten (Bostan)</t>
        </is>
      </c>
      <c r="C25" s="143" t="inlineStr">
        <is>
          <t>07/2023</t>
        </is>
      </c>
      <c r="D25" s="60" t="n"/>
      <c r="E25" s="212" t="n">
        <v>15</v>
      </c>
      <c r="G25" s="213" t="n">
        <v>1</v>
      </c>
      <c r="H25" s="211">
        <f>+G25*E25</f>
        <v/>
      </c>
    </row>
    <row r="26" ht="13.5" customFormat="1" customHeight="1" s="58">
      <c r="B26" s="63" t="inlineStr">
        <is>
          <t xml:space="preserve"> - Lohnabrechnungen inkl. </t>
        </is>
      </c>
      <c r="C26" s="59" t="n"/>
      <c r="D26" s="60" t="n"/>
    </row>
    <row r="27" ht="13.5" customFormat="1" customHeight="1" s="58">
      <c r="B27" s="58" t="inlineStr">
        <is>
          <t xml:space="preserve">   Sozialvers.-meldungen</t>
        </is>
      </c>
      <c r="C27" s="59" t="n">
        <v>45128</v>
      </c>
      <c r="D27" s="60" t="n"/>
      <c r="E27" s="212" t="n">
        <v>15</v>
      </c>
      <c r="G27" s="213" t="n">
        <v>14</v>
      </c>
      <c r="H27" s="211">
        <f>+G27*E27</f>
        <v/>
      </c>
    </row>
    <row r="28" ht="3" customFormat="1" customHeight="1" s="58">
      <c r="C28" s="59" t="n"/>
      <c r="D28" s="60" t="n"/>
      <c r="E28" s="212" t="n"/>
      <c r="G28" s="213" t="n"/>
      <c r="H28" s="211" t="n"/>
    </row>
    <row r="29" ht="13.5" customFormat="1" customHeight="1" s="58">
      <c r="A29" s="58" t="n">
        <v>34</v>
      </c>
      <c r="B29" s="58" t="inlineStr">
        <is>
          <t xml:space="preserve">Löhne/Gehälter 08/2023 </t>
        </is>
      </c>
      <c r="D29" s="60" t="n"/>
    </row>
    <row r="30" ht="13.5" customFormat="1" customHeight="1" s="58">
      <c r="B30" s="63" t="inlineStr">
        <is>
          <t xml:space="preserve"> - Lohnabrechnungen inkl. </t>
        </is>
      </c>
      <c r="C30" s="59" t="n"/>
      <c r="D30" s="60" t="n"/>
      <c r="N30" s="59" t="n"/>
      <c r="O30" s="60" t="n"/>
      <c r="P30" s="212" t="n"/>
      <c r="R30" s="213" t="n"/>
      <c r="S30" s="211" t="n"/>
    </row>
    <row r="31" ht="13.5" customFormat="1" customHeight="1" s="58">
      <c r="B31" s="58" t="inlineStr">
        <is>
          <t xml:space="preserve">   Sozialvers.-meldungen</t>
        </is>
      </c>
      <c r="C31" s="59" t="n">
        <v>45163</v>
      </c>
      <c r="D31" s="60" t="n"/>
      <c r="E31" s="212" t="n">
        <v>15</v>
      </c>
      <c r="G31" s="213" t="n">
        <v>12</v>
      </c>
      <c r="H31" s="211">
        <f>+G31*E31</f>
        <v/>
      </c>
      <c r="M31" s="63" t="n"/>
      <c r="N31" s="59" t="n"/>
      <c r="O31" s="60" t="n"/>
    </row>
    <row r="32" ht="5.25" customFormat="1" customHeight="1" s="58">
      <c r="C32" s="59" t="n"/>
      <c r="D32" s="60" t="n"/>
      <c r="E32" s="212" t="n"/>
      <c r="G32" s="213" t="n"/>
      <c r="H32" s="211" t="n"/>
      <c r="M32" s="63" t="n"/>
      <c r="N32" s="59" t="n"/>
      <c r="O32" s="60" t="n"/>
    </row>
    <row r="33" ht="13.5" customFormat="1" customHeight="1" s="58">
      <c r="A33" s="58" t="n">
        <v>34</v>
      </c>
      <c r="B33" s="58" t="inlineStr">
        <is>
          <t xml:space="preserve">Löhne/Gehälter 09/2023 </t>
        </is>
      </c>
      <c r="D33" s="60" t="n"/>
    </row>
    <row r="34" ht="13.5" customFormat="1" customHeight="1" s="58">
      <c r="B34" s="63" t="inlineStr">
        <is>
          <t xml:space="preserve"> - Einrichten von Lohnkonten (Muzet)</t>
        </is>
      </c>
      <c r="C34" s="114" t="inlineStr">
        <is>
          <t>09/2023</t>
        </is>
      </c>
      <c r="D34" s="60" t="n"/>
      <c r="E34" s="212" t="n">
        <v>9</v>
      </c>
      <c r="G34" s="213" t="n">
        <v>1</v>
      </c>
      <c r="H34" s="211">
        <f>+G34*E34</f>
        <v/>
      </c>
    </row>
    <row r="35" ht="13.5" customFormat="1" customHeight="1" s="58">
      <c r="B35" s="63" t="inlineStr">
        <is>
          <t xml:space="preserve"> - Lohnabrechnungen inkl. </t>
        </is>
      </c>
      <c r="C35" s="59" t="n"/>
      <c r="D35" s="60" t="n"/>
    </row>
    <row r="36" ht="13.5" customFormat="1" customHeight="1" s="58">
      <c r="B36" s="58" t="inlineStr">
        <is>
          <t xml:space="preserve">   Sozialvers.-meldungen</t>
        </is>
      </c>
      <c r="C36" s="59" t="n">
        <v>45191</v>
      </c>
      <c r="D36" s="60" t="n"/>
      <c r="E36" s="212" t="n">
        <v>15</v>
      </c>
      <c r="G36" s="213" t="n">
        <v>13</v>
      </c>
      <c r="H36" s="211">
        <f>+G36*E36</f>
        <v/>
      </c>
    </row>
    <row r="37" ht="5.25" customFormat="1" customHeight="1" s="58">
      <c r="C37" s="59" t="n"/>
      <c r="D37" s="60" t="n"/>
      <c r="E37" s="212" t="n"/>
      <c r="G37" s="213" t="n"/>
      <c r="H37" s="211" t="n"/>
    </row>
    <row r="38" ht="13.5" customFormat="1" customHeight="1" s="58">
      <c r="A38" s="58" t="n">
        <v>16</v>
      </c>
      <c r="B38" s="58" t="inlineStr">
        <is>
          <t xml:space="preserve">Auslagenersatz für Post- und </t>
        </is>
      </c>
      <c r="C38" s="59" t="n"/>
      <c r="D38" s="60" t="n"/>
      <c r="E38" s="212" t="n"/>
      <c r="G38" s="213" t="n"/>
      <c r="H38" s="211" t="n"/>
    </row>
    <row r="39" ht="13.5" customFormat="1" customHeight="1" s="58">
      <c r="B39" s="58" t="inlineStr">
        <is>
          <t>Telekommunikation</t>
        </is>
      </c>
      <c r="C39" s="59" t="inlineStr">
        <is>
          <t>III/2023</t>
        </is>
      </c>
      <c r="D39" s="60" t="n"/>
      <c r="E39" s="211">
        <f>SUM(H24:H37)*0.2</f>
        <v/>
      </c>
      <c r="G39" s="211" t="n"/>
      <c r="H39" s="211">
        <f>(G27+G31+G36)*1.3</f>
        <v/>
      </c>
    </row>
    <row r="40" ht="6.75" customFormat="1" customHeight="1" s="58">
      <c r="C40" s="60" t="n"/>
      <c r="D40" s="60" t="n"/>
      <c r="E40" s="214" t="n"/>
      <c r="F40" s="68" t="n"/>
      <c r="G40" s="69" t="n"/>
      <c r="H40" s="215" t="n"/>
    </row>
    <row r="41" ht="13.5" customFormat="1" customHeight="1" s="58">
      <c r="A41" s="71" t="n"/>
      <c r="B41" s="71" t="n"/>
      <c r="E41" s="58" t="inlineStr">
        <is>
          <t>Gesamt</t>
        </is>
      </c>
      <c r="F41" s="71" t="n"/>
      <c r="G41" s="81" t="n"/>
      <c r="H41" s="211">
        <f>SUM(H24:H40)</f>
        <v/>
      </c>
      <c r="J41" s="211" t="n"/>
    </row>
    <row r="42" ht="13.5" customFormat="1" customHeight="1" s="58">
      <c r="E42" s="74" t="inlineStr">
        <is>
          <t>USt 19%</t>
        </is>
      </c>
      <c r="F42" s="71" t="n"/>
      <c r="G42" s="81" t="n"/>
      <c r="H42" s="211">
        <f>+H41*19%</f>
        <v/>
      </c>
    </row>
    <row r="43" ht="14.25" customFormat="1" customHeight="1" s="58" thickBot="1">
      <c r="E43" s="75" t="inlineStr">
        <is>
          <t>Rechnungsendbetrag</t>
        </is>
      </c>
      <c r="F43" s="76" t="n"/>
      <c r="G43" s="77" t="n"/>
      <c r="H43" s="216">
        <f>SUM(H41:H42)</f>
        <v/>
      </c>
      <c r="J43" s="211" t="n"/>
    </row>
    <row r="44" ht="5.25" customFormat="1" customHeight="1" s="58" thickTop="1">
      <c r="E44" s="79" t="n"/>
      <c r="F44" s="80" t="n"/>
      <c r="G44" s="81" t="n"/>
      <c r="H44" s="211" t="n"/>
      <c r="J44" s="211" t="n"/>
    </row>
    <row r="45" ht="15" customFormat="1" customHeight="1" s="58">
      <c r="A45" s="15" t="inlineStr">
        <is>
          <t>Bitte überweisen Sie den Betrag ohne Abzüge innerhalb von 14 Tagen auf das angegebene Konto.</t>
        </is>
      </c>
      <c r="B45" s="71" t="n"/>
      <c r="D45" s="81" t="n"/>
      <c r="E45" s="80" t="n"/>
      <c r="F45" s="62" t="n"/>
    </row>
    <row r="46" ht="13.5" customFormat="1" customHeight="1" s="58">
      <c r="D46" s="81" t="n"/>
      <c r="E46" s="80" t="n"/>
      <c r="F46" s="62" t="n"/>
    </row>
    <row r="47" ht="15" customFormat="1" customHeight="1" s="15">
      <c r="D47" s="90" t="n"/>
      <c r="E47" s="183" t="n"/>
      <c r="F47" s="90" t="n"/>
      <c r="G47" s="10" t="n"/>
    </row>
    <row r="48" ht="20.25" customHeight="1">
      <c r="B48" s="21" t="n"/>
    </row>
    <row r="50" ht="19.5" customHeight="1"/>
    <row r="51" ht="19.5" customHeight="1"/>
    <row r="52" ht="12.75" customFormat="1" customHeight="1" s="58"/>
    <row r="53" ht="13.5" customFormat="1" customHeight="1" s="58">
      <c r="A53" s="147" t="inlineStr">
        <is>
          <t xml:space="preserve">Steuernummer: 012 801 35159    </t>
        </is>
      </c>
    </row>
    <row r="54" ht="13.5" customFormat="1" customHeight="1" s="58">
      <c r="C54" s="59" t="n"/>
      <c r="D54" s="60" t="n"/>
      <c r="E54" s="212" t="n"/>
      <c r="G54" s="213" t="n"/>
      <c r="H54" s="211" t="n"/>
    </row>
    <row r="55" ht="13.5" customFormat="1" customHeight="1" s="58">
      <c r="C55" s="59" t="n"/>
      <c r="D55" s="60" t="n"/>
      <c r="E55" s="212" t="n"/>
      <c r="G55" s="213" t="n"/>
      <c r="H55" s="211" t="n"/>
    </row>
    <row r="57">
      <c r="D57" s="6" t="n"/>
      <c r="E57" s="6" t="n"/>
      <c r="F57" s="6" t="n"/>
    </row>
  </sheetData>
  <mergeCells count="10">
    <mergeCell ref="F10:H10"/>
    <mergeCell ref="F11:H11"/>
    <mergeCell ref="A53:H53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G31" sqref="G3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45204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10113-2023-008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>
        <v>45145</v>
      </c>
      <c r="M22" s="93" t="n"/>
      <c r="N22" s="202" t="n">
        <v>6000</v>
      </c>
      <c r="O22" s="183" t="inlineStr">
        <is>
          <t>A</t>
        </is>
      </c>
      <c r="P22" s="20" t="n">
        <v>3</v>
      </c>
      <c r="Q22" s="193">
        <f>P22/10*355</f>
        <v/>
      </c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inlineStr">
        <is>
          <t>Zusammenstellung von Daten für die Bauhaupterhebung</t>
        </is>
      </c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ROUND((1145000+83000)/100,)*100</f>
        <v/>
      </c>
      <c r="F24" s="159" t="inlineStr">
        <is>
          <t>C</t>
        </is>
      </c>
      <c r="G24" s="183" t="n">
        <v>6</v>
      </c>
      <c r="H24" s="193">
        <f>G24/10*993</f>
        <v/>
      </c>
      <c r="K24" s="94" t="inlineStr">
        <is>
          <t>des stat. Landesamtes 2023</t>
        </is>
      </c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04/2023 am</t>
        </is>
      </c>
      <c r="C25" s="169" t="n">
        <v>45079</v>
      </c>
      <c r="D25" s="159" t="n"/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G27/10*857</f>
        <v/>
      </c>
    </row>
    <row r="28" ht="15" customFormat="1" customHeight="1" s="15">
      <c r="B28" s="15" t="inlineStr">
        <is>
          <t>für 05/2023 am</t>
        </is>
      </c>
      <c r="C28" s="169" t="n">
        <v>45106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6</v>
      </c>
      <c r="H30" s="193">
        <f>G30/10*857</f>
        <v/>
      </c>
    </row>
    <row r="31" ht="15" customFormat="1" customHeight="1" s="15">
      <c r="B31" s="15" t="inlineStr">
        <is>
          <t>für 06/2023 am</t>
        </is>
      </c>
      <c r="C31" s="169" t="n">
        <v>45142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G9:H9"/>
    <mergeCell ref="G7:H7"/>
    <mergeCell ref="E7:F7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G30" sqref="G3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45272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10113-2023-009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>
        <v>45145</v>
      </c>
      <c r="M22" s="93" t="n"/>
      <c r="N22" s="202" t="n">
        <v>6000</v>
      </c>
      <c r="O22" s="183" t="inlineStr">
        <is>
          <t>A</t>
        </is>
      </c>
      <c r="P22" s="20" t="n">
        <v>3</v>
      </c>
      <c r="Q22" s="193">
        <f>P22/10*355</f>
        <v/>
      </c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inlineStr">
        <is>
          <t>Zusammenstellung von Daten für die Bauhaupterhebung</t>
        </is>
      </c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ROUND((1145000+83000)/100,)*100</f>
        <v/>
      </c>
      <c r="F24" s="159" t="inlineStr">
        <is>
          <t>C</t>
        </is>
      </c>
      <c r="G24" s="183" t="n">
        <v>6</v>
      </c>
      <c r="H24" s="193">
        <f>G24/10*993</f>
        <v/>
      </c>
      <c r="K24" s="94" t="inlineStr">
        <is>
          <t>des stat. Landesamtes 2023</t>
        </is>
      </c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07/2023 am</t>
        </is>
      </c>
      <c r="C25" s="169" t="n">
        <v>45174</v>
      </c>
      <c r="D25" s="159" t="n"/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4.75</v>
      </c>
      <c r="H27" s="193">
        <f>G27/10*857</f>
        <v/>
      </c>
    </row>
    <row r="28" ht="15" customFormat="1" customHeight="1" s="15">
      <c r="B28" s="15" t="inlineStr">
        <is>
          <t>für 08/2023 am</t>
        </is>
      </c>
      <c r="C28" s="144" t="n">
        <v>45205</v>
      </c>
      <c r="D28" s="144" t="n"/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5</v>
      </c>
      <c r="H30" s="193">
        <f>G30/10*857</f>
        <v/>
      </c>
    </row>
    <row r="31" ht="15" customFormat="1" customHeight="1" s="15">
      <c r="B31" s="15" t="inlineStr">
        <is>
          <t>für 09/2023 am</t>
        </is>
      </c>
      <c r="C31" s="169" t="n">
        <v>45237</v>
      </c>
      <c r="D31" s="169" t="n"/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0">
    <mergeCell ref="F10:H10"/>
    <mergeCell ref="F11:H11"/>
    <mergeCell ref="G7:H7"/>
    <mergeCell ref="E7:F7"/>
    <mergeCell ref="A16:H16"/>
    <mergeCell ref="A51:H51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5:R52"/>
  <sheetViews>
    <sheetView topLeftCell="A19" workbookViewId="0">
      <selection activeCell="F11" sqref="F11:H1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9"/>
    <col width="14.140625" customWidth="1" style="6" min="10" max="11"/>
    <col width="13.140625" bestFit="1" customWidth="1" style="6" min="12" max="12"/>
    <col width="11.5703125" customWidth="1" style="6" min="13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45272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10113-2023-010</t>
        </is>
      </c>
      <c r="H9" s="188" t="n"/>
      <c r="K9" s="15" t="n">
        <v>27</v>
      </c>
      <c r="L9" s="15" t="inlineStr">
        <is>
          <t>Prüfung der Bescheide zur Körperschaftsteuer,</t>
        </is>
      </c>
      <c r="M9" s="159" t="n"/>
      <c r="O9" s="203" t="n">
        <v>80</v>
      </c>
      <c r="P9" s="183" t="inlineStr">
        <is>
          <t>Zeitgeb.</t>
        </is>
      </c>
      <c r="Q9" s="204" t="n">
        <v>0.5</v>
      </c>
      <c r="R9" s="193">
        <f>+Q9*O9</f>
        <v/>
      </c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</f>
        <v/>
      </c>
      <c r="H10" s="190" t="n"/>
      <c r="L10" s="15" t="inlineStr">
        <is>
          <t xml:space="preserve">zum Gewerbesteuermeßbetrag und zur Feststellung </t>
        </is>
      </c>
      <c r="M10" s="159" t="n"/>
      <c r="O10" s="202" t="n"/>
      <c r="P10" s="183" t="n"/>
      <c r="Q10" s="20" t="n"/>
      <c r="R10" s="193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L11" s="15" t="inlineStr">
        <is>
          <t>körperschaftsteuerlicher Bemessungsgrundlagen 2016</t>
        </is>
      </c>
      <c r="M11" s="159" t="n"/>
      <c r="O11" s="202" t="n"/>
      <c r="P11" s="183" t="n"/>
      <c r="Q11" s="20" t="n"/>
      <c r="R11" s="193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  <c r="K12" s="15" t="n"/>
      <c r="L12" s="15" t="inlineStr">
        <is>
          <t>am 06.09.2017</t>
        </is>
      </c>
      <c r="M12" s="159" t="n"/>
      <c r="N12" s="15" t="n"/>
      <c r="O12" s="202" t="n"/>
      <c r="P12" s="183" t="n"/>
      <c r="Q12" s="20" t="n"/>
      <c r="R12" s="193" t="n"/>
    </row>
    <row r="17" ht="14.25" customFormat="1" customHeight="1" s="12">
      <c r="A17" s="152" t="inlineStr">
        <is>
          <t xml:space="preserve">Rechnung über Honorare </t>
        </is>
      </c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4.25" customFormat="1" customHeight="1" s="12">
      <c r="A19" s="152" t="n"/>
      <c r="B19" s="152" t="n"/>
      <c r="C19" s="152" t="n"/>
      <c r="D19" s="152" t="n"/>
      <c r="E19" s="152" t="n"/>
      <c r="F19" s="152" t="n"/>
      <c r="G19" s="152" t="n"/>
      <c r="H19" s="152" t="n"/>
    </row>
    <row r="20" ht="15" customFormat="1" customHeight="1" s="15">
      <c r="A20" s="15" t="inlineStr">
        <is>
          <t xml:space="preserve">Für die nachfolgend aufgeführten Leistungen erlaube ich mir nach der Steuerberatervergütungs- </t>
        </is>
      </c>
      <c r="B20" s="13" t="n"/>
      <c r="D20" s="90" t="n"/>
      <c r="E20" s="183" t="n"/>
      <c r="F20" s="90" t="n"/>
      <c r="G20" s="18" t="n"/>
    </row>
    <row r="21" ht="15" customFormat="1" customHeight="1" s="15">
      <c r="A21" s="15" t="inlineStr">
        <is>
          <t>verordnung wie folgt abzurechnen:</t>
        </is>
      </c>
      <c r="B21" s="13" t="n"/>
      <c r="D21" s="90" t="n"/>
      <c r="E21" s="183" t="n"/>
      <c r="F21" s="90" t="n"/>
      <c r="G21" s="18" t="n"/>
    </row>
    <row r="22" ht="9" customFormat="1" customHeight="1" s="15">
      <c r="D22" s="90" t="n"/>
      <c r="E22" s="183" t="n"/>
      <c r="F22" s="10" t="n"/>
      <c r="G22" s="18" t="n"/>
      <c r="J22" s="202" t="n"/>
      <c r="K22" s="202" t="n"/>
      <c r="L22" s="202" t="n"/>
      <c r="M22" s="202" t="n"/>
      <c r="N22" s="202" t="n"/>
      <c r="O22" s="202" t="n"/>
    </row>
    <row r="23" ht="15" customFormat="1" customHeight="1" s="15">
      <c r="A23" s="17" t="inlineStr">
        <is>
          <t>Leistung</t>
        </is>
      </c>
      <c r="B23" s="19" t="n"/>
      <c r="C23" s="17" t="n"/>
      <c r="D23" s="90" t="n"/>
      <c r="E23" s="90" t="inlineStr">
        <is>
          <t>Gegenstands-</t>
        </is>
      </c>
      <c r="F23" s="183" t="inlineStr">
        <is>
          <t>Tabelle</t>
        </is>
      </c>
      <c r="G23" s="20" t="inlineStr">
        <is>
          <t>Geb.-</t>
        </is>
      </c>
      <c r="H23" s="183" t="inlineStr">
        <is>
          <t>Gebühr</t>
        </is>
      </c>
      <c r="J23" s="202" t="n"/>
      <c r="K23" s="202" t="n"/>
      <c r="L23" s="202" t="n"/>
      <c r="M23" s="202" t="n"/>
      <c r="N23" s="202" t="n"/>
      <c r="O23" s="202" t="n"/>
    </row>
    <row r="24" ht="15" customFormat="1" customHeight="1" s="15">
      <c r="A24" s="21" t="inlineStr">
        <is>
          <t>§§</t>
        </is>
      </c>
      <c r="B24" s="21" t="n"/>
      <c r="C24" s="21" t="n"/>
      <c r="D24" s="22" t="n"/>
      <c r="E24" s="22" t="inlineStr">
        <is>
          <t xml:space="preserve"> wert</t>
        </is>
      </c>
      <c r="F24" s="150" t="n"/>
      <c r="G24" s="24" t="inlineStr">
        <is>
          <t>satz</t>
        </is>
      </c>
      <c r="H24" s="25" t="n"/>
      <c r="J24" s="202" t="n"/>
      <c r="K24" s="202" t="n"/>
      <c r="L24" s="202" t="n"/>
      <c r="M24" s="202" t="n"/>
      <c r="N24" s="202" t="n"/>
      <c r="O24" s="202" t="n"/>
    </row>
    <row r="25" ht="16.5" customFormat="1" customHeight="1" s="15">
      <c r="A25" s="15" t="n">
        <v>35</v>
      </c>
      <c r="B25" s="15" t="inlineStr">
        <is>
          <t>Jahresabschluß</t>
        </is>
      </c>
      <c r="C25" s="159" t="n">
        <v>2022</v>
      </c>
      <c r="E25" s="202">
        <f>+(J25+K25)/2</f>
        <v/>
      </c>
      <c r="F25" s="183" t="inlineStr">
        <is>
          <t>B</t>
        </is>
      </c>
      <c r="G25" s="20" t="n">
        <v>30</v>
      </c>
      <c r="H25" s="193">
        <f>G25/10*991</f>
        <v/>
      </c>
      <c r="J25" s="202" t="n">
        <v>364101.77</v>
      </c>
      <c r="K25" s="202" t="n">
        <v>1348461.59</v>
      </c>
      <c r="L25" s="202" t="n"/>
      <c r="M25" s="202" t="n"/>
      <c r="N25" s="202" t="n"/>
      <c r="O25" s="202" t="n"/>
    </row>
    <row r="26" ht="5.25" customFormat="1" customHeight="1" s="15">
      <c r="C26" s="159" t="n"/>
      <c r="E26" s="202" t="n"/>
      <c r="F26" s="183" t="n"/>
      <c r="G26" s="20" t="n"/>
      <c r="H26" s="193" t="n"/>
      <c r="J26" s="202" t="n"/>
      <c r="K26" s="202" t="n"/>
      <c r="L26" s="202" t="n"/>
      <c r="M26" s="202" t="n"/>
      <c r="N26" s="202" t="n"/>
      <c r="O26" s="202" t="n"/>
    </row>
    <row r="27" ht="16.5" customFormat="1" customHeight="1" s="15">
      <c r="A27" s="15" t="n">
        <v>35</v>
      </c>
      <c r="B27" s="15" t="inlineStr">
        <is>
          <t>Steuerbilanz und -GuV</t>
        </is>
      </c>
      <c r="C27" s="159">
        <f>+C25</f>
        <v/>
      </c>
      <c r="E27" s="202">
        <f>+(J27+K27)/2</f>
        <v/>
      </c>
      <c r="F27" s="183" t="inlineStr">
        <is>
          <t>B</t>
        </is>
      </c>
      <c r="G27" s="20" t="n">
        <v>7</v>
      </c>
      <c r="H27" s="193">
        <f>G27/10*991</f>
        <v/>
      </c>
      <c r="J27" s="202" t="n">
        <v>330141.77</v>
      </c>
      <c r="K27" s="202">
        <f>+K25</f>
        <v/>
      </c>
      <c r="L27" s="202" t="n"/>
      <c r="M27" s="202" t="n"/>
      <c r="N27" s="202" t="n"/>
      <c r="O27" s="202" t="n"/>
    </row>
    <row r="28" ht="5.25" customFormat="1" customHeight="1" s="15">
      <c r="C28" s="159" t="n"/>
      <c r="E28" s="202" t="n"/>
      <c r="F28" s="183" t="n"/>
      <c r="G28" s="20" t="n"/>
      <c r="H28" s="193" t="n"/>
      <c r="J28" s="202" t="n"/>
      <c r="K28" s="202" t="n"/>
      <c r="L28" s="202" t="n"/>
      <c r="M28" s="202" t="n"/>
      <c r="N28" s="202" t="n"/>
      <c r="O28" s="202" t="n"/>
    </row>
    <row r="29" ht="15" customFormat="1" customHeight="1" s="15">
      <c r="A29" s="15" t="n">
        <v>24</v>
      </c>
      <c r="B29" s="15" t="inlineStr">
        <is>
          <t>Umsatzsteuerjahreserklärung</t>
        </is>
      </c>
      <c r="C29" s="159">
        <f>+C27</f>
        <v/>
      </c>
      <c r="E29" s="202">
        <f>+(1083406+142+180848)/10</f>
        <v/>
      </c>
      <c r="F29" s="183" t="inlineStr">
        <is>
          <t>A</t>
        </is>
      </c>
      <c r="G29" s="20" t="n">
        <v>2</v>
      </c>
      <c r="H29" s="193">
        <f>G29/10*1773</f>
        <v/>
      </c>
      <c r="J29" s="202" t="n"/>
      <c r="K29" s="202" t="n"/>
      <c r="L29" s="202" t="n"/>
      <c r="M29" s="202" t="n"/>
      <c r="N29" s="202" t="n"/>
      <c r="O29" s="202" t="n"/>
    </row>
    <row r="30" ht="5.25" customFormat="1" customHeight="1" s="15">
      <c r="C30" s="159" t="n"/>
      <c r="E30" s="202" t="n"/>
      <c r="F30" s="183" t="n"/>
      <c r="G30" s="20" t="n"/>
      <c r="H30" s="193" t="n"/>
      <c r="J30" s="202" t="n"/>
      <c r="K30" s="202" t="n"/>
      <c r="L30" s="202" t="n"/>
      <c r="M30" s="202" t="n"/>
      <c r="N30" s="202" t="n"/>
      <c r="O30" s="202" t="n"/>
    </row>
    <row r="31" ht="15" customFormat="1" customHeight="1" s="15">
      <c r="A31" s="15" t="n">
        <v>24</v>
      </c>
      <c r="B31" s="15" t="inlineStr">
        <is>
          <t>Gewerbesteuererklärung nach dem Gewerbe-</t>
        </is>
      </c>
      <c r="C31" s="159" t="n"/>
      <c r="E31" s="202" t="n">
        <v>44563.64</v>
      </c>
      <c r="F31" s="183" t="inlineStr">
        <is>
          <t>A</t>
        </is>
      </c>
      <c r="G31" s="20" t="n">
        <v>3</v>
      </c>
      <c r="H31" s="193">
        <f>G31/10*1146</f>
        <v/>
      </c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B32" s="15" t="inlineStr">
        <is>
          <t xml:space="preserve">ertrag für </t>
        </is>
      </c>
      <c r="C32" s="159">
        <f>+C25</f>
        <v/>
      </c>
      <c r="E32" s="202" t="n"/>
      <c r="F32" s="183" t="n"/>
      <c r="G32" s="20" t="n"/>
      <c r="H32" s="193" t="n"/>
      <c r="J32" s="202" t="n"/>
      <c r="K32" s="202" t="n"/>
      <c r="L32" s="202" t="n"/>
      <c r="M32" s="202" t="n"/>
      <c r="N32" s="202" t="n"/>
      <c r="O32" s="202" t="n"/>
    </row>
    <row r="33" ht="5.25" customFormat="1" customHeight="1" s="15">
      <c r="C33" s="159" t="n"/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15" customFormat="1" customHeight="1" s="15">
      <c r="A34" s="15" t="n">
        <v>24</v>
      </c>
      <c r="B34" s="15" t="inlineStr">
        <is>
          <t>Gewerbesteuerzerlegungserklärung</t>
        </is>
      </c>
      <c r="C34" s="159">
        <f>+C32</f>
        <v/>
      </c>
      <c r="E34" s="202">
        <f>643196/10</f>
        <v/>
      </c>
      <c r="F34" s="183" t="inlineStr">
        <is>
          <t>A</t>
        </is>
      </c>
      <c r="G34" s="20" t="n">
        <v>2</v>
      </c>
      <c r="H34" s="193">
        <f>G34/10*1320</f>
        <v/>
      </c>
      <c r="J34" s="202" t="n"/>
      <c r="K34" s="202" t="n"/>
      <c r="L34" s="202" t="n"/>
      <c r="M34" s="202" t="n"/>
      <c r="N34" s="202" t="n"/>
      <c r="O34" s="202" t="n"/>
    </row>
    <row r="35" ht="5.25" customFormat="1" customHeight="1" s="15">
      <c r="C35" s="159" t="n"/>
      <c r="E35" s="202" t="n"/>
      <c r="F35" s="183" t="n"/>
      <c r="G35" s="20" t="n"/>
      <c r="H35" s="193" t="n"/>
      <c r="J35" s="202" t="n"/>
      <c r="K35" s="202" t="n"/>
      <c r="L35" s="202" t="n"/>
      <c r="M35" s="202" t="n"/>
      <c r="N35" s="202" t="n"/>
      <c r="O35" s="202" t="n"/>
    </row>
    <row r="36" ht="15" customFormat="1" customHeight="1" s="15">
      <c r="A36" s="15" t="n">
        <v>24</v>
      </c>
      <c r="B36" s="15" t="inlineStr">
        <is>
          <t xml:space="preserve">Körperschaftsteuererklärung für </t>
        </is>
      </c>
      <c r="C36" s="159">
        <f>+C32</f>
        <v/>
      </c>
      <c r="E36" s="202">
        <f>+E31</f>
        <v/>
      </c>
      <c r="F36" s="183" t="inlineStr">
        <is>
          <t>A</t>
        </is>
      </c>
      <c r="G36" s="20" t="n">
        <v>3</v>
      </c>
      <c r="H36" s="193">
        <f>G36/10*1146</f>
        <v/>
      </c>
      <c r="J36" s="202" t="n"/>
      <c r="K36" s="202" t="n"/>
      <c r="L36" s="202" t="n"/>
      <c r="M36" s="202" t="n"/>
      <c r="N36" s="202" t="n"/>
      <c r="O36" s="202" t="n"/>
    </row>
    <row r="37" ht="9" customFormat="1" customHeight="1" s="15">
      <c r="C37" s="159" t="n"/>
      <c r="E37" s="202" t="n"/>
      <c r="F37" s="183" t="n"/>
      <c r="G37" s="20" t="n"/>
      <c r="H37" s="193" t="n"/>
      <c r="J37" s="202" t="n"/>
      <c r="K37" s="202" t="n"/>
      <c r="L37" s="202" t="n"/>
      <c r="M37" s="202" t="n"/>
      <c r="N37" s="202" t="n"/>
      <c r="O37" s="202" t="n"/>
    </row>
    <row r="38" ht="15" customFormat="1" customHeight="1" s="15">
      <c r="C38" s="159" t="n"/>
      <c r="E38" s="202" t="n"/>
      <c r="F38" s="183" t="n"/>
      <c r="G38" s="20" t="n"/>
      <c r="H38" s="193" t="n"/>
    </row>
    <row r="39" ht="5.25" customFormat="1" customHeight="1" s="15">
      <c r="C39" s="159" t="n"/>
      <c r="E39" s="202" t="n"/>
      <c r="F39" s="183" t="n"/>
      <c r="G39" s="20" t="n"/>
      <c r="H39" s="193" t="n"/>
    </row>
    <row r="40" ht="15" customFormat="1" customHeight="1" s="15">
      <c r="I40" s="193" t="n"/>
    </row>
    <row r="41" ht="15.75" customFormat="1" customHeight="1" s="15">
      <c r="A41" s="15" t="n">
        <v>16</v>
      </c>
      <c r="B41" s="15" t="inlineStr">
        <is>
          <t xml:space="preserve">Auslagenersatz für Post- und </t>
        </is>
      </c>
      <c r="C41" s="159" t="n"/>
      <c r="E41" s="202">
        <f>SUM(H25:H36)*0.15</f>
        <v/>
      </c>
      <c r="F41" s="159" t="n"/>
      <c r="G41" s="20" t="n">
        <v>0</v>
      </c>
      <c r="H41" s="193" t="n">
        <v>20</v>
      </c>
      <c r="I41" s="193" t="n"/>
    </row>
    <row r="42" ht="15.75" customFormat="1" customHeight="1" s="15">
      <c r="B42" s="15" t="inlineStr">
        <is>
          <t>Telekommunikation</t>
        </is>
      </c>
      <c r="E42" s="90" t="n"/>
      <c r="G42" s="20" t="n"/>
      <c r="H42" s="193" t="n"/>
      <c r="I42" s="193" t="n"/>
    </row>
    <row r="43" ht="15" customFormat="1" customHeight="1" s="15">
      <c r="A43" s="112" t="inlineStr">
        <is>
          <t>*sofern nicht separat anders angegeben</t>
        </is>
      </c>
      <c r="B43" s="28" t="n"/>
      <c r="C43" s="28" t="n"/>
      <c r="D43" s="28" t="n"/>
      <c r="E43" s="29" t="inlineStr">
        <is>
          <t>Zwischensumme</t>
        </is>
      </c>
      <c r="F43" s="197" t="n"/>
      <c r="G43" s="31" t="n"/>
      <c r="H43" s="198">
        <f>SUM(H25:H42)</f>
        <v/>
      </c>
      <c r="I43" s="193" t="n"/>
      <c r="J43" s="193">
        <f>+'JA 2020'!H43</f>
        <v/>
      </c>
    </row>
    <row r="44" ht="15" customFormat="1" customHeight="1" s="15">
      <c r="A44" s="15" t="n"/>
      <c r="B44" s="15" t="n"/>
      <c r="C44" s="15" t="n"/>
      <c r="D44" s="15" t="n"/>
      <c r="E44" s="100" t="inlineStr">
        <is>
          <t>Umsatzsteuer 19%</t>
        </is>
      </c>
      <c r="F44" s="199" t="n"/>
      <c r="G44" s="35" t="n"/>
      <c r="H44" s="193">
        <f>+H43*0.19</f>
        <v/>
      </c>
      <c r="I44" s="193" t="n"/>
    </row>
    <row r="45" customFormat="1" s="15" thickBot="1">
      <c r="A45" s="15" t="n"/>
      <c r="B45" s="15" t="n"/>
      <c r="C45" s="15" t="n"/>
      <c r="D45" s="15" t="n"/>
      <c r="E45" s="37" t="inlineStr">
        <is>
          <t>Rechnungsbetrag</t>
        </is>
      </c>
      <c r="F45" s="200" t="n"/>
      <c r="G45" s="39" t="n"/>
      <c r="H45" s="201">
        <f>SUM(H43:H44)</f>
        <v/>
      </c>
      <c r="I45" s="193" t="n"/>
    </row>
    <row r="46" customFormat="1" s="15" thickTop="1">
      <c r="D46" s="90" t="n"/>
      <c r="E46" s="183" t="n"/>
      <c r="F46" s="10" t="n"/>
      <c r="I46" s="193" t="n"/>
    </row>
    <row r="49">
      <c r="B49" s="14" t="n"/>
    </row>
    <row r="50" ht="12.75" customFormat="1" customHeight="1" s="41"/>
    <row r="51" ht="12.75" customFormat="1" customHeight="1" s="41"/>
    <row r="52">
      <c r="A52" s="147" t="inlineStr">
        <is>
          <t xml:space="preserve">Steuernummer: 012 801 35159       </t>
        </is>
      </c>
    </row>
  </sheetData>
  <mergeCells count="11">
    <mergeCell ref="F11:H11"/>
    <mergeCell ref="G7:H7"/>
    <mergeCell ref="E7:F7"/>
    <mergeCell ref="E10:F10"/>
    <mergeCell ref="G10:H10"/>
    <mergeCell ref="A52:H52"/>
    <mergeCell ref="F12:H12"/>
    <mergeCell ref="G9:H9"/>
    <mergeCell ref="E9:F9"/>
    <mergeCell ref="E8:F8"/>
    <mergeCell ref="A17:H17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3:S59"/>
  <sheetViews>
    <sheetView workbookViewId="0">
      <selection activeCell="B29" sqref="B2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n"/>
      <c r="N3" s="114" t="n"/>
      <c r="O3" s="60" t="n"/>
      <c r="P3" s="212" t="n"/>
      <c r="Q3" s="58" t="n"/>
      <c r="R3" s="213" t="n"/>
      <c r="S3" s="211" t="n"/>
    </row>
    <row r="4">
      <c r="M4" s="58" t="n"/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45371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10113-2024-001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100" t="n"/>
      <c r="F14" s="183" t="n"/>
      <c r="G14" s="183" t="n"/>
      <c r="H14" s="183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10/2023 </t>
        </is>
      </c>
      <c r="D22" s="60" t="n"/>
    </row>
    <row r="23" ht="13.5" customFormat="1" customHeight="1" s="58">
      <c r="B23" s="63" t="inlineStr">
        <is>
          <t xml:space="preserve"> - Einrichten v. Lohnkonten (Gutanu)</t>
        </is>
      </c>
      <c r="C23" s="114" t="inlineStr">
        <is>
          <t>10/2023</t>
        </is>
      </c>
      <c r="D23" s="60" t="n"/>
      <c r="E23" s="212" t="n">
        <v>9</v>
      </c>
      <c r="G23" s="213" t="n">
        <v>1</v>
      </c>
      <c r="H23" s="211">
        <f>+G23*E23</f>
        <v/>
      </c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45224</v>
      </c>
      <c r="D25" s="60" t="n"/>
      <c r="E25" s="212" t="n">
        <v>15</v>
      </c>
      <c r="G25" s="213" t="n">
        <v>14</v>
      </c>
      <c r="H25" s="211">
        <f>+G25*E25</f>
        <v/>
      </c>
    </row>
    <row r="26" ht="6.7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11/2023 </t>
        </is>
      </c>
      <c r="D27" s="60" t="n"/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45253</v>
      </c>
      <c r="D29" s="60" t="n"/>
      <c r="E29" s="212" t="n">
        <v>15</v>
      </c>
      <c r="G29" s="213" t="n">
        <v>11</v>
      </c>
      <c r="H29" s="211">
        <f>+G29*E29</f>
        <v/>
      </c>
    </row>
    <row r="30" ht="6.7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12/2023 </t>
        </is>
      </c>
      <c r="D31" s="60" t="n"/>
    </row>
    <row r="32" ht="13.5" customFormat="1" customHeight="1" s="58">
      <c r="B32" s="63" t="inlineStr">
        <is>
          <t xml:space="preserve"> - Lohnabrechnungen inkl. </t>
        </is>
      </c>
      <c r="C32" s="59" t="n"/>
      <c r="D32" s="60" t="n"/>
    </row>
    <row r="33" ht="13.5" customFormat="1" customHeight="1" s="58">
      <c r="B33" s="58" t="inlineStr">
        <is>
          <t xml:space="preserve">   Sozialvers.-meldungen</t>
        </is>
      </c>
      <c r="C33" s="59" t="n">
        <v>45279</v>
      </c>
      <c r="D33" s="60" t="n"/>
      <c r="E33" s="212" t="n">
        <v>15</v>
      </c>
      <c r="G33" s="213" t="n">
        <v>11</v>
      </c>
      <c r="H33" s="211">
        <f>+G33*E33</f>
        <v/>
      </c>
    </row>
    <row r="34" ht="6.75" customFormat="1" customHeight="1" s="58">
      <c r="C34" s="59" t="n"/>
      <c r="D34" s="60" t="n"/>
      <c r="E34" s="212" t="n"/>
      <c r="G34" s="213" t="n"/>
      <c r="H34" s="211" t="n"/>
    </row>
    <row r="35" ht="13.5" customFormat="1" customHeight="1" s="58">
      <c r="A35" s="58" t="n">
        <v>34</v>
      </c>
      <c r="B35" s="58" t="inlineStr">
        <is>
          <t>Hilfeleistung bei sonstigen Tätigkeiten im Zusammen-</t>
        </is>
      </c>
      <c r="C35" s="59" t="n"/>
      <c r="D35" s="60" t="n"/>
      <c r="E35" s="209" t="n">
        <v>80</v>
      </c>
      <c r="F35" s="58" t="inlineStr">
        <is>
          <t>Zeitgeb.</t>
        </is>
      </c>
      <c r="G35" s="210" t="n">
        <v>1</v>
      </c>
      <c r="H35" s="211">
        <f>+G35*E35</f>
        <v/>
      </c>
    </row>
    <row r="36" ht="13.5" customFormat="1" customHeight="1" s="58">
      <c r="B36" s="58" t="inlineStr">
        <is>
          <t>hang mit dem Lohnsteuerabzug/der Lohnbuchführung</t>
        </is>
      </c>
      <c r="C36" s="59" t="n"/>
      <c r="D36" s="60" t="n"/>
      <c r="E36" s="212" t="n"/>
      <c r="G36" s="213" t="n"/>
      <c r="H36" s="211" t="n"/>
    </row>
    <row r="37" ht="13.5" customFormat="1" customHeight="1" s="58">
      <c r="B37" s="63" t="inlineStr">
        <is>
          <t xml:space="preserve">- LFZ-Anträge Munteanu, M. Perikic, Mita, Boycjinov, </t>
        </is>
      </c>
      <c r="C37" s="59" t="n"/>
      <c r="D37" s="60" t="n"/>
    </row>
    <row r="38" ht="13.5" customFormat="1" customHeight="1" s="58">
      <c r="B38" s="63" t="inlineStr">
        <is>
          <t xml:space="preserve">  Buzdugan, Gutanu</t>
        </is>
      </c>
      <c r="C38" s="59" t="inlineStr">
        <is>
          <t>IV/2023</t>
        </is>
      </c>
      <c r="D38" s="60" t="n"/>
    </row>
    <row r="39" ht="13.5" customFormat="1" customHeight="1" s="58">
      <c r="B39" s="63" t="inlineStr">
        <is>
          <t>- Antrag auf Saison-KUG 12/2023</t>
        </is>
      </c>
      <c r="C39" s="59">
        <f>+C38</f>
        <v/>
      </c>
      <c r="D39" s="60" t="n"/>
    </row>
    <row r="40" ht="5.25" customFormat="1" customHeight="1" s="58">
      <c r="B40" s="63" t="n"/>
      <c r="D40" s="60" t="n"/>
    </row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IV/2023</t>
        </is>
      </c>
      <c r="D42" s="60" t="n"/>
      <c r="E42" s="211">
        <f>SUM(H22:H34)*0.2</f>
        <v/>
      </c>
      <c r="G42" s="211" t="n"/>
      <c r="H42" s="211">
        <f>(G25+G29+G33)*1.3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SUM(H22:H43)</f>
        <v/>
      </c>
      <c r="J44" s="211" t="n"/>
    </row>
    <row r="45" ht="15" customFormat="1" customHeight="1" s="58">
      <c r="E45" s="100" t="inlineStr">
        <is>
          <t>Umsatzsteuer 19%</t>
        </is>
      </c>
      <c r="F45" s="199" t="n"/>
      <c r="G45" s="35" t="n"/>
      <c r="H45" s="193">
        <f>+H44*0.19</f>
        <v/>
      </c>
    </row>
    <row r="46" customFormat="1" s="58" thickBot="1">
      <c r="E46" s="37" t="inlineStr">
        <is>
          <t>Rechnungsbetrag</t>
        </is>
      </c>
      <c r="F46" s="200" t="n"/>
      <c r="G46" s="39" t="n"/>
      <c r="H46" s="201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5" customFormat="1" customHeight="1" s="15">
      <c r="D49" s="90" t="n"/>
      <c r="E49" s="183" t="n"/>
      <c r="F49" s="90" t="n"/>
      <c r="G49" s="10" t="n"/>
    </row>
    <row r="50" ht="15" customFormat="1" customHeight="1" s="15">
      <c r="D50" s="90" t="n"/>
      <c r="E50" s="183" t="n"/>
      <c r="F50" s="90" t="n"/>
      <c r="G50" s="10" t="n"/>
    </row>
    <row r="51" ht="20.25" customHeight="1">
      <c r="B51" s="21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G25" sqref="G25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45371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10113-2024-002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1505356</v>
      </c>
      <c r="F24" s="159" t="inlineStr">
        <is>
          <t>C</t>
        </is>
      </c>
      <c r="G24" s="183" t="n">
        <v>4.5</v>
      </c>
      <c r="H24" s="193">
        <f>G24/10*1197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10/2023 am</t>
        </is>
      </c>
      <c r="C25" s="117" t="n">
        <v>45271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G27/10*1197</f>
        <v/>
      </c>
    </row>
    <row r="28" ht="15" customFormat="1" customHeight="1" s="15">
      <c r="B28" s="15" t="inlineStr">
        <is>
          <t>für 11/2023 am</t>
        </is>
      </c>
      <c r="C28" s="169" t="n">
        <v>45300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+G24</f>
        <v/>
      </c>
      <c r="H30" s="193">
        <f>G30/10*1197</f>
        <v/>
      </c>
    </row>
    <row r="31" ht="15" customFormat="1" customHeight="1" s="15">
      <c r="B31" s="15" t="inlineStr">
        <is>
          <t>für 12/2023 am</t>
        </is>
      </c>
      <c r="C31" s="169" t="n">
        <v>45328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012 801 35159   </t>
        </is>
      </c>
    </row>
  </sheetData>
  <mergeCells count="12">
    <mergeCell ref="F10:H10"/>
    <mergeCell ref="F11:H11"/>
    <mergeCell ref="C31:D31"/>
    <mergeCell ref="G7:H7"/>
    <mergeCell ref="E7:F7"/>
    <mergeCell ref="A16:H16"/>
    <mergeCell ref="A51:H51"/>
    <mergeCell ref="C28:D28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5:R59"/>
  <sheetViews>
    <sheetView workbookViewId="0">
      <selection activeCell="C38" sqref="C3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45371</v>
      </c>
      <c r="H7" s="187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10113-2024-003</t>
        </is>
      </c>
      <c r="H9" s="190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8.25" customHeight="1"/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01/2024 </t>
        </is>
      </c>
      <c r="D22" s="60" t="n"/>
    </row>
    <row r="23" ht="13.5" customFormat="1" customHeight="1" s="58">
      <c r="B23" s="63" t="inlineStr">
        <is>
          <t xml:space="preserve"> - Lohnabrechnungen inkl. </t>
        </is>
      </c>
      <c r="C23" s="59" t="n"/>
      <c r="D23" s="60" t="n"/>
    </row>
    <row r="24" ht="13.5" customFormat="1" customHeight="1" s="58">
      <c r="B24" s="58" t="inlineStr">
        <is>
          <t xml:space="preserve">   Sozialvers.-meldungen</t>
        </is>
      </c>
      <c r="C24" s="59" t="n">
        <v>45315</v>
      </c>
      <c r="D24" s="60" t="n"/>
      <c r="E24" s="212" t="n">
        <v>15</v>
      </c>
      <c r="G24" s="213" t="n">
        <v>12</v>
      </c>
      <c r="H24" s="211">
        <f>+G24*E24</f>
        <v/>
      </c>
    </row>
    <row r="25" ht="5.25" customFormat="1" customHeight="1" s="58">
      <c r="C25" s="59" t="n"/>
      <c r="D25" s="60" t="n"/>
      <c r="E25" s="212" t="n"/>
      <c r="G25" s="213" t="n"/>
      <c r="H25" s="211" t="n"/>
    </row>
    <row r="26" ht="13.5" customFormat="1" customHeight="1" s="58">
      <c r="A26" s="58" t="n">
        <v>34</v>
      </c>
      <c r="B26" s="58" t="inlineStr">
        <is>
          <t xml:space="preserve">Löhne/Gehälter 02/2024 </t>
        </is>
      </c>
      <c r="D26" s="60" t="n"/>
    </row>
    <row r="27" ht="13.5" customFormat="1" customHeight="1" s="58">
      <c r="B27" s="63" t="inlineStr">
        <is>
          <t xml:space="preserve"> - Einrichten v. Lohnkonten (Imsirovic)</t>
        </is>
      </c>
      <c r="C27" s="114" t="inlineStr">
        <is>
          <t>02/2024</t>
        </is>
      </c>
      <c r="D27" s="60" t="n"/>
      <c r="E27" s="212" t="n">
        <v>9</v>
      </c>
      <c r="G27" s="213" t="n">
        <v>1</v>
      </c>
      <c r="H27" s="211">
        <f>+G27*E27</f>
        <v/>
      </c>
    </row>
    <row r="28" ht="13.5" customFormat="1" customHeight="1" s="58">
      <c r="B28" s="63" t="inlineStr">
        <is>
          <t xml:space="preserve"> - Lohnabrechnungen inkl. </t>
        </is>
      </c>
      <c r="C28" s="59" t="n"/>
      <c r="D28" s="60" t="n"/>
    </row>
    <row r="29" ht="13.5" customFormat="1" customHeight="1" s="58">
      <c r="B29" s="58" t="inlineStr">
        <is>
          <t xml:space="preserve">   Sozialvers.-meldungen</t>
        </is>
      </c>
      <c r="C29" s="59" t="n">
        <v>45344</v>
      </c>
      <c r="D29" s="60" t="n"/>
      <c r="E29" s="212" t="n">
        <v>15</v>
      </c>
      <c r="G29" s="213" t="n">
        <v>13</v>
      </c>
      <c r="H29" s="211">
        <f>+G29*E29</f>
        <v/>
      </c>
    </row>
    <row r="30" ht="5.25" customFormat="1" customHeight="1" s="58">
      <c r="C30" s="59" t="n"/>
      <c r="D30" s="60" t="n"/>
      <c r="E30" s="212" t="n"/>
      <c r="G30" s="213" t="n"/>
      <c r="H30" s="211" t="n"/>
    </row>
    <row r="31" ht="13.5" customFormat="1" customHeight="1" s="58">
      <c r="A31" s="58" t="n">
        <v>34</v>
      </c>
      <c r="B31" s="58" t="inlineStr">
        <is>
          <t xml:space="preserve">Löhne/Gehälter 03/2024 </t>
        </is>
      </c>
      <c r="D31" s="60" t="n"/>
    </row>
    <row r="32" ht="13.5" customFormat="1" customHeight="1" s="58">
      <c r="B32" s="63" t="inlineStr">
        <is>
          <t xml:space="preserve"> - Einrichten v. Lohnkonten (Rakitc)</t>
        </is>
      </c>
      <c r="C32" s="114" t="inlineStr">
        <is>
          <t>03/2024</t>
        </is>
      </c>
      <c r="D32" s="60" t="n"/>
      <c r="E32" s="212" t="n">
        <v>9</v>
      </c>
      <c r="G32" s="213" t="n">
        <v>1</v>
      </c>
      <c r="H32" s="211">
        <f>+G32*E32</f>
        <v/>
      </c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45371</v>
      </c>
      <c r="D34" s="60" t="n"/>
      <c r="E34" s="212" t="n">
        <v>15</v>
      </c>
      <c r="G34" s="213" t="n">
        <v>14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5" customFormat="1" customHeight="1" s="58">
      <c r="A36" s="58" t="n">
        <v>34</v>
      </c>
      <c r="B36" s="58" t="inlineStr">
        <is>
          <t>Hilfeleistung bei sonstigen Tätigkeiten im Zusammen-</t>
        </is>
      </c>
      <c r="C36" s="59" t="n"/>
      <c r="D36" s="60" t="n"/>
      <c r="I36" s="140" t="n"/>
    </row>
    <row r="37" ht="15" customFormat="1" customHeight="1" s="58">
      <c r="B37" s="58" t="inlineStr">
        <is>
          <t>hang mit dem Lohnsteuerabzug/der Lohnbuchführung</t>
        </is>
      </c>
      <c r="C37" s="59" t="n"/>
      <c r="D37" s="60" t="n"/>
      <c r="E37" s="212" t="n"/>
      <c r="G37" s="213" t="n"/>
      <c r="H37" s="211" t="n"/>
      <c r="I37" s="140" t="n"/>
    </row>
    <row r="38" ht="15" customFormat="1" customHeight="1" s="58">
      <c r="B38" s="63" t="inlineStr">
        <is>
          <t>- Antrag auf Saison-KUG 02/2024</t>
        </is>
      </c>
      <c r="C38" s="59" t="inlineStr">
        <is>
          <t>I/2024</t>
        </is>
      </c>
      <c r="D38" s="60" t="n"/>
      <c r="E38" s="209" t="n">
        <v>80</v>
      </c>
      <c r="F38" s="58" t="inlineStr">
        <is>
          <t>Zeitgeb.</t>
        </is>
      </c>
      <c r="G38" s="210" t="n">
        <v>0.5</v>
      </c>
      <c r="H38" s="211">
        <f>+G38*E38</f>
        <v/>
      </c>
      <c r="I38" s="140" t="n"/>
    </row>
    <row r="39" ht="15" customFormat="1" customHeight="1" s="58">
      <c r="B39" s="63" t="n"/>
      <c r="C39" s="59" t="n"/>
      <c r="D39" s="60" t="n"/>
      <c r="I39" s="140" t="n"/>
    </row>
    <row r="40" ht="15" customFormat="1" customHeight="1" s="58">
      <c r="C40" s="142" t="n"/>
      <c r="D40" s="60" t="n"/>
      <c r="E40" s="209" t="n"/>
      <c r="G40" s="210" t="n"/>
      <c r="H40" s="211" t="n"/>
      <c r="I40" s="140" t="n"/>
    </row>
    <row r="41" ht="3" customFormat="1" customHeight="1" s="58">
      <c r="C41" s="59" t="n"/>
      <c r="D41" s="60" t="n"/>
    </row>
    <row r="42" ht="13.5" customFormat="1" customHeight="1" s="58">
      <c r="A42" s="58" t="n">
        <v>16</v>
      </c>
      <c r="B42" s="58" t="inlineStr">
        <is>
          <t xml:space="preserve">Auslagenersatz für Post- und </t>
        </is>
      </c>
      <c r="C42" s="59" t="n"/>
      <c r="D42" s="60" t="n"/>
      <c r="E42" s="212" t="n"/>
      <c r="G42" s="213" t="n"/>
      <c r="H42" s="211" t="n"/>
    </row>
    <row r="43" ht="13.5" customFormat="1" customHeight="1" s="58">
      <c r="B43" s="58" t="inlineStr">
        <is>
          <t>Telekommunikation</t>
        </is>
      </c>
      <c r="C43" s="59" t="inlineStr">
        <is>
          <t>I/2024</t>
        </is>
      </c>
      <c r="D43" s="60" t="n"/>
      <c r="E43" s="211">
        <f>SUM(H22:H35)*0.2</f>
        <v/>
      </c>
      <c r="G43" s="211" t="n"/>
      <c r="H43" s="211" t="n">
        <v>60</v>
      </c>
    </row>
    <row r="44" ht="6.75" customFormat="1" customHeight="1" s="58">
      <c r="C44" s="60" t="n"/>
      <c r="D44" s="60" t="n"/>
      <c r="E44" s="214" t="n"/>
      <c r="F44" s="68" t="n"/>
      <c r="G44" s="69" t="n"/>
      <c r="H44" s="215" t="n"/>
    </row>
    <row r="45" ht="13.5" customFormat="1" customHeight="1" s="58">
      <c r="A45" s="71" t="n"/>
      <c r="B45" s="71" t="n"/>
      <c r="E45" s="58" t="inlineStr">
        <is>
          <t>Gesamt</t>
        </is>
      </c>
      <c r="F45" s="71" t="n"/>
      <c r="G45" s="81" t="n"/>
      <c r="H45" s="211">
        <f>SUM(H22:H44)</f>
        <v/>
      </c>
      <c r="J45" s="211" t="n"/>
      <c r="L45" s="211" t="n"/>
    </row>
    <row r="46" ht="13.5" customFormat="1" customHeight="1" s="58">
      <c r="E46" s="74" t="inlineStr">
        <is>
          <t>USt 19%</t>
        </is>
      </c>
      <c r="F46" s="71" t="n"/>
      <c r="G46" s="81" t="n"/>
      <c r="H46" s="211">
        <f>+H45*0.19</f>
        <v/>
      </c>
    </row>
    <row r="47" ht="14.25" customFormat="1" customHeight="1" s="58" thickBot="1">
      <c r="E47" s="75" t="inlineStr">
        <is>
          <t>Rechnungsendbetrag</t>
        </is>
      </c>
      <c r="F47" s="76" t="n"/>
      <c r="G47" s="77" t="n"/>
      <c r="H47" s="216">
        <f>SUM(H45:H46)</f>
        <v/>
      </c>
      <c r="J47" s="211" t="n"/>
    </row>
    <row r="48" ht="5.25" customFormat="1" customHeight="1" s="58" thickTop="1">
      <c r="E48" s="79" t="n"/>
      <c r="F48" s="80" t="n"/>
      <c r="G48" s="81" t="n"/>
      <c r="H48" s="211" t="n"/>
      <c r="J48" s="211" t="n"/>
    </row>
    <row r="49" ht="15" customFormat="1" customHeight="1" s="58">
      <c r="A49" s="15" t="inlineStr">
        <is>
          <t>Bitte überweisen Sie den Betrag ohne Abzüge innerhalb von 14 Tagen auf das angegebene Konto.</t>
        </is>
      </c>
      <c r="B49" s="71" t="n"/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D51" s="90" t="n"/>
      <c r="E51" s="183" t="n"/>
      <c r="F51" s="90" t="n"/>
      <c r="G51" s="10" t="n"/>
    </row>
    <row r="52" ht="19.5" customFormat="1" customHeight="1" s="15">
      <c r="B52" s="21" t="n"/>
      <c r="D52" s="90" t="n"/>
      <c r="E52" s="183" t="n"/>
      <c r="F52" s="90" t="n"/>
      <c r="G52" s="10" t="n"/>
    </row>
    <row r="54" ht="13.5" customFormat="1" customHeight="1" s="58">
      <c r="A54" s="147" t="inlineStr">
        <is>
          <t xml:space="preserve">Steuernummer: 012 801 35159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2:V59"/>
  <sheetViews>
    <sheetView topLeftCell="A4" workbookViewId="0">
      <selection activeCell="A22" sqref="A22:H4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2">
      <c r="L2" s="63" t="n"/>
      <c r="M2" s="59" t="n"/>
      <c r="N2" s="60" t="n"/>
      <c r="O2" s="212" t="n"/>
      <c r="P2" s="58" t="n"/>
      <c r="Q2" s="213" t="n"/>
      <c r="R2" s="211" t="n"/>
    </row>
    <row r="3">
      <c r="L3" s="58" t="n"/>
      <c r="M3" s="59" t="n"/>
      <c r="N3" s="60" t="n"/>
      <c r="O3" s="212" t="n"/>
      <c r="P3" s="58" t="n"/>
      <c r="Q3" s="213" t="n"/>
      <c r="R3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45482</v>
      </c>
      <c r="H7" s="187" t="n"/>
      <c r="L7" s="63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L8" s="63" t="n"/>
    </row>
    <row r="9" ht="15" customFormat="1" customHeight="1" s="140">
      <c r="B9" s="43" t="n"/>
      <c r="D9" s="52" t="n"/>
      <c r="E9" s="175" t="inlineStr">
        <is>
          <t>Rg-Nr.:</t>
        </is>
      </c>
      <c r="G9" s="178" t="inlineStr">
        <is>
          <t>10113-2024-004</t>
        </is>
      </c>
      <c r="H9" s="188" t="n"/>
      <c r="K9" s="58" t="n"/>
      <c r="L9" s="58" t="n"/>
      <c r="M9" s="59" t="n"/>
      <c r="N9" s="60" t="n"/>
      <c r="O9" s="209" t="n"/>
      <c r="P9" s="58" t="n"/>
      <c r="Q9" s="210" t="n"/>
      <c r="R9" s="211" t="n"/>
      <c r="S9" s="58" t="n"/>
      <c r="T9" s="58" t="n"/>
      <c r="U9" s="58" t="n"/>
      <c r="V9" s="58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116" t="inlineStr">
        <is>
          <t>Leistungsdatum:</t>
        </is>
      </c>
      <c r="F10" s="54" t="n"/>
      <c r="G10" s="182" t="inlineStr">
        <is>
          <t>siehe Einzelposition</t>
        </is>
      </c>
      <c r="H10" s="190" t="n"/>
      <c r="K10" s="58" t="n"/>
      <c r="L10" s="58" t="n"/>
      <c r="M10" s="59" t="n"/>
      <c r="N10" s="60" t="n"/>
      <c r="O10" s="212" t="n"/>
      <c r="P10" s="58" t="n"/>
      <c r="Q10" s="213" t="n"/>
      <c r="R10" s="211" t="n"/>
      <c r="S10" s="58" t="n"/>
      <c r="T10" s="58" t="n"/>
      <c r="U10" s="58" t="n"/>
      <c r="V10" s="58" t="n"/>
    </row>
    <row r="11" ht="15" customFormat="1" customHeight="1" s="140">
      <c r="D11" s="52" t="n"/>
      <c r="E11" s="88" t="inlineStr">
        <is>
          <t xml:space="preserve">IBAN: </t>
        </is>
      </c>
      <c r="F11" s="184" t="inlineStr">
        <is>
          <t>DE 13 50070024 0 4092862 00</t>
        </is>
      </c>
      <c r="H11" s="188" t="n"/>
      <c r="K11" s="58" t="n"/>
      <c r="L11" s="63" t="n"/>
      <c r="M11" s="59" t="n"/>
      <c r="N11" s="60" t="n"/>
      <c r="O11" s="58" t="n"/>
      <c r="P11" s="58" t="n"/>
      <c r="Q11" s="58" t="n"/>
      <c r="R11" s="58" t="n"/>
      <c r="S11" s="58" t="n"/>
      <c r="T11" s="58" t="n"/>
      <c r="U11" s="58" t="n"/>
      <c r="V11" s="58" t="n"/>
    </row>
    <row r="12" ht="15" customFormat="1" customHeight="1" s="140">
      <c r="D12" s="52" t="n"/>
      <c r="E12" s="165" t="inlineStr">
        <is>
          <t>BIC:</t>
        </is>
      </c>
      <c r="F12" s="166" t="inlineStr">
        <is>
          <t>DEUTDEDBFRA</t>
        </is>
      </c>
      <c r="G12" s="150" t="n"/>
      <c r="H12" s="151" t="n"/>
      <c r="K12" s="58" t="n"/>
      <c r="L12" s="63" t="n"/>
      <c r="M12" s="59" t="n"/>
      <c r="N12" s="60" t="n"/>
      <c r="O12" s="209" t="n"/>
      <c r="P12" s="58" t="n"/>
      <c r="Q12" s="210" t="n"/>
      <c r="R12" s="211" t="n"/>
      <c r="S12" s="58" t="n"/>
      <c r="T12" s="58" t="n"/>
      <c r="U12" s="58" t="n"/>
      <c r="V12" s="58" t="n"/>
    </row>
    <row r="13" ht="15" customFormat="1" customHeight="1" s="140">
      <c r="D13" s="52" t="n"/>
      <c r="E13" s="53" t="n"/>
      <c r="F13" s="47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</row>
    <row r="14" ht="15" customFormat="1" customHeight="1" s="140">
      <c r="D14" s="52" t="n"/>
      <c r="E14" s="53" t="n"/>
      <c r="F14" s="47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</row>
    <row r="15" ht="14.25" customFormat="1" customHeight="1" s="49">
      <c r="A15" s="170" t="inlineStr">
        <is>
          <t xml:space="preserve">Rechnung über Honorare </t>
        </is>
      </c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04/2024 </t>
        </is>
      </c>
      <c r="D22" s="60" t="n"/>
    </row>
    <row r="23" ht="13.5" customFormat="1" customHeight="1" s="58">
      <c r="B23" s="63" t="inlineStr">
        <is>
          <t xml:space="preserve"> - Einrichten von Lohnkonten (Sluganovic,</t>
        </is>
      </c>
      <c r="D23" s="60" t="n"/>
      <c r="E23" s="212" t="n">
        <v>15</v>
      </c>
      <c r="G23" s="213" t="n">
        <v>2</v>
      </c>
      <c r="H23" s="211">
        <f>+G23*E23</f>
        <v/>
      </c>
    </row>
    <row r="24" ht="13.5" customFormat="1" customHeight="1" s="58">
      <c r="B24" s="63" t="inlineStr">
        <is>
          <t xml:space="preserve">   Muscalu)</t>
        </is>
      </c>
      <c r="C24" s="114" t="inlineStr">
        <is>
          <t>04/24</t>
        </is>
      </c>
      <c r="D24" s="60" t="n"/>
      <c r="E24" s="212" t="n"/>
      <c r="G24" s="213" t="n"/>
      <c r="H24" s="211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45405</v>
      </c>
      <c r="D26" s="60" t="n"/>
      <c r="E26" s="212" t="n">
        <v>15</v>
      </c>
      <c r="G26" s="213" t="n">
        <v>15</v>
      </c>
      <c r="H26" s="211">
        <f>+G26*E26</f>
        <v/>
      </c>
    </row>
    <row r="27" ht="5.2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05/2024 </t>
        </is>
      </c>
      <c r="D28" s="60" t="n"/>
    </row>
    <row r="29" ht="13.5" customFormat="1" customHeight="1" s="58">
      <c r="B29" s="63" t="inlineStr">
        <is>
          <t xml:space="preserve"> - Einrichten von Lohnkonten (Sestic, </t>
        </is>
      </c>
      <c r="D29" s="60" t="n"/>
      <c r="E29" s="212" t="n">
        <v>15</v>
      </c>
      <c r="G29" s="213" t="n">
        <v>2</v>
      </c>
      <c r="H29" s="211">
        <f>+G29*E29</f>
        <v/>
      </c>
    </row>
    <row r="30" ht="13.5" customFormat="1" customHeight="1" s="58">
      <c r="B30" s="63" t="inlineStr">
        <is>
          <t xml:space="preserve">   Pejakovic)</t>
        </is>
      </c>
      <c r="C30" s="114" t="inlineStr">
        <is>
          <t>05/2024</t>
        </is>
      </c>
      <c r="D30" s="60" t="n"/>
      <c r="E30" s="212" t="n"/>
      <c r="G30" s="213" t="n"/>
      <c r="H30" s="211" t="n"/>
    </row>
    <row r="31" ht="13.5" customFormat="1" customHeight="1" s="58">
      <c r="B31" s="63" t="inlineStr">
        <is>
          <t xml:space="preserve"> - Lohnabrechnungen inkl. </t>
        </is>
      </c>
      <c r="C31" s="59" t="n"/>
      <c r="D31" s="60" t="n"/>
    </row>
    <row r="32" ht="13.5" customFormat="1" customHeight="1" s="58">
      <c r="B32" s="58" t="inlineStr">
        <is>
          <t xml:space="preserve">   Sozialvers.-meldungen</t>
        </is>
      </c>
      <c r="C32" s="59" t="n">
        <v>45435</v>
      </c>
      <c r="D32" s="60" t="n"/>
      <c r="E32" s="212" t="n">
        <v>15</v>
      </c>
      <c r="G32" s="213" t="n">
        <v>16</v>
      </c>
      <c r="H32" s="211">
        <f>+G32*E32</f>
        <v/>
      </c>
    </row>
    <row r="33" ht="5.25" customFormat="1" customHeight="1" s="58">
      <c r="C33" s="59" t="n"/>
      <c r="D33" s="60" t="n"/>
      <c r="E33" s="212" t="n"/>
      <c r="G33" s="213" t="n"/>
      <c r="H33" s="211" t="n"/>
    </row>
    <row r="34" ht="13.5" customFormat="1" customHeight="1" s="58">
      <c r="A34" s="58" t="n">
        <v>34</v>
      </c>
      <c r="B34" s="58" t="inlineStr">
        <is>
          <t xml:space="preserve">Löhne/Gehälter 06/2024 </t>
        </is>
      </c>
      <c r="D34" s="60" t="n"/>
    </row>
    <row r="35" ht="13.5" customFormat="1" customHeight="1" s="58">
      <c r="B35" s="63" t="inlineStr">
        <is>
          <t xml:space="preserve"> - Lohnabrechnungen inkl. </t>
        </is>
      </c>
      <c r="C35" s="59" t="n"/>
      <c r="D35" s="60" t="n"/>
    </row>
    <row r="36" ht="13.5" customFormat="1" customHeight="1" s="58">
      <c r="B36" s="58" t="inlineStr">
        <is>
          <t xml:space="preserve">   Sozialvers.-meldungen</t>
        </is>
      </c>
      <c r="C36" s="59" t="n">
        <v>45464</v>
      </c>
      <c r="D36" s="60" t="n"/>
      <c r="E36" s="212" t="n">
        <v>15</v>
      </c>
      <c r="G36" s="213" t="n">
        <v>16</v>
      </c>
      <c r="H36" s="211">
        <f>+G36*E36</f>
        <v/>
      </c>
    </row>
    <row r="37" ht="5.25" customFormat="1" customHeight="1" s="58">
      <c r="C37" s="59" t="n"/>
      <c r="D37" s="60" t="n"/>
      <c r="E37" s="212" t="n"/>
      <c r="G37" s="213" t="n"/>
      <c r="H37" s="211" t="n"/>
    </row>
    <row r="38" ht="13.5" customFormat="1" customHeight="1" s="58"/>
    <row r="39" ht="5.25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II/2024</t>
        </is>
      </c>
      <c r="D41" s="60" t="n"/>
      <c r="E41" s="211">
        <f>SUM(H22:H37)*0.2</f>
        <v/>
      </c>
      <c r="G41" s="211" t="n"/>
      <c r="H41" s="211" t="n">
        <v>60</v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3.5" customFormat="1" customHeight="1" s="58">
      <c r="D48" s="81" t="n"/>
      <c r="E48" s="80" t="n"/>
      <c r="F48" s="62" t="n"/>
    </row>
    <row r="49" ht="13.5" customFormat="1" customHeight="1" s="58">
      <c r="D49" s="81" t="n"/>
      <c r="E49" s="80" t="n"/>
      <c r="F49" s="62" t="n"/>
    </row>
    <row r="50" ht="15" customFormat="1" customHeight="1" s="15">
      <c r="D50" s="90" t="n"/>
      <c r="E50" s="183" t="n"/>
      <c r="F50" s="90" t="n"/>
      <c r="G50" s="10" t="n"/>
    </row>
    <row r="51" ht="15" customFormat="1" customHeight="1" s="15">
      <c r="B51" s="21" t="n"/>
      <c r="D51" s="90" t="n"/>
      <c r="E51" s="183" t="n"/>
      <c r="F51" s="90" t="n"/>
      <c r="G51" s="10" t="n"/>
    </row>
    <row r="54" ht="12" customFormat="1" customHeight="1" s="58"/>
    <row r="55" ht="13.5" customFormat="1" customHeight="1" s="58">
      <c r="A55" s="147" t="inlineStr">
        <is>
          <t xml:space="preserve">Steuernummer: 014 801 32096  </t>
        </is>
      </c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1:H11"/>
    <mergeCell ref="A55:H55"/>
    <mergeCell ref="A15:H15"/>
    <mergeCell ref="G7:H7"/>
    <mergeCell ref="E7:F7"/>
    <mergeCell ref="G10:H10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A51" sqref="A51:H51"/>
    </sheetView>
  </sheetViews>
  <sheetFormatPr baseColWidth="10" defaultColWidth="11.5703125" defaultRowHeight="15.75"/>
  <cols>
    <col width="3.5703125" customWidth="1" style="6" min="1" max="1"/>
    <col width="28.5703125" customWidth="1" style="6" min="2" max="2"/>
    <col width="10.7109375" customWidth="1" style="6" min="3" max="3"/>
    <col width="3" customWidth="1" style="3" min="4" max="4"/>
    <col width="16.42578125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45482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10113-2024-005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1505356</v>
      </c>
      <c r="F24" s="159" t="inlineStr">
        <is>
          <t>C</t>
        </is>
      </c>
      <c r="G24" s="183" t="n">
        <v>4.5</v>
      </c>
      <c r="H24" s="193">
        <f>G24/10*1197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01/2024 am</t>
        </is>
      </c>
      <c r="C25" s="117" t="n">
        <v>45359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G27/10*1197</f>
        <v/>
      </c>
    </row>
    <row r="28" ht="15" customFormat="1" customHeight="1" s="15">
      <c r="B28" s="15" t="inlineStr">
        <is>
          <t>für 02/2024am</t>
        </is>
      </c>
      <c r="C28" s="169" t="n">
        <v>45391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+G24</f>
        <v/>
      </c>
      <c r="H30" s="193">
        <f>G30/10*1197</f>
        <v/>
      </c>
    </row>
    <row r="31" ht="15" customFormat="1" customHeight="1" s="15">
      <c r="B31" s="15" t="inlineStr">
        <is>
          <t>für 03/2024 am</t>
        </is>
      </c>
      <c r="C31" s="169" t="n">
        <v>45420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     </t>
        </is>
      </c>
    </row>
  </sheetData>
  <mergeCells count="12">
    <mergeCell ref="F10:H10"/>
    <mergeCell ref="G9:H9"/>
    <mergeCell ref="G7:H7"/>
    <mergeCell ref="E7:F7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E24" sqref="E24:H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4.42578125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45540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10113-2024-006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>
        <v>45511</v>
      </c>
      <c r="M22" s="93" t="n"/>
      <c r="N22" s="202" t="n">
        <v>6000</v>
      </c>
      <c r="O22" s="183" t="inlineStr">
        <is>
          <t>A</t>
        </is>
      </c>
      <c r="P22" s="20" t="n">
        <v>3</v>
      </c>
      <c r="Q22" s="193">
        <f>P22/10*355</f>
        <v/>
      </c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189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inlineStr">
        <is>
          <t>Zusammenstellung von Daten für die Bauhaupterhebung</t>
        </is>
      </c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ROUNDDOWN((994683.56/7*12*0.9)/100,)*100</f>
        <v/>
      </c>
      <c r="F24" s="159" t="inlineStr">
        <is>
          <t>C</t>
        </is>
      </c>
      <c r="G24" s="183" t="n">
        <v>4</v>
      </c>
      <c r="H24" s="193">
        <f>G24/10*1197</f>
        <v/>
      </c>
      <c r="K24" s="94" t="inlineStr">
        <is>
          <t>des stat. Landesamtes 2024</t>
        </is>
      </c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04/2024 am</t>
        </is>
      </c>
      <c r="C25" s="169" t="n">
        <v>45453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G27/10*1197</f>
        <v/>
      </c>
    </row>
    <row r="28" ht="15" customFormat="1" customHeight="1" s="15">
      <c r="B28" s="15" t="inlineStr">
        <is>
          <t>für 05/2024 am</t>
        </is>
      </c>
      <c r="C28" s="169" t="n">
        <v>45482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G30/10*1197</f>
        <v/>
      </c>
    </row>
    <row r="31" ht="15" customFormat="1" customHeight="1" s="15">
      <c r="B31" s="15" t="inlineStr">
        <is>
          <t>für 06/2024 am</t>
        </is>
      </c>
      <c r="C31" s="169" t="n">
        <v>45512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C33" s="159" t="n"/>
      <c r="D33" s="159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</t>
        </is>
      </c>
    </row>
  </sheetData>
  <mergeCells count="14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  <mergeCell ref="C23:D23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5:S57"/>
  <sheetViews>
    <sheetView topLeftCell="A16" zoomScale="130" zoomScaleNormal="130" workbookViewId="0">
      <selection activeCell="A24" sqref="A24:H38"/>
    </sheetView>
  </sheetViews>
  <sheetFormatPr baseColWidth="10" defaultColWidth="11.5703125" defaultRowHeight="15.75"/>
  <cols>
    <col width="3.5703125" customWidth="1" style="6" min="1" max="1"/>
    <col width="31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45642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60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64" t="inlineStr">
        <is>
          <t>10113-2024-007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53" t="n"/>
      <c r="F14" s="47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4.25" customFormat="1" customHeight="1" s="49">
      <c r="A18" s="170" t="n"/>
      <c r="B18" s="170" t="n"/>
      <c r="C18" s="170" t="n"/>
      <c r="D18" s="170" t="n"/>
      <c r="E18" s="170" t="n"/>
      <c r="F18" s="170" t="n"/>
      <c r="G18" s="170" t="n"/>
      <c r="H18" s="170" t="n"/>
      <c r="K18" s="58" t="n"/>
    </row>
    <row r="19" ht="15" customFormat="1" customHeight="1" s="140">
      <c r="A19" s="140" t="inlineStr">
        <is>
          <t xml:space="preserve">Für die nachfolgend aufgeführten Leistungen erlaube ich mir nach der Steuerberatervergütungs- </t>
        </is>
      </c>
      <c r="B19" s="43" t="n"/>
      <c r="D19" s="52" t="n"/>
      <c r="E19" s="53" t="n"/>
      <c r="F19" s="47" t="n"/>
      <c r="K19" s="58" t="n"/>
    </row>
    <row r="20" ht="15" customFormat="1" customHeight="1" s="140">
      <c r="A20" s="140" t="inlineStr">
        <is>
          <t>verordnung wie folgt abzurechnen:</t>
        </is>
      </c>
      <c r="B20" s="43" t="n"/>
      <c r="D20" s="52" t="n"/>
      <c r="E20" s="53" t="n"/>
      <c r="F20" s="47" t="n"/>
    </row>
    <row r="21" ht="4.5" customFormat="1" customHeight="1" s="140">
      <c r="D21" s="52" t="n"/>
      <c r="E21" s="52" t="n"/>
      <c r="F21" s="53" t="n"/>
      <c r="G21" s="52" t="n"/>
    </row>
    <row r="22" ht="15" customFormat="1" customHeight="1" s="140">
      <c r="A22" s="50" t="inlineStr">
        <is>
          <t>Leistung</t>
        </is>
      </c>
      <c r="B22" s="51" t="n"/>
      <c r="C22" s="50" t="n"/>
      <c r="D22" s="52" t="n"/>
      <c r="E22" s="52" t="inlineStr">
        <is>
          <t>Gegenstands-</t>
        </is>
      </c>
      <c r="F22" s="53" t="inlineStr">
        <is>
          <t>Tabelle</t>
        </is>
      </c>
      <c r="G22" s="52" t="inlineStr">
        <is>
          <t>Arbeit-</t>
        </is>
      </c>
      <c r="H22" s="53" t="inlineStr">
        <is>
          <t>Gebühr</t>
        </is>
      </c>
    </row>
    <row r="23" ht="15" customFormat="1" customHeight="1" s="140">
      <c r="A23" s="54" t="inlineStr">
        <is>
          <t>§§</t>
        </is>
      </c>
      <c r="B23" s="54" t="n"/>
      <c r="C23" s="181" t="inlineStr">
        <is>
          <t>am/in:</t>
        </is>
      </c>
      <c r="D23" s="55" t="n"/>
      <c r="E23" s="56" t="inlineStr">
        <is>
          <t>wert</t>
        </is>
      </c>
      <c r="F23" s="56" t="n"/>
      <c r="G23" s="57" t="inlineStr">
        <is>
          <t>nehmer</t>
        </is>
      </c>
      <c r="H23" s="181" t="n"/>
    </row>
    <row r="24" ht="13.5" customFormat="1" customHeight="1" s="58">
      <c r="A24" s="58" t="n">
        <v>34</v>
      </c>
      <c r="B24" s="58" t="inlineStr">
        <is>
          <t xml:space="preserve">Löhne/Gehälter 07/2024 </t>
        </is>
      </c>
      <c r="D24" s="60" t="n"/>
    </row>
    <row r="25" ht="13.5" customFormat="1" customHeight="1" s="58">
      <c r="B25" s="63" t="inlineStr">
        <is>
          <t xml:space="preserve"> - Einrichten von Lohnkonten (Cristea)</t>
        </is>
      </c>
      <c r="C25" s="143" t="inlineStr">
        <is>
          <t>07/2024</t>
        </is>
      </c>
      <c r="D25" s="60" t="n"/>
      <c r="E25" s="212" t="n">
        <v>15</v>
      </c>
      <c r="G25" s="213" t="n">
        <v>1</v>
      </c>
      <c r="H25" s="211">
        <f>+G25*E25</f>
        <v/>
      </c>
    </row>
    <row r="26" ht="13.5" customFormat="1" customHeight="1" s="58">
      <c r="B26" s="63" t="inlineStr">
        <is>
          <t xml:space="preserve"> - Lohnabrechnungen inkl. </t>
        </is>
      </c>
      <c r="C26" s="59" t="n"/>
      <c r="D26" s="60" t="n"/>
    </row>
    <row r="27" ht="13.5" customFormat="1" customHeight="1" s="58">
      <c r="B27" s="58" t="inlineStr">
        <is>
          <t xml:space="preserve">   Sozialvers.-meldungen</t>
        </is>
      </c>
      <c r="C27" s="59" t="n">
        <v>45497</v>
      </c>
      <c r="D27" s="60" t="n"/>
      <c r="E27" s="212" t="n">
        <v>15</v>
      </c>
      <c r="G27" s="213" t="n">
        <v>15</v>
      </c>
      <c r="H27" s="211">
        <f>+G27*E27</f>
        <v/>
      </c>
    </row>
    <row r="28" ht="3" customFormat="1" customHeight="1" s="58">
      <c r="C28" s="59" t="n"/>
      <c r="D28" s="60" t="n"/>
      <c r="E28" s="212" t="n"/>
      <c r="G28" s="213" t="n"/>
      <c r="H28" s="211" t="n"/>
    </row>
    <row r="29" ht="13.5" customFormat="1" customHeight="1" s="58">
      <c r="A29" s="58" t="n">
        <v>34</v>
      </c>
      <c r="B29" s="58" t="inlineStr">
        <is>
          <t xml:space="preserve">Löhne/Gehälter 08/2024 </t>
        </is>
      </c>
      <c r="D29" s="60" t="n"/>
    </row>
    <row r="30" ht="13.5" customFormat="1" customHeight="1" s="58">
      <c r="B30" s="63" t="inlineStr">
        <is>
          <t xml:space="preserve"> - Lohnabrechnungen inkl. </t>
        </is>
      </c>
      <c r="C30" s="59" t="n"/>
      <c r="D30" s="60" t="n"/>
      <c r="N30" s="59" t="n"/>
      <c r="O30" s="60" t="n"/>
      <c r="P30" s="212" t="n"/>
      <c r="R30" s="213" t="n"/>
      <c r="S30" s="211" t="n"/>
    </row>
    <row r="31" ht="13.5" customFormat="1" customHeight="1" s="58">
      <c r="B31" s="58" t="inlineStr">
        <is>
          <t xml:space="preserve">   Sozialvers.-meldungen</t>
        </is>
      </c>
      <c r="C31" s="59" t="n">
        <v>45527</v>
      </c>
      <c r="D31" s="60" t="n"/>
      <c r="E31" s="212" t="n">
        <v>15</v>
      </c>
      <c r="G31" s="213" t="n">
        <v>15</v>
      </c>
      <c r="H31" s="211">
        <f>+G31*E31</f>
        <v/>
      </c>
      <c r="M31" s="63" t="n"/>
      <c r="N31" s="59" t="n"/>
      <c r="O31" s="60" t="n"/>
    </row>
    <row r="32" ht="5.25" customFormat="1" customHeight="1" s="58">
      <c r="C32" s="59" t="n"/>
      <c r="D32" s="60" t="n"/>
      <c r="E32" s="212" t="n"/>
      <c r="G32" s="213" t="n"/>
      <c r="H32" s="211" t="n"/>
      <c r="M32" s="63" t="n"/>
      <c r="N32" s="59" t="n"/>
      <c r="O32" s="60" t="n"/>
    </row>
    <row r="33" ht="13.5" customFormat="1" customHeight="1" s="58">
      <c r="A33" s="58" t="n">
        <v>34</v>
      </c>
      <c r="B33" s="58" t="inlineStr">
        <is>
          <t xml:space="preserve">Löhne/Gehälter 09/2024 </t>
        </is>
      </c>
      <c r="D33" s="60" t="n"/>
    </row>
    <row r="34" ht="13.5" customFormat="1" customHeight="1" s="58">
      <c r="B34" s="63" t="inlineStr">
        <is>
          <t xml:space="preserve"> - Lohnabrechnungen inkl. </t>
        </is>
      </c>
      <c r="C34" s="59" t="n"/>
      <c r="D34" s="60" t="n"/>
    </row>
    <row r="35" ht="13.5" customFormat="1" customHeight="1" s="58">
      <c r="B35" s="58" t="inlineStr">
        <is>
          <t xml:space="preserve">   Sozialvers.-meldungen</t>
        </is>
      </c>
      <c r="C35" s="59" t="n">
        <v>45555</v>
      </c>
      <c r="D35" s="60" t="n"/>
      <c r="E35" s="212" t="n">
        <v>15</v>
      </c>
      <c r="G35" s="213" t="n">
        <v>14</v>
      </c>
      <c r="H35" s="211">
        <f>+G35*E35</f>
        <v/>
      </c>
    </row>
    <row r="36" ht="5.25" customFormat="1" customHeight="1" s="58">
      <c r="C36" s="59" t="n"/>
      <c r="D36" s="60" t="n"/>
      <c r="E36" s="212" t="n"/>
      <c r="G36" s="213" t="n"/>
      <c r="H36" s="211" t="n"/>
    </row>
    <row r="37" ht="13.5" customFormat="1" customHeight="1" s="58">
      <c r="A37" s="58" t="n">
        <v>16</v>
      </c>
      <c r="B37" s="58" t="inlineStr">
        <is>
          <t xml:space="preserve">Auslagenersatz für Post- und </t>
        </is>
      </c>
      <c r="C37" s="59" t="n"/>
      <c r="D37" s="60" t="n"/>
      <c r="E37" s="212" t="n"/>
      <c r="G37" s="213" t="n"/>
      <c r="H37" s="211" t="n"/>
    </row>
    <row r="38" ht="13.5" customFormat="1" customHeight="1" s="58">
      <c r="B38" s="58" t="inlineStr">
        <is>
          <t>Telekommunikation</t>
        </is>
      </c>
      <c r="C38" s="59" t="inlineStr">
        <is>
          <t>III/2024</t>
        </is>
      </c>
      <c r="D38" s="60" t="n"/>
      <c r="E38" s="211">
        <f>SUM(H24:H36)*0.2</f>
        <v/>
      </c>
      <c r="G38" s="211" t="n"/>
      <c r="H38" s="211">
        <f>(G27+G31+G35)*1.3</f>
        <v/>
      </c>
    </row>
    <row r="39" ht="6.75" customFormat="1" customHeight="1" s="58">
      <c r="C39" s="60" t="n"/>
      <c r="D39" s="60" t="n"/>
      <c r="E39" s="214" t="n"/>
      <c r="F39" s="68" t="n"/>
      <c r="G39" s="69" t="n"/>
      <c r="H39" s="215" t="n"/>
    </row>
    <row r="40" ht="13.5" customFormat="1" customHeight="1" s="58">
      <c r="A40" s="71" t="n"/>
      <c r="B40" s="71" t="n"/>
      <c r="E40" s="58" t="inlineStr">
        <is>
          <t>Gesamt</t>
        </is>
      </c>
      <c r="F40" s="71" t="n"/>
      <c r="G40" s="81" t="n"/>
      <c r="H40" s="211">
        <f>SUM(H24:H39)</f>
        <v/>
      </c>
      <c r="J40" s="211" t="n"/>
    </row>
    <row r="41" ht="13.5" customFormat="1" customHeight="1" s="58">
      <c r="E41" s="74" t="inlineStr">
        <is>
          <t>USt 19%</t>
        </is>
      </c>
      <c r="F41" s="71" t="n"/>
      <c r="G41" s="81" t="n"/>
      <c r="H41" s="211">
        <f>+H40*19%</f>
        <v/>
      </c>
    </row>
    <row r="42" ht="14.25" customFormat="1" customHeight="1" s="58" thickBot="1">
      <c r="E42" s="75" t="inlineStr">
        <is>
          <t>Rechnungsendbetrag</t>
        </is>
      </c>
      <c r="F42" s="76" t="n"/>
      <c r="G42" s="77" t="n"/>
      <c r="H42" s="216">
        <f>SUM(H40:H41)</f>
        <v/>
      </c>
      <c r="J42" s="211" t="n"/>
    </row>
    <row r="43" ht="5.25" customFormat="1" customHeight="1" s="58" thickTop="1">
      <c r="E43" s="79" t="n"/>
      <c r="F43" s="80" t="n"/>
      <c r="G43" s="81" t="n"/>
      <c r="H43" s="211" t="n"/>
      <c r="J43" s="211" t="n"/>
    </row>
    <row r="44" ht="15" customFormat="1" customHeight="1" s="58">
      <c r="A44" s="15" t="inlineStr">
        <is>
          <t>Bitte überweisen Sie den Betrag ohne Abzüge innerhalb von 14 Tagen auf das angegebene Konto.</t>
        </is>
      </c>
      <c r="B44" s="71" t="n"/>
      <c r="D44" s="81" t="n"/>
      <c r="E44" s="80" t="n"/>
      <c r="F44" s="62" t="n"/>
    </row>
    <row r="45" ht="13.5" customFormat="1" customHeight="1" s="58">
      <c r="D45" s="81" t="n"/>
      <c r="E45" s="80" t="n"/>
      <c r="F45" s="62" t="n"/>
    </row>
    <row r="46" ht="15" customFormat="1" customHeight="1" s="15">
      <c r="D46" s="90" t="n"/>
      <c r="E46" s="183" t="n"/>
      <c r="F46" s="90" t="n"/>
      <c r="G46" s="10" t="n"/>
    </row>
    <row r="47" ht="20.25" customHeight="1">
      <c r="B47" s="21" t="n"/>
    </row>
    <row r="50" ht="19.5" customHeight="1"/>
    <row r="51" ht="19.5" customHeight="1"/>
    <row r="52" ht="12.75" customFormat="1" customHeight="1" s="58"/>
    <row r="53" ht="13.5" customFormat="1" customHeight="1" s="58">
      <c r="A53" s="147" t="inlineStr">
        <is>
          <t xml:space="preserve">Steuernummer: 014 801 32096      </t>
        </is>
      </c>
    </row>
    <row r="54" ht="13.5" customFormat="1" customHeight="1" s="58">
      <c r="C54" s="59" t="n"/>
      <c r="D54" s="60" t="n"/>
      <c r="E54" s="212" t="n"/>
      <c r="G54" s="213" t="n"/>
      <c r="H54" s="211" t="n"/>
    </row>
    <row r="55" ht="13.5" customFormat="1" customHeight="1" s="58">
      <c r="C55" s="59" t="n"/>
      <c r="D55" s="60" t="n"/>
      <c r="E55" s="212" t="n"/>
      <c r="G55" s="213" t="n"/>
      <c r="H55" s="211" t="n"/>
    </row>
    <row r="57">
      <c r="D57" s="6" t="n"/>
      <c r="E57" s="6" t="n"/>
      <c r="F57" s="6" t="n"/>
    </row>
  </sheetData>
  <mergeCells count="10">
    <mergeCell ref="F10:H10"/>
    <mergeCell ref="F11:H11"/>
    <mergeCell ref="A53:H53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5:Q51"/>
  <sheetViews>
    <sheetView topLeftCell="A13" workbookViewId="0">
      <selection activeCell="A51" sqref="A51:H51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45642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10113-2024-008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ROUNDDOWN((994683.56/7*12*0.9)/100,)*100</f>
        <v/>
      </c>
      <c r="F24" s="159" t="inlineStr">
        <is>
          <t>C</t>
        </is>
      </c>
      <c r="G24" s="183" t="n">
        <v>3</v>
      </c>
      <c r="H24" s="193">
        <f>G24/10*1197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07/2024 am</t>
        </is>
      </c>
      <c r="C25" s="169" t="n">
        <v>45540</v>
      </c>
      <c r="D25" s="159" t="n"/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G27/10*1197</f>
        <v/>
      </c>
    </row>
    <row r="28" ht="15" customFormat="1" customHeight="1" s="15">
      <c r="B28" s="15" t="inlineStr">
        <is>
          <t>für 08/2024 am</t>
        </is>
      </c>
      <c r="C28" s="144" t="n">
        <v>45571</v>
      </c>
      <c r="D28" s="144" t="n"/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G30/10*1197</f>
        <v/>
      </c>
    </row>
    <row r="31" ht="15" customFormat="1" customHeight="1" s="15">
      <c r="B31" s="15" t="inlineStr">
        <is>
          <t>für 09/2024 am</t>
        </is>
      </c>
      <c r="C31" s="169" t="n">
        <v>45603</v>
      </c>
      <c r="D31" s="169" t="n"/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</t>
        </is>
      </c>
    </row>
  </sheetData>
  <mergeCells count="10">
    <mergeCell ref="F10:H10"/>
    <mergeCell ref="F11:H11"/>
    <mergeCell ref="G7:H7"/>
    <mergeCell ref="E7:F7"/>
    <mergeCell ref="A16:H16"/>
    <mergeCell ref="A51:H51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5:R52"/>
  <sheetViews>
    <sheetView topLeftCell="A13" workbookViewId="0">
      <selection activeCell="J20" sqref="J2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9"/>
    <col width="14.140625" customWidth="1" style="6" min="10" max="11"/>
    <col width="13.140625" bestFit="1" customWidth="1" style="6" min="12" max="12"/>
    <col width="11.5703125" customWidth="1" style="6" min="13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45644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10113-2024-009</t>
        </is>
      </c>
      <c r="H9" s="188" t="n"/>
      <c r="K9" s="15" t="n">
        <v>27</v>
      </c>
      <c r="L9" s="15" t="inlineStr">
        <is>
          <t>Prüfung der Bescheide zur Körperschaftsteuer,</t>
        </is>
      </c>
      <c r="M9" s="159" t="n"/>
      <c r="O9" s="203" t="n">
        <v>80</v>
      </c>
      <c r="P9" s="183" t="inlineStr">
        <is>
          <t>Zeitgeb.</t>
        </is>
      </c>
      <c r="Q9" s="204" t="n">
        <v>0.5</v>
      </c>
      <c r="R9" s="193">
        <f>+Q9*O9</f>
        <v/>
      </c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</f>
        <v/>
      </c>
      <c r="H10" s="190" t="n"/>
      <c r="L10" s="15" t="inlineStr">
        <is>
          <t xml:space="preserve">zum Gewerbesteuermeßbetrag und zur Feststellung </t>
        </is>
      </c>
      <c r="M10" s="159" t="n"/>
      <c r="O10" s="202" t="n"/>
      <c r="P10" s="183" t="n"/>
      <c r="Q10" s="20" t="n"/>
      <c r="R10" s="193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L11" s="15" t="inlineStr">
        <is>
          <t>körperschaftsteuerlicher Bemessungsgrundlagen 2016</t>
        </is>
      </c>
      <c r="M11" s="159" t="n"/>
      <c r="O11" s="202" t="n"/>
      <c r="P11" s="183" t="n"/>
      <c r="Q11" s="20" t="n"/>
      <c r="R11" s="193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  <c r="K12" s="15" t="n"/>
      <c r="L12" s="15" t="inlineStr">
        <is>
          <t>am 06.09.2017</t>
        </is>
      </c>
      <c r="M12" s="159" t="n"/>
      <c r="N12" s="15" t="n"/>
      <c r="O12" s="202" t="n"/>
      <c r="P12" s="183" t="n"/>
      <c r="Q12" s="20" t="n"/>
      <c r="R12" s="193" t="n"/>
    </row>
    <row r="17" ht="14.25" customFormat="1" customHeight="1" s="12">
      <c r="A17" s="152" t="inlineStr">
        <is>
          <t xml:space="preserve">Rechnung über Honorare </t>
        </is>
      </c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4.25" customFormat="1" customHeight="1" s="12">
      <c r="A19" s="152" t="n"/>
      <c r="B19" s="152" t="n"/>
      <c r="C19" s="152" t="n"/>
      <c r="D19" s="152" t="n"/>
      <c r="E19" s="152" t="n"/>
      <c r="F19" s="152" t="n"/>
      <c r="G19" s="152" t="n"/>
      <c r="H19" s="152" t="n"/>
    </row>
    <row r="20" ht="15" customFormat="1" customHeight="1" s="15">
      <c r="A20" s="15" t="inlineStr">
        <is>
          <t xml:space="preserve">Für die nachfolgend aufgeführten Leistungen erlaube ich mir nach der Steuerberatervergütungs- </t>
        </is>
      </c>
      <c r="B20" s="13" t="n"/>
      <c r="D20" s="90" t="n"/>
      <c r="E20" s="183" t="n"/>
      <c r="F20" s="90" t="n"/>
      <c r="G20" s="18" t="n"/>
    </row>
    <row r="21" ht="15" customFormat="1" customHeight="1" s="15">
      <c r="A21" s="15" t="inlineStr">
        <is>
          <t>verordnung wie folgt abzurechnen:</t>
        </is>
      </c>
      <c r="B21" s="13" t="n"/>
      <c r="D21" s="90" t="n"/>
      <c r="E21" s="183" t="n"/>
      <c r="F21" s="90" t="n"/>
      <c r="G21" s="18" t="n"/>
    </row>
    <row r="22" ht="9" customFormat="1" customHeight="1" s="15">
      <c r="D22" s="90" t="n"/>
      <c r="E22" s="183" t="n"/>
      <c r="F22" s="10" t="n"/>
      <c r="G22" s="18" t="n"/>
      <c r="J22" s="202" t="n"/>
      <c r="K22" s="202" t="n"/>
      <c r="L22" s="202" t="n"/>
      <c r="M22" s="202" t="n"/>
      <c r="N22" s="202" t="n"/>
      <c r="O22" s="202" t="n"/>
    </row>
    <row r="23" ht="15" customFormat="1" customHeight="1" s="15">
      <c r="A23" s="17" t="inlineStr">
        <is>
          <t>Leistung</t>
        </is>
      </c>
      <c r="B23" s="19" t="n"/>
      <c r="C23" s="17" t="n"/>
      <c r="D23" s="90" t="n"/>
      <c r="E23" s="90" t="inlineStr">
        <is>
          <t>Gegenstands-</t>
        </is>
      </c>
      <c r="F23" s="183" t="inlineStr">
        <is>
          <t>Tabelle</t>
        </is>
      </c>
      <c r="G23" s="20" t="inlineStr">
        <is>
          <t>Geb.-</t>
        </is>
      </c>
      <c r="H23" s="183" t="inlineStr">
        <is>
          <t>Gebühr</t>
        </is>
      </c>
      <c r="J23" s="202" t="n"/>
      <c r="K23" s="202" t="n"/>
      <c r="L23" s="202" t="n"/>
      <c r="M23" s="202" t="n"/>
      <c r="N23" s="202" t="n"/>
      <c r="O23" s="202" t="n"/>
    </row>
    <row r="24" ht="15" customFormat="1" customHeight="1" s="15">
      <c r="A24" s="21" t="inlineStr">
        <is>
          <t>§§</t>
        </is>
      </c>
      <c r="B24" s="21" t="n"/>
      <c r="C24" s="21" t="n"/>
      <c r="D24" s="22" t="n"/>
      <c r="E24" s="22" t="inlineStr">
        <is>
          <t xml:space="preserve"> wert</t>
        </is>
      </c>
      <c r="F24" s="150" t="n"/>
      <c r="G24" s="24" t="inlineStr">
        <is>
          <t>satz</t>
        </is>
      </c>
      <c r="H24" s="25" t="n"/>
      <c r="J24" s="202" t="n"/>
      <c r="K24" s="202" t="n"/>
      <c r="L24" s="202" t="n"/>
      <c r="M24" s="202" t="n"/>
      <c r="N24" s="202" t="n"/>
      <c r="O24" s="202" t="n"/>
    </row>
    <row r="25" ht="16.5" customFormat="1" customHeight="1" s="15">
      <c r="A25" s="15" t="n">
        <v>35</v>
      </c>
      <c r="B25" s="15" t="inlineStr">
        <is>
          <t>Jahresabschluß</t>
        </is>
      </c>
      <c r="C25" s="159" t="n">
        <v>2023</v>
      </c>
      <c r="E25" s="202">
        <f>+(J25+K25)/2</f>
        <v/>
      </c>
      <c r="F25" s="183" t="inlineStr">
        <is>
          <t>B</t>
        </is>
      </c>
      <c r="G25" s="20" t="n">
        <v>25</v>
      </c>
      <c r="H25" s="193">
        <f>G25/10*1126</f>
        <v/>
      </c>
      <c r="J25" s="202" t="n">
        <v>584508.0699999999</v>
      </c>
      <c r="K25" s="202" t="n">
        <v>1451959.38</v>
      </c>
      <c r="L25" s="202" t="n"/>
      <c r="M25" s="202" t="n"/>
      <c r="N25" s="202" t="n"/>
      <c r="O25" s="202" t="n"/>
    </row>
    <row r="26" ht="5.25" customFormat="1" customHeight="1" s="15">
      <c r="C26" s="159" t="n"/>
      <c r="E26" s="202" t="n"/>
      <c r="F26" s="183" t="n"/>
      <c r="G26" s="20" t="n"/>
      <c r="H26" s="193" t="n"/>
      <c r="J26" s="202" t="n"/>
      <c r="K26" s="202" t="n"/>
      <c r="L26" s="202" t="n"/>
      <c r="M26" s="202" t="n"/>
      <c r="N26" s="202" t="n"/>
      <c r="O26" s="202" t="n"/>
    </row>
    <row r="27" ht="16.5" customFormat="1" customHeight="1" s="15">
      <c r="A27" s="15" t="n">
        <v>35</v>
      </c>
      <c r="B27" s="15" t="inlineStr">
        <is>
          <t>Steuerbilanz und -GuV</t>
        </is>
      </c>
      <c r="C27" s="159">
        <f>+C25</f>
        <v/>
      </c>
      <c r="E27" s="202">
        <f>+(J27+K27)/2</f>
        <v/>
      </c>
      <c r="F27" s="183" t="inlineStr">
        <is>
          <t>B</t>
        </is>
      </c>
      <c r="G27" s="20" t="n">
        <v>5</v>
      </c>
      <c r="H27" s="193">
        <f>G27/10*1062</f>
        <v/>
      </c>
      <c r="J27" s="202" t="n">
        <v>546512.0699999999</v>
      </c>
      <c r="K27" s="202">
        <f>+K25</f>
        <v/>
      </c>
      <c r="L27" s="202" t="n"/>
      <c r="M27" s="202" t="n"/>
      <c r="N27" s="202" t="n"/>
      <c r="O27" s="202" t="n"/>
    </row>
    <row r="28" ht="5.25" customFormat="1" customHeight="1" s="15">
      <c r="C28" s="159" t="n"/>
      <c r="E28" s="202" t="n"/>
      <c r="F28" s="183" t="n"/>
      <c r="G28" s="20" t="n"/>
      <c r="H28" s="193" t="n"/>
      <c r="J28" s="202" t="n"/>
      <c r="K28" s="202" t="n"/>
      <c r="L28" s="202" t="n"/>
      <c r="M28" s="202" t="n"/>
      <c r="N28" s="202" t="n"/>
      <c r="O28" s="202" t="n"/>
    </row>
    <row r="29" ht="15" customFormat="1" customHeight="1" s="15">
      <c r="A29" s="15" t="n">
        <v>24</v>
      </c>
      <c r="B29" s="15" t="inlineStr">
        <is>
          <t>Umsatzsteuerjahreserklärung</t>
        </is>
      </c>
      <c r="C29" s="159">
        <f>+C27</f>
        <v/>
      </c>
      <c r="E29" s="202">
        <f>+(1296167+255062)/10</f>
        <v/>
      </c>
      <c r="F29" s="183" t="inlineStr">
        <is>
          <t>A</t>
        </is>
      </c>
      <c r="G29" s="20" t="n">
        <v>2</v>
      </c>
      <c r="H29" s="193">
        <f>G29/10*1954</f>
        <v/>
      </c>
      <c r="J29" s="202" t="n"/>
      <c r="K29" s="202" t="n"/>
      <c r="L29" s="202" t="n"/>
      <c r="M29" s="202" t="n"/>
      <c r="N29" s="202" t="n"/>
      <c r="O29" s="202" t="n"/>
    </row>
    <row r="30" ht="5.25" customFormat="1" customHeight="1" s="15">
      <c r="C30" s="159" t="n"/>
      <c r="E30" s="202" t="n"/>
      <c r="F30" s="183" t="n"/>
      <c r="G30" s="20" t="n"/>
      <c r="H30" s="193" t="n"/>
      <c r="J30" s="202" t="n"/>
      <c r="K30" s="202" t="n"/>
      <c r="L30" s="202" t="n"/>
      <c r="M30" s="202" t="n"/>
      <c r="N30" s="202" t="n"/>
      <c r="O30" s="202" t="n"/>
    </row>
    <row r="31" ht="15" customFormat="1" customHeight="1" s="15">
      <c r="A31" s="15" t="n">
        <v>24</v>
      </c>
      <c r="B31" s="15" t="inlineStr">
        <is>
          <t>Gewerbesteuererklärung nach dem Gewerbe-</t>
        </is>
      </c>
      <c r="C31" s="159" t="n"/>
      <c r="E31" s="202" t="n">
        <v>96448.99000000001</v>
      </c>
      <c r="F31" s="183" t="inlineStr">
        <is>
          <t>A</t>
        </is>
      </c>
      <c r="G31" s="20" t="n">
        <v>2</v>
      </c>
      <c r="H31" s="193">
        <f>G31/10*1593</f>
        <v/>
      </c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B32" s="15" t="inlineStr">
        <is>
          <t xml:space="preserve">ertrag für </t>
        </is>
      </c>
      <c r="C32" s="159">
        <f>+C25</f>
        <v/>
      </c>
      <c r="E32" s="202" t="n"/>
      <c r="F32" s="183" t="n"/>
      <c r="G32" s="20" t="n"/>
      <c r="H32" s="193" t="n"/>
      <c r="J32" s="202" t="n"/>
      <c r="K32" s="202" t="n"/>
      <c r="L32" s="202" t="n"/>
      <c r="M32" s="202" t="n"/>
      <c r="N32" s="202" t="n"/>
      <c r="O32" s="202" t="n"/>
    </row>
    <row r="33" ht="5.25" customFormat="1" customHeight="1" s="15">
      <c r="C33" s="159" t="n"/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15" customFormat="1" customHeight="1" s="15">
      <c r="A34" s="15" t="n">
        <v>24</v>
      </c>
      <c r="B34" s="15" t="inlineStr">
        <is>
          <t>Gewerbesteuerzerlegungserklärung</t>
        </is>
      </c>
      <c r="C34" s="159">
        <f>+C32</f>
        <v/>
      </c>
      <c r="E34" s="202">
        <f>658006/10</f>
        <v/>
      </c>
      <c r="F34" s="183" t="inlineStr">
        <is>
          <t>A</t>
        </is>
      </c>
      <c r="G34" s="20" t="n">
        <v>2</v>
      </c>
      <c r="H34" s="193">
        <f>G34/10*1411</f>
        <v/>
      </c>
      <c r="J34" s="202" t="n"/>
      <c r="K34" s="202" t="n"/>
      <c r="L34" s="202" t="n"/>
      <c r="M34" s="202" t="n"/>
      <c r="N34" s="202" t="n"/>
      <c r="O34" s="202" t="n"/>
    </row>
    <row r="35" ht="5.25" customFormat="1" customHeight="1" s="15">
      <c r="C35" s="159" t="n"/>
      <c r="E35" s="202" t="n"/>
      <c r="F35" s="183" t="n"/>
      <c r="G35" s="20" t="n"/>
      <c r="H35" s="193" t="n"/>
      <c r="J35" s="202" t="n"/>
      <c r="K35" s="202" t="n"/>
      <c r="L35" s="202" t="n"/>
      <c r="M35" s="202" t="n"/>
      <c r="N35" s="202" t="n"/>
      <c r="O35" s="202" t="n"/>
    </row>
    <row r="36" ht="15" customFormat="1" customHeight="1" s="15">
      <c r="A36" s="15" t="n">
        <v>24</v>
      </c>
      <c r="B36" s="15" t="inlineStr">
        <is>
          <t xml:space="preserve">Körperschaftsteuererklärung für </t>
        </is>
      </c>
      <c r="C36" s="159">
        <f>+C32</f>
        <v/>
      </c>
      <c r="E36" s="202">
        <f>+E31</f>
        <v/>
      </c>
      <c r="F36" s="183" t="inlineStr">
        <is>
          <t>A</t>
        </is>
      </c>
      <c r="G36" s="20" t="n">
        <v>2</v>
      </c>
      <c r="H36" s="193">
        <f>+H31/G31*G36</f>
        <v/>
      </c>
      <c r="J36" s="202" t="n"/>
      <c r="K36" s="202" t="n"/>
      <c r="L36" s="202" t="n"/>
      <c r="M36" s="202" t="n"/>
      <c r="N36" s="202" t="n"/>
      <c r="O36" s="202" t="n"/>
    </row>
    <row r="37" ht="9" customFormat="1" customHeight="1" s="15">
      <c r="C37" s="159" t="n"/>
      <c r="E37" s="202" t="n"/>
      <c r="F37" s="183" t="n"/>
      <c r="G37" s="20" t="n"/>
      <c r="H37" s="193" t="n"/>
      <c r="J37" s="202" t="n"/>
      <c r="K37" s="202" t="n"/>
      <c r="L37" s="202" t="n"/>
      <c r="M37" s="202" t="n"/>
      <c r="N37" s="202" t="n"/>
      <c r="O37" s="202" t="n"/>
    </row>
    <row r="38" ht="15" customFormat="1" customHeight="1" s="15">
      <c r="C38" s="159" t="n"/>
      <c r="E38" s="202" t="n"/>
      <c r="F38" s="183" t="n"/>
      <c r="G38" s="20" t="n"/>
      <c r="H38" s="193" t="n"/>
    </row>
    <row r="39" ht="5.25" customFormat="1" customHeight="1" s="15">
      <c r="C39" s="159" t="n"/>
      <c r="E39" s="202" t="n"/>
      <c r="F39" s="183" t="n"/>
      <c r="G39" s="20" t="n"/>
      <c r="H39" s="193" t="n"/>
    </row>
    <row r="40" ht="15" customFormat="1" customHeight="1" s="15">
      <c r="I40" s="193" t="n"/>
    </row>
    <row r="41" ht="15.75" customFormat="1" customHeight="1" s="15">
      <c r="A41" s="15" t="n">
        <v>16</v>
      </c>
      <c r="B41" s="15" t="inlineStr">
        <is>
          <t xml:space="preserve">Auslagenersatz für Post- und </t>
        </is>
      </c>
      <c r="C41" s="159" t="n"/>
      <c r="E41" s="202">
        <f>SUM(H25:H36)*0.15</f>
        <v/>
      </c>
      <c r="F41" s="159" t="n"/>
      <c r="G41" s="20" t="n">
        <v>0</v>
      </c>
      <c r="H41" s="193" t="n">
        <v>20</v>
      </c>
      <c r="I41" s="193" t="n"/>
    </row>
    <row r="42" ht="15.75" customFormat="1" customHeight="1" s="15">
      <c r="B42" s="15" t="inlineStr">
        <is>
          <t>Telekommunikation</t>
        </is>
      </c>
      <c r="E42" s="90" t="n"/>
      <c r="G42" s="20" t="n"/>
      <c r="H42" s="193" t="n"/>
      <c r="I42" s="193" t="n"/>
    </row>
    <row r="43" ht="15" customFormat="1" customHeight="1" s="15">
      <c r="A43" s="112" t="inlineStr">
        <is>
          <t>*sofern nicht separat anders angegeben</t>
        </is>
      </c>
      <c r="B43" s="28" t="n"/>
      <c r="C43" s="28" t="n"/>
      <c r="D43" s="28" t="n"/>
      <c r="E43" s="29" t="inlineStr">
        <is>
          <t>Zwischensumme</t>
        </is>
      </c>
      <c r="F43" s="197" t="n"/>
      <c r="G43" s="31" t="n"/>
      <c r="H43" s="198">
        <f>SUM(H25:H42)</f>
        <v/>
      </c>
      <c r="I43" s="193" t="n"/>
      <c r="J43" s="193">
        <f>+'JA 2020'!H43</f>
        <v/>
      </c>
    </row>
    <row r="44" ht="15" customFormat="1" customHeight="1" s="15">
      <c r="A44" s="15" t="n"/>
      <c r="B44" s="15" t="n"/>
      <c r="C44" s="15" t="n"/>
      <c r="D44" s="15" t="n"/>
      <c r="E44" s="100" t="inlineStr">
        <is>
          <t>Umsatzsteuer 19%</t>
        </is>
      </c>
      <c r="F44" s="199" t="n"/>
      <c r="G44" s="35" t="n"/>
      <c r="H44" s="193">
        <f>+H43*0.19</f>
        <v/>
      </c>
      <c r="I44" s="193" t="n"/>
      <c r="J44" s="193">
        <f>+'JA 2021'!H43</f>
        <v/>
      </c>
    </row>
    <row r="45" customFormat="1" s="15" thickBot="1">
      <c r="A45" s="15" t="n"/>
      <c r="B45" s="15" t="n"/>
      <c r="C45" s="15" t="n"/>
      <c r="D45" s="15" t="n"/>
      <c r="E45" s="37" t="inlineStr">
        <is>
          <t>Rechnungsbetrag</t>
        </is>
      </c>
      <c r="F45" s="200" t="n"/>
      <c r="G45" s="39" t="n"/>
      <c r="H45" s="201">
        <f>SUM(H43:H44)</f>
        <v/>
      </c>
      <c r="I45" s="193" t="n"/>
      <c r="J45" s="193">
        <f>+'JA 2022'!H43</f>
        <v/>
      </c>
    </row>
    <row r="46" customFormat="1" s="15" thickTop="1">
      <c r="D46" s="90" t="n"/>
      <c r="E46" s="183" t="n"/>
      <c r="F46" s="10" t="n"/>
      <c r="I46" s="193" t="n"/>
    </row>
    <row r="49">
      <c r="B49" s="14" t="n"/>
    </row>
    <row r="50" ht="12.75" customFormat="1" customHeight="1" s="41"/>
    <row r="51" ht="12.75" customFormat="1" customHeight="1" s="41"/>
    <row r="52">
      <c r="A52" s="147" t="inlineStr">
        <is>
          <t xml:space="preserve">Steuernummer: 014 801 32096      </t>
        </is>
      </c>
    </row>
  </sheetData>
  <mergeCells count="11">
    <mergeCell ref="F11:H11"/>
    <mergeCell ref="G7:H7"/>
    <mergeCell ref="E7:F7"/>
    <mergeCell ref="E10:F10"/>
    <mergeCell ref="G10:H10"/>
    <mergeCell ref="A52:H52"/>
    <mergeCell ref="F12:H12"/>
    <mergeCell ref="G9:H9"/>
    <mergeCell ref="E9:F9"/>
    <mergeCell ref="E8:F8"/>
    <mergeCell ref="A17:H17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3:S59"/>
  <sheetViews>
    <sheetView workbookViewId="0">
      <selection activeCell="A54" sqref="A54:H54"/>
    </sheetView>
  </sheetViews>
  <sheetFormatPr baseColWidth="10" defaultColWidth="11.5703125" defaultRowHeight="15.75"/>
  <cols>
    <col width="3.5703125" customWidth="1" style="6" min="1" max="1"/>
    <col width="32.285156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n"/>
      <c r="N3" s="114" t="n"/>
      <c r="O3" s="60" t="n"/>
      <c r="P3" s="212" t="n"/>
      <c r="Q3" s="58" t="n"/>
      <c r="R3" s="213" t="n"/>
      <c r="S3" s="211" t="n"/>
    </row>
    <row r="4">
      <c r="M4" s="58" t="n"/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45721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10113-2025-001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100" t="n"/>
      <c r="F14" s="183" t="n"/>
      <c r="G14" s="183" t="n"/>
      <c r="H14" s="183" t="n"/>
    </row>
    <row r="15" ht="14.25" customFormat="1" customHeight="1" s="49">
      <c r="A15" s="170" t="inlineStr">
        <is>
          <t xml:space="preserve">Rechnung über Honorare </t>
        </is>
      </c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10/2024 </t>
        </is>
      </c>
      <c r="D22" s="60" t="n"/>
    </row>
    <row r="23" ht="13.5" customFormat="1" customHeight="1" s="58">
      <c r="B23" s="63" t="inlineStr">
        <is>
          <t xml:space="preserve"> - Einrichten v. Lohnkonten (Mymyun,</t>
        </is>
      </c>
      <c r="C23" s="114" t="inlineStr">
        <is>
          <t>10/2024</t>
        </is>
      </c>
      <c r="D23" s="60" t="n"/>
      <c r="E23" s="212" t="n">
        <v>9</v>
      </c>
      <c r="G23" s="213" t="n">
        <v>2</v>
      </c>
      <c r="H23" s="211">
        <f>+G23*E23</f>
        <v/>
      </c>
      <c r="J23" s="58" t="inlineStr">
        <is>
          <t>xx</t>
        </is>
      </c>
    </row>
    <row r="24" ht="13.5" customFormat="1" customHeight="1" s="58">
      <c r="B24" s="63" t="inlineStr">
        <is>
          <t xml:space="preserve">   Budimir)</t>
        </is>
      </c>
      <c r="C24" s="114" t="n"/>
      <c r="D24" s="60" t="n"/>
      <c r="E24" s="212" t="n"/>
      <c r="G24" s="213" t="n"/>
      <c r="H24" s="211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45589</v>
      </c>
      <c r="D26" s="60" t="n"/>
      <c r="E26" s="212" t="n">
        <v>15</v>
      </c>
      <c r="G26" s="213" t="n">
        <v>17</v>
      </c>
      <c r="H26" s="211">
        <f>+G26*E26</f>
        <v/>
      </c>
      <c r="J26" s="58" t="inlineStr">
        <is>
          <t>xx</t>
        </is>
      </c>
    </row>
    <row r="27" ht="6.7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11/2024 </t>
        </is>
      </c>
      <c r="D28" s="60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45618</v>
      </c>
      <c r="D30" s="60" t="n"/>
      <c r="E30" s="212" t="n">
        <v>15</v>
      </c>
      <c r="G30" s="213" t="n">
        <v>16</v>
      </c>
      <c r="H30" s="211">
        <f>+G30*E30</f>
        <v/>
      </c>
      <c r="J30" s="58" t="inlineStr">
        <is>
          <t>xx</t>
        </is>
      </c>
    </row>
    <row r="31" ht="6.7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12/2024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45644</v>
      </c>
      <c r="D34" s="60" t="n"/>
      <c r="E34" s="212" t="n">
        <v>15</v>
      </c>
      <c r="G34" s="213" t="n">
        <v>16</v>
      </c>
      <c r="H34" s="211">
        <f>+G34*E34</f>
        <v/>
      </c>
    </row>
    <row r="35" ht="6.7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>
      <c r="A36" s="58" t="n">
        <v>34</v>
      </c>
      <c r="B36" s="58" t="inlineStr">
        <is>
          <t>Hilfeleistung bei sonstigen Tätigkeiten im Zusammen-</t>
        </is>
      </c>
      <c r="C36" s="59" t="n"/>
      <c r="D36" s="60" t="n"/>
      <c r="E36" s="209" t="n">
        <v>80</v>
      </c>
      <c r="F36" s="58" t="inlineStr">
        <is>
          <t>Zeitgeb.</t>
        </is>
      </c>
      <c r="G36" s="210" t="n">
        <v>1</v>
      </c>
      <c r="H36" s="211">
        <f>+G36*E36</f>
        <v/>
      </c>
    </row>
    <row r="37" ht="13.5" customFormat="1" customHeight="1" s="58">
      <c r="B37" s="58" t="inlineStr">
        <is>
          <t>hang mit dem Lohnsteuerabzug/der Lohnbuchführung</t>
        </is>
      </c>
      <c r="C37" s="59" t="n"/>
      <c r="D37" s="60" t="n"/>
      <c r="E37" s="212" t="n"/>
      <c r="G37" s="213" t="n"/>
      <c r="H37" s="211" t="n"/>
    </row>
    <row r="38" ht="13.5" customFormat="1" customHeight="1" s="58">
      <c r="B38" s="63" t="inlineStr">
        <is>
          <t xml:space="preserve">- LFZ-Anträge Muset, Rakitic, Perikic, V, </t>
        </is>
      </c>
      <c r="C38" s="59" t="n"/>
      <c r="D38" s="60" t="n"/>
    </row>
    <row r="39" ht="13.5" customFormat="1" customHeight="1" s="58">
      <c r="B39" s="63" t="inlineStr">
        <is>
          <t xml:space="preserve">  Perikic, S.</t>
        </is>
      </c>
      <c r="C39" s="59" t="inlineStr">
        <is>
          <t>IV/2024</t>
        </is>
      </c>
      <c r="D39" s="60" t="n"/>
    </row>
    <row r="40" ht="5.25" customFormat="1" customHeight="1" s="58">
      <c r="B40" s="63" t="n"/>
      <c r="D40" s="60" t="n"/>
    </row>
    <row r="41" ht="13.5" customFormat="1" customHeight="1" s="58">
      <c r="A41" s="58" t="n">
        <v>16</v>
      </c>
      <c r="B41" s="58" t="inlineStr">
        <is>
          <t xml:space="preserve">Auslagenersatz für Post- und </t>
        </is>
      </c>
      <c r="C41" s="59" t="n"/>
      <c r="D41" s="60" t="n"/>
      <c r="E41" s="212" t="n"/>
      <c r="G41" s="213" t="n"/>
      <c r="H41" s="211" t="n"/>
    </row>
    <row r="42" ht="13.5" customFormat="1" customHeight="1" s="58">
      <c r="B42" s="58" t="inlineStr">
        <is>
          <t>Telekommunikation</t>
        </is>
      </c>
      <c r="C42" s="59" t="inlineStr">
        <is>
          <t>IV/2024</t>
        </is>
      </c>
      <c r="D42" s="60" t="n"/>
      <c r="E42" s="211">
        <f>SUM(H22:H35)*0.2</f>
        <v/>
      </c>
      <c r="G42" s="211" t="n"/>
      <c r="H42" s="211">
        <f>(G26+G30+G34)*1.3</f>
        <v/>
      </c>
    </row>
    <row r="43" ht="6.75" customFormat="1" customHeight="1" s="58">
      <c r="C43" s="60" t="n"/>
      <c r="D43" s="60" t="n"/>
      <c r="E43" s="214" t="n"/>
      <c r="F43" s="68" t="n"/>
      <c r="G43" s="69" t="n"/>
      <c r="H43" s="215" t="n"/>
    </row>
    <row r="44" ht="13.5" customFormat="1" customHeight="1" s="58">
      <c r="A44" s="71" t="n"/>
      <c r="B44" s="71" t="n"/>
      <c r="E44" s="58" t="inlineStr">
        <is>
          <t>Gesamt</t>
        </is>
      </c>
      <c r="F44" s="71" t="n"/>
      <c r="G44" s="81" t="n"/>
      <c r="H44" s="211">
        <f>SUM(H22:H43)</f>
        <v/>
      </c>
      <c r="J44" s="211" t="n"/>
    </row>
    <row r="45" ht="15" customFormat="1" customHeight="1" s="58">
      <c r="E45" s="100" t="inlineStr">
        <is>
          <t>Umsatzsteuer 19%</t>
        </is>
      </c>
      <c r="F45" s="199" t="n"/>
      <c r="G45" s="35" t="n"/>
      <c r="H45" s="193">
        <f>+H44*0.19</f>
        <v/>
      </c>
    </row>
    <row r="46" customFormat="1" s="58" thickBot="1">
      <c r="E46" s="37" t="inlineStr">
        <is>
          <t>Rechnungsbetrag</t>
        </is>
      </c>
      <c r="F46" s="200" t="n"/>
      <c r="G46" s="39" t="n"/>
      <c r="H46" s="201">
        <f>SUM(H44:H45)</f>
        <v/>
      </c>
      <c r="J46" s="211" t="n"/>
    </row>
    <row r="47" ht="5.25" customFormat="1" customHeight="1" s="58" thickTop="1">
      <c r="E47" s="79" t="n"/>
      <c r="F47" s="80" t="n"/>
      <c r="G47" s="81" t="n"/>
      <c r="H47" s="211" t="n"/>
      <c r="J47" s="211" t="n"/>
    </row>
    <row r="48" ht="15" customFormat="1" customHeight="1" s="58">
      <c r="A48" s="15" t="inlineStr">
        <is>
          <t>Bitte überweisen Sie den Betrag ohne Abzüge innerhalb von 14 Tagen auf das angegebene Konto.</t>
        </is>
      </c>
      <c r="B48" s="71" t="n"/>
      <c r="D48" s="81" t="n"/>
      <c r="E48" s="80" t="n"/>
      <c r="F48" s="62" t="n"/>
    </row>
    <row r="49" ht="15" customFormat="1" customHeight="1" s="15">
      <c r="D49" s="90" t="n"/>
      <c r="E49" s="183" t="n"/>
      <c r="F49" s="90" t="n"/>
      <c r="G49" s="10" t="n"/>
    </row>
    <row r="50" ht="15" customFormat="1" customHeight="1" s="15">
      <c r="D50" s="90" t="n"/>
      <c r="E50" s="183" t="n"/>
      <c r="F50" s="90" t="n"/>
      <c r="G50" s="10" t="n"/>
    </row>
    <row r="51">
      <c r="B51" s="21" t="n"/>
    </row>
    <row r="54" ht="13.5" customFormat="1" customHeight="1" s="58">
      <c r="A54" s="147" t="inlineStr">
        <is>
          <t xml:space="preserve">Steuernummer: 014 801 32096      </t>
        </is>
      </c>
    </row>
    <row r="55" ht="13.5" customFormat="1" customHeight="1" s="58">
      <c r="C55" s="59" t="n"/>
      <c r="D55" s="60" t="n"/>
      <c r="E55" s="212" t="n"/>
      <c r="G55" s="213" t="n"/>
      <c r="H55" s="211" t="n"/>
    </row>
    <row r="56" ht="13.5" customFormat="1" customHeight="1" s="58">
      <c r="C56" s="59" t="n"/>
      <c r="D56" s="60" t="n"/>
      <c r="E56" s="212" t="n"/>
      <c r="G56" s="213" t="n"/>
      <c r="H56" s="211" t="n"/>
    </row>
    <row r="57" ht="13.5" customFormat="1" customHeight="1" s="58">
      <c r="C57" s="59" t="n"/>
      <c r="D57" s="60" t="n"/>
      <c r="E57" s="212" t="n"/>
      <c r="G57" s="213" t="n"/>
      <c r="H57" s="211" t="n"/>
    </row>
    <row r="59">
      <c r="D59" s="6" t="n"/>
      <c r="E59" s="6" t="n"/>
      <c r="F59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G18" sqref="G18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45721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10113-2025-002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 t="n">
        <v>1997576</v>
      </c>
      <c r="F24" s="159" t="inlineStr">
        <is>
          <t>C</t>
        </is>
      </c>
      <c r="G24" s="183" t="n">
        <v>2.5</v>
      </c>
      <c r="H24" s="193">
        <f>G24/10*1503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10/2024 am</t>
        </is>
      </c>
      <c r="C25" s="117" t="n">
        <v>45666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G27/10*1503</f>
        <v/>
      </c>
    </row>
    <row r="28" ht="15" customFormat="1" customHeight="1" s="15">
      <c r="B28" s="15" t="inlineStr">
        <is>
          <t>für 11/2024 am</t>
        </is>
      </c>
      <c r="C28" s="169" t="n">
        <v>45666</v>
      </c>
      <c r="D28" s="169" t="n"/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G30/10*1503</f>
        <v/>
      </c>
    </row>
    <row r="31" ht="15" customFormat="1" customHeight="1" s="15">
      <c r="B31" s="15" t="inlineStr">
        <is>
          <t>für 12/2024 am</t>
        </is>
      </c>
      <c r="C31" s="169" t="n">
        <v>45693</v>
      </c>
      <c r="D31" s="169" t="n"/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</t>
        </is>
      </c>
    </row>
  </sheetData>
  <mergeCells count="10">
    <mergeCell ref="F10:H10"/>
    <mergeCell ref="F11:H11"/>
    <mergeCell ref="G7:H7"/>
    <mergeCell ref="E7:F7"/>
    <mergeCell ref="A16:H16"/>
    <mergeCell ref="A51:H51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3:S50"/>
  <sheetViews>
    <sheetView topLeftCell="A4" workbookViewId="0">
      <selection activeCell="G25" sqref="G25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3">
      <c r="M3" s="63" t="n"/>
      <c r="N3" s="114" t="n"/>
      <c r="O3" s="60" t="n"/>
      <c r="P3" s="212" t="n"/>
      <c r="Q3" s="58" t="n"/>
      <c r="R3" s="213" t="n"/>
      <c r="S3" s="211" t="n"/>
    </row>
    <row r="4">
      <c r="M4" s="58" t="n"/>
      <c r="N4" s="58" t="n"/>
      <c r="O4" s="60" t="n"/>
      <c r="P4" s="212" t="n"/>
      <c r="Q4" s="58" t="n"/>
      <c r="R4" s="213" t="n"/>
      <c r="S4" s="211" t="n"/>
    </row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45853</v>
      </c>
      <c r="H7" s="187" t="n"/>
      <c r="K7" s="58" t="n"/>
      <c r="L7" s="58" t="n"/>
      <c r="M7" s="59" t="n"/>
      <c r="N7" s="60" t="n"/>
      <c r="O7" s="212" t="n"/>
      <c r="P7" s="58" t="n"/>
      <c r="Q7" s="213" t="n"/>
      <c r="R7" s="211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60" t="n">
        <v>10113</v>
      </c>
      <c r="H8" s="188" t="n"/>
      <c r="K8" s="58" t="n"/>
      <c r="L8" s="58" t="n"/>
      <c r="M8" s="59" t="n"/>
      <c r="N8" s="60" t="n"/>
      <c r="O8" s="212" t="n"/>
      <c r="P8" s="58" t="n"/>
      <c r="Q8" s="213" t="n"/>
      <c r="R8" s="211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64" t="inlineStr">
        <is>
          <t>10113-2025-003</t>
        </is>
      </c>
      <c r="H9" s="190" t="n"/>
      <c r="K9" s="58" t="n"/>
      <c r="L9" s="58" t="n"/>
      <c r="M9" s="59" t="n"/>
      <c r="N9" s="60" t="n"/>
      <c r="O9" s="212" t="n"/>
      <c r="P9" s="58" t="n"/>
      <c r="Q9" s="213" t="n"/>
      <c r="R9" s="211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141" t="inlineStr">
        <is>
          <t>Leistungsdatum:</t>
        </is>
      </c>
      <c r="F10" s="140" t="n"/>
      <c r="G10" s="217">
        <f>+G7</f>
        <v/>
      </c>
      <c r="H10" s="188" t="n"/>
      <c r="K10" s="58" t="n"/>
      <c r="L10" s="63" t="n"/>
      <c r="M10" s="59" t="n"/>
      <c r="N10" s="60" t="n"/>
      <c r="O10" s="209" t="n"/>
      <c r="P10" s="58" t="n"/>
      <c r="Q10" s="210" t="n"/>
      <c r="R10" s="211" t="n"/>
    </row>
    <row r="11" ht="15" customFormat="1" customHeight="1" s="140">
      <c r="D11" s="52" t="n"/>
      <c r="E11" s="153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65" t="inlineStr">
        <is>
          <t>BIC:</t>
        </is>
      </c>
      <c r="F12" s="151" t="inlineStr">
        <is>
          <t>DEUTDEDBFRA</t>
        </is>
      </c>
      <c r="G12" s="189" t="n"/>
      <c r="H12" s="190" t="n"/>
    </row>
    <row r="13" ht="15" customFormat="1" customHeight="1" s="140">
      <c r="D13" s="52" t="n"/>
      <c r="E13" s="100" t="n"/>
      <c r="F13" s="183" t="n"/>
      <c r="G13" s="183" t="n"/>
      <c r="H13" s="183" t="n"/>
    </row>
    <row r="14" ht="15" customFormat="1" customHeight="1" s="140">
      <c r="D14" s="52" t="n"/>
      <c r="E14" s="100" t="n"/>
      <c r="F14" s="183" t="n"/>
      <c r="G14" s="183" t="n"/>
      <c r="H14" s="183" t="n"/>
    </row>
    <row r="15" ht="15" customFormat="1" customHeight="1" s="140">
      <c r="D15" s="52" t="n"/>
      <c r="E15" s="100" t="n"/>
      <c r="F15" s="183" t="n"/>
      <c r="G15" s="183" t="n"/>
      <c r="H15" s="183" t="n"/>
    </row>
    <row r="16" ht="14.25" customFormat="1" customHeight="1" s="49">
      <c r="A16" s="170" t="inlineStr">
        <is>
          <t xml:space="preserve">Rechnung über Honorare </t>
        </is>
      </c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</row>
    <row r="18" ht="14.25" customFormat="1" customHeight="1" s="49">
      <c r="A18" s="170" t="n"/>
      <c r="B18" s="170" t="n"/>
      <c r="C18" s="170" t="n"/>
      <c r="D18" s="170" t="n"/>
      <c r="E18" s="170" t="n"/>
      <c r="F18" s="170" t="n"/>
      <c r="G18" s="170" t="n"/>
      <c r="H18" s="170" t="n"/>
    </row>
    <row r="19" ht="15" customFormat="1" customHeight="1" s="140">
      <c r="A19" s="140" t="inlineStr">
        <is>
          <t xml:space="preserve">Für die nachfolgend aufgeführten Leistungen erlaube ich mir nach der Steuerberatervergütungs- </t>
        </is>
      </c>
      <c r="B19" s="43" t="n"/>
      <c r="D19" s="52" t="n"/>
      <c r="E19" s="53" t="n"/>
      <c r="F19" s="47" t="n"/>
    </row>
    <row r="20" ht="15" customFormat="1" customHeight="1" s="140">
      <c r="A20" s="140" t="inlineStr">
        <is>
          <t>verordnung wie folgt abzurechnen:</t>
        </is>
      </c>
      <c r="B20" s="43" t="n"/>
      <c r="D20" s="52" t="n"/>
      <c r="E20" s="53" t="n"/>
      <c r="F20" s="47" t="n"/>
    </row>
    <row r="21" ht="4.5" customFormat="1" customHeight="1" s="140">
      <c r="D21" s="52" t="n"/>
      <c r="E21" s="52" t="n"/>
      <c r="F21" s="53" t="n"/>
      <c r="G21" s="52" t="n"/>
    </row>
    <row r="22" ht="15" customFormat="1" customHeight="1" s="140">
      <c r="A22" s="50" t="inlineStr">
        <is>
          <t>Leistung</t>
        </is>
      </c>
      <c r="B22" s="51" t="n"/>
      <c r="C22" s="50" t="n"/>
      <c r="D22" s="52" t="n"/>
      <c r="E22" s="52" t="inlineStr">
        <is>
          <t>Gegenstands-</t>
        </is>
      </c>
      <c r="F22" s="53" t="inlineStr">
        <is>
          <t>Tabelle</t>
        </is>
      </c>
      <c r="G22" s="52" t="inlineStr">
        <is>
          <t>Arbeit-</t>
        </is>
      </c>
      <c r="H22" s="53" t="inlineStr">
        <is>
          <t>Gebühr</t>
        </is>
      </c>
    </row>
    <row r="23" ht="15" customFormat="1" customHeight="1" s="140">
      <c r="A23" s="54" t="inlineStr">
        <is>
          <t>§§</t>
        </is>
      </c>
      <c r="B23" s="54" t="n"/>
      <c r="C23" s="181" t="inlineStr">
        <is>
          <t>am/in:</t>
        </is>
      </c>
      <c r="D23" s="55" t="n"/>
      <c r="E23" s="56" t="inlineStr">
        <is>
          <t>wert</t>
        </is>
      </c>
      <c r="F23" s="56" t="n"/>
      <c r="G23" s="57" t="inlineStr">
        <is>
          <t>nehmer</t>
        </is>
      </c>
      <c r="H23" s="181" t="n"/>
    </row>
    <row r="24" ht="15" customFormat="1" customHeight="1" s="119">
      <c r="A24" s="15" t="n">
        <v>29</v>
      </c>
      <c r="B24" s="15" t="inlineStr">
        <is>
          <t>Teilnahme an der Außenprüfung für</t>
        </is>
      </c>
      <c r="C24" s="169" t="n"/>
      <c r="D24" s="93" t="n"/>
      <c r="E24" s="191" t="n">
        <v>120</v>
      </c>
      <c r="F24" s="15" t="inlineStr">
        <is>
          <t>Zeitgeb.</t>
        </is>
      </c>
      <c r="G24" s="192" t="n">
        <v>22</v>
      </c>
      <c r="H24" s="193">
        <f>+G24*E24</f>
        <v/>
      </c>
    </row>
    <row r="25" ht="15" customFormat="1" customHeight="1" s="119">
      <c r="A25" s="15" t="n"/>
      <c r="B25" s="108" t="inlineStr">
        <is>
          <t>2020-2022</t>
        </is>
      </c>
      <c r="C25" s="169" t="n"/>
      <c r="D25" s="93" t="n"/>
      <c r="E25" s="15" t="n"/>
      <c r="F25" s="15" t="n"/>
      <c r="G25" s="15" t="n"/>
      <c r="H25" s="15" t="n"/>
    </row>
    <row r="26" ht="15" customFormat="1" customHeight="1" s="119">
      <c r="A26" s="15" t="n"/>
      <c r="B26" s="108" t="inlineStr">
        <is>
          <t xml:space="preserve"> - Vorbereitung der Prüfung und Zusammen-</t>
        </is>
      </c>
      <c r="C26" s="169" t="n"/>
      <c r="D26" s="93" t="n"/>
      <c r="E26" s="194" t="n"/>
      <c r="F26" s="15" t="n"/>
      <c r="G26" s="195" t="n"/>
      <c r="H26" s="193" t="n"/>
    </row>
    <row r="27" ht="15" customFormat="1" customHeight="1" s="119">
      <c r="A27" s="15" t="n"/>
      <c r="B27" s="15" t="inlineStr">
        <is>
          <t xml:space="preserve">   stellung von Unterlagen vom 07.02.-18.02.2025</t>
        </is>
      </c>
      <c r="C27" s="169" t="n"/>
      <c r="D27" s="93" t="n"/>
      <c r="E27" s="194" t="n"/>
      <c r="F27" s="15" t="n"/>
      <c r="G27" s="195" t="n"/>
      <c r="H27" s="193" t="n"/>
    </row>
    <row r="28" ht="15" customFormat="1" customHeight="1" s="119">
      <c r="A28" s="15" t="n"/>
      <c r="B28" s="108" t="inlineStr">
        <is>
          <t xml:space="preserve"> - Prüfungstermine am 18. u. 19.02.2025</t>
        </is>
      </c>
      <c r="C28" s="169" t="n"/>
      <c r="D28" s="93" t="n"/>
      <c r="E28" s="194" t="n"/>
      <c r="F28" s="15" t="n"/>
      <c r="G28" s="195" t="n"/>
      <c r="H28" s="193" t="n"/>
    </row>
    <row r="29" ht="15" customFormat="1" customHeight="1" s="119">
      <c r="A29" s="15" t="n"/>
      <c r="B29" s="15" t="inlineStr">
        <is>
          <t xml:space="preserve"> - Beantwortung von Prüfunganfragen am 05.; 18. und 25.06.2025</t>
        </is>
      </c>
      <c r="C29" s="15" t="n"/>
      <c r="D29" s="90" t="n"/>
      <c r="E29" s="183" t="n"/>
      <c r="F29" s="10" t="n"/>
      <c r="G29" s="15" t="n"/>
      <c r="H29" s="15" t="n"/>
    </row>
    <row r="30" ht="15" customFormat="1" customHeight="1" s="119">
      <c r="A30" s="15" t="n"/>
      <c r="B30" s="15" t="inlineStr">
        <is>
          <t xml:space="preserve"> - telefonische Schlußbesprechnung mit dem Prüfer am 26.06.2025</t>
        </is>
      </c>
      <c r="C30" s="15" t="n"/>
      <c r="D30" s="90" t="n"/>
      <c r="E30" s="183" t="n"/>
      <c r="F30" s="10" t="n"/>
      <c r="G30" s="15" t="n"/>
      <c r="H30" s="15" t="n"/>
    </row>
    <row r="31" ht="15" customFormat="1" customHeight="1" s="119">
      <c r="A31" s="15" t="n"/>
      <c r="B31" s="15" t="inlineStr">
        <is>
          <t xml:space="preserve"> - Abschluß der Prüfung durch Prüfung der Abschlußmitteilung</t>
        </is>
      </c>
      <c r="C31" s="15" t="n"/>
      <c r="D31" s="90" t="n"/>
      <c r="E31" s="183" t="n"/>
      <c r="F31" s="10" t="n"/>
      <c r="G31" s="15" t="n"/>
      <c r="H31" s="15" t="n"/>
    </row>
    <row r="32" ht="15" customFormat="1" customHeight="1" s="119">
      <c r="A32" s="120" t="n"/>
      <c r="B32" s="15" t="inlineStr">
        <is>
          <t xml:space="preserve">   am 15.07.2025</t>
        </is>
      </c>
      <c r="C32" s="121" t="n"/>
      <c r="D32" s="122" t="n"/>
      <c r="E32" s="218" t="n"/>
      <c r="G32" s="219" t="n"/>
      <c r="H32" s="220" t="n"/>
    </row>
    <row r="33" ht="13.5" customFormat="1" customHeight="1" s="119">
      <c r="A33" s="120" t="n"/>
      <c r="C33" s="121" t="n"/>
      <c r="D33" s="122" t="n"/>
      <c r="E33" s="218" t="n"/>
      <c r="G33" s="219" t="n"/>
      <c r="H33" s="220" t="n"/>
    </row>
    <row r="34" ht="15" customFormat="1" customHeight="1" s="15">
      <c r="A34" s="15" t="n">
        <v>16</v>
      </c>
      <c r="B34" s="15" t="inlineStr">
        <is>
          <t xml:space="preserve">Auslagenersatz für Post- und </t>
        </is>
      </c>
      <c r="D34" s="93" t="n"/>
      <c r="E34" s="194" t="n"/>
      <c r="G34" s="195" t="n"/>
      <c r="H34" s="193" t="n"/>
    </row>
    <row r="35" ht="15" customFormat="1" customHeight="1" s="15">
      <c r="B35" s="15" t="inlineStr">
        <is>
          <t>Telekommunikation</t>
        </is>
      </c>
      <c r="C35" s="169" t="n"/>
      <c r="D35" s="93" t="n"/>
      <c r="E35" s="193" t="n"/>
      <c r="G35" s="193" t="n"/>
      <c r="H35" s="193" t="n">
        <v>20</v>
      </c>
    </row>
    <row r="36" ht="7.5" customFormat="1" customHeight="1" s="119">
      <c r="C36" s="122" t="n"/>
      <c r="D36" s="122" t="n"/>
      <c r="E36" s="221" t="n"/>
      <c r="F36" s="127" t="n"/>
      <c r="G36" s="128" t="n"/>
      <c r="H36" s="222" t="n"/>
    </row>
    <row r="37" ht="13.5" customFormat="1" customHeight="1" s="119">
      <c r="A37" s="130" t="n"/>
      <c r="B37" s="130" t="n"/>
      <c r="E37" s="119" t="inlineStr">
        <is>
          <t>Gesamt</t>
        </is>
      </c>
      <c r="F37" s="130" t="n"/>
      <c r="G37" s="131" t="n"/>
      <c r="H37" s="220">
        <f>SUM(H24:H35)</f>
        <v/>
      </c>
      <c r="J37" s="220" t="n"/>
    </row>
    <row r="38" ht="13.5" customFormat="1" customHeight="1" s="119">
      <c r="E38" s="132" t="inlineStr">
        <is>
          <t>USt 19%</t>
        </is>
      </c>
      <c r="F38" s="130" t="n"/>
      <c r="G38" s="131" t="n"/>
      <c r="H38" s="220">
        <f>+H37*0.19</f>
        <v/>
      </c>
    </row>
    <row r="39" ht="14.25" customFormat="1" customHeight="1" s="119" thickBot="1">
      <c r="E39" s="133" t="inlineStr">
        <is>
          <t>Rechnungsendbetrag</t>
        </is>
      </c>
      <c r="F39" s="134" t="n"/>
      <c r="G39" s="135" t="n"/>
      <c r="H39" s="223">
        <f>SUM(H37:H38)</f>
        <v/>
      </c>
      <c r="J39" s="220" t="n"/>
    </row>
    <row r="40" ht="9" customFormat="1" customHeight="1" s="119" thickTop="1">
      <c r="E40" s="137" t="n"/>
      <c r="F40" s="138" t="n"/>
      <c r="G40" s="131" t="n"/>
      <c r="H40" s="220" t="n"/>
      <c r="J40" s="220" t="n"/>
    </row>
    <row r="41" ht="13.5" customFormat="1" customHeight="1" s="119">
      <c r="A41" s="119" t="inlineStr">
        <is>
          <t>Bitte überweisen Sie die Summe ohne Abzüge innerhalb von 14 Tagen auf das unten angegebene</t>
        </is>
      </c>
      <c r="B41" s="130" t="n"/>
      <c r="D41" s="131" t="n"/>
      <c r="E41" s="138" t="n"/>
      <c r="F41" s="139" t="n"/>
    </row>
    <row r="42" ht="13.5" customFormat="1" customHeight="1" s="119">
      <c r="A42" s="119" t="inlineStr">
        <is>
          <t>Bankkonto.</t>
        </is>
      </c>
      <c r="D42" s="131" t="n"/>
      <c r="E42" s="138" t="n"/>
      <c r="F42" s="139" t="n"/>
    </row>
    <row r="44" ht="13.5" customFormat="1" customHeight="1" s="58">
      <c r="C44" s="59" t="n"/>
      <c r="D44" s="60" t="n"/>
      <c r="E44" s="212" t="n"/>
      <c r="G44" s="213" t="n"/>
      <c r="H44" s="211" t="n"/>
    </row>
    <row r="46">
      <c r="B46" s="14" t="n"/>
      <c r="D46" s="6" t="n"/>
      <c r="E46" s="6" t="n"/>
      <c r="F46" s="6" t="n"/>
    </row>
    <row r="50">
      <c r="A50" s="147" t="inlineStr">
        <is>
          <t xml:space="preserve">Steuernummer: 014 801 32096      </t>
        </is>
      </c>
    </row>
  </sheetData>
  <mergeCells count="11">
    <mergeCell ref="A50:H50"/>
    <mergeCell ref="F11:H11"/>
    <mergeCell ref="G7:H7"/>
    <mergeCell ref="E7:F7"/>
    <mergeCell ref="G10:H10"/>
    <mergeCell ref="A16:H16"/>
    <mergeCell ref="F12:H12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5:T57"/>
  <sheetViews>
    <sheetView topLeftCell="A13" workbookViewId="0">
      <selection activeCell="F14" sqref="F1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45853</v>
      </c>
      <c r="H7" s="187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10113-2025-004</t>
        </is>
      </c>
      <c r="H9" s="190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8.25" customHeight="1"/>
    <row r="15" ht="14.25" customFormat="1" customHeight="1" s="49">
      <c r="A15" s="170" t="inlineStr">
        <is>
          <t xml:space="preserve">Rechnung über Honorare </t>
        </is>
      </c>
      <c r="M15" s="58" t="n">
        <v>34</v>
      </c>
      <c r="N15" s="58" t="inlineStr">
        <is>
          <t>Hilfeleistung bei sonstigen Tätigkeiten im Zusammen-</t>
        </is>
      </c>
      <c r="O15" s="59" t="n"/>
      <c r="P15" s="60" t="n"/>
      <c r="Q15" s="58" t="n"/>
      <c r="R15" s="58" t="n"/>
      <c r="S15" s="58" t="n"/>
      <c r="T15" s="58" t="n"/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M16" s="58" t="n"/>
      <c r="N16" s="58" t="inlineStr">
        <is>
          <t>hang mit dem Lohnsteuerabzug/der Lohnbuchführung</t>
        </is>
      </c>
      <c r="O16" s="59" t="n"/>
      <c r="P16" s="60" t="n"/>
      <c r="Q16" s="212" t="n"/>
      <c r="R16" s="58" t="n"/>
      <c r="S16" s="213" t="n"/>
      <c r="T16" s="211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  <c r="M17" s="58" t="n"/>
      <c r="N17" s="63" t="inlineStr">
        <is>
          <t>- Antrag auf Saison-KUG 02/2025</t>
        </is>
      </c>
      <c r="O17" s="59" t="inlineStr">
        <is>
          <t>I/2025</t>
        </is>
      </c>
      <c r="P17" s="60" t="n"/>
      <c r="Q17" s="209" t="n">
        <v>80</v>
      </c>
      <c r="R17" s="58" t="inlineStr">
        <is>
          <t>Zeitgeb.</t>
        </is>
      </c>
      <c r="S17" s="210" t="n">
        <v>0.5</v>
      </c>
      <c r="T17" s="211">
        <f>+S17*Q17</f>
        <v/>
      </c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  <c r="M18" s="58" t="n"/>
      <c r="N18" s="63" t="n"/>
      <c r="O18" s="59" t="n"/>
      <c r="P18" s="60" t="n"/>
      <c r="Q18" s="58" t="n"/>
      <c r="R18" s="58" t="n"/>
      <c r="S18" s="58" t="n"/>
      <c r="T18" s="58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01/2025 </t>
        </is>
      </c>
      <c r="D22" s="60" t="n"/>
    </row>
    <row r="23" ht="13.5" customFormat="1" customHeight="1" s="58">
      <c r="B23" s="63" t="inlineStr">
        <is>
          <t xml:space="preserve"> - Einrichten v. Lohnkonten (Vasile)</t>
        </is>
      </c>
      <c r="C23" s="114" t="inlineStr">
        <is>
          <t>01/2025</t>
        </is>
      </c>
      <c r="D23" s="60" t="n"/>
      <c r="E23" s="212" t="n">
        <v>9</v>
      </c>
      <c r="G23" s="213" t="n">
        <v>1</v>
      </c>
      <c r="H23" s="211">
        <f>+G23*E23</f>
        <v/>
      </c>
    </row>
    <row r="24" ht="13.5" customFormat="1" customHeight="1" s="58">
      <c r="B24" s="63" t="inlineStr">
        <is>
          <t xml:space="preserve"> - Lohnabrechnungen inkl. </t>
        </is>
      </c>
      <c r="C24" s="59" t="n"/>
      <c r="D24" s="60" t="n"/>
    </row>
    <row r="25" ht="13.5" customFormat="1" customHeight="1" s="58">
      <c r="B25" s="58" t="inlineStr">
        <is>
          <t xml:space="preserve">   Sozialvers.-meldungen</t>
        </is>
      </c>
      <c r="C25" s="59" t="n">
        <v>45681</v>
      </c>
      <c r="D25" s="60" t="n"/>
      <c r="E25" s="212" t="n">
        <v>15</v>
      </c>
      <c r="G25" s="213" t="n">
        <v>15</v>
      </c>
      <c r="H25" s="211">
        <f>+G25*E25</f>
        <v/>
      </c>
    </row>
    <row r="26" ht="5.25" customFormat="1" customHeight="1" s="58">
      <c r="C26" s="59" t="n"/>
      <c r="D26" s="60" t="n"/>
      <c r="E26" s="212" t="n"/>
      <c r="G26" s="213" t="n"/>
      <c r="H26" s="211" t="n"/>
    </row>
    <row r="27" ht="13.5" customFormat="1" customHeight="1" s="58">
      <c r="A27" s="58" t="n">
        <v>34</v>
      </c>
      <c r="B27" s="58" t="inlineStr">
        <is>
          <t xml:space="preserve">Löhne/Gehälter 02/2025 </t>
        </is>
      </c>
      <c r="D27" s="60" t="n"/>
    </row>
    <row r="28" ht="13.5" customFormat="1" customHeight="1" s="58">
      <c r="B28" s="63" t="inlineStr">
        <is>
          <t xml:space="preserve"> - Einrichten v. Lohnkonten (Bajiric)</t>
        </is>
      </c>
      <c r="C28" s="114" t="inlineStr">
        <is>
          <t>02/2025</t>
        </is>
      </c>
      <c r="D28" s="60" t="n"/>
      <c r="E28" s="212" t="n">
        <v>9</v>
      </c>
      <c r="G28" s="213" t="n">
        <v>2</v>
      </c>
      <c r="H28" s="211">
        <f>+G28*E28</f>
        <v/>
      </c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45708</v>
      </c>
      <c r="D30" s="60" t="n"/>
      <c r="E30" s="212" t="n">
        <v>15</v>
      </c>
      <c r="G30" s="213" t="n">
        <v>17</v>
      </c>
      <c r="H30" s="211">
        <f>+G30*E30</f>
        <v/>
      </c>
    </row>
    <row r="31" ht="5.25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03/2025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45740</v>
      </c>
      <c r="D34" s="60" t="n"/>
      <c r="E34" s="212" t="n">
        <v>15</v>
      </c>
      <c r="G34" s="213" t="n">
        <v>17</v>
      </c>
      <c r="H34" s="211">
        <f>+G34*E34</f>
        <v/>
      </c>
    </row>
    <row r="35" ht="5.25" customFormat="1" customHeight="1" s="58">
      <c r="C35" s="59" t="n"/>
      <c r="D35" s="60" t="n"/>
      <c r="E35" s="212" t="n"/>
      <c r="G35" s="213" t="n"/>
      <c r="H35" s="211" t="n"/>
    </row>
    <row r="36" ht="15" customFormat="1" customHeight="1" s="58">
      <c r="I36" s="140" t="n"/>
    </row>
    <row r="37" ht="15" customFormat="1" customHeight="1" s="58">
      <c r="I37" s="140" t="n"/>
    </row>
    <row r="38" ht="15" customFormat="1" customHeight="1" s="58">
      <c r="C38" s="142" t="n"/>
      <c r="D38" s="60" t="n"/>
      <c r="E38" s="209" t="n"/>
      <c r="G38" s="210" t="n"/>
      <c r="H38" s="211" t="n"/>
      <c r="I38" s="140" t="n"/>
    </row>
    <row r="39" ht="3" customFormat="1" customHeight="1" s="58">
      <c r="C39" s="59" t="n"/>
      <c r="D39" s="60" t="n"/>
    </row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I/2025</t>
        </is>
      </c>
      <c r="D41" s="60" t="n"/>
      <c r="E41" s="211">
        <f>SUM(H22:H35)*0.2</f>
        <v/>
      </c>
      <c r="G41" s="211" t="n"/>
      <c r="H41" s="211" t="n">
        <v>60</v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B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  <c r="L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5" customFormat="1" customHeight="1" s="15">
      <c r="D48" s="90" t="n"/>
      <c r="E48" s="183" t="n"/>
      <c r="F48" s="90" t="n"/>
      <c r="G48" s="10" t="n"/>
    </row>
    <row r="49" ht="15" customFormat="1" customHeight="1" s="15">
      <c r="D49" s="90" t="n"/>
      <c r="E49" s="183" t="n"/>
      <c r="F49" s="90" t="n"/>
      <c r="G49" s="10" t="n"/>
    </row>
    <row r="50" ht="19.5" customFormat="1" customHeight="1" s="15">
      <c r="B50" s="21" t="n"/>
      <c r="D50" s="90" t="n"/>
      <c r="E50" s="183" t="n"/>
      <c r="F50" s="90" t="n"/>
      <c r="G50" s="10" t="n"/>
    </row>
    <row r="52" ht="13.5" customFormat="1" customHeight="1" s="58"/>
    <row r="53" ht="13.5" customFormat="1" customHeight="1" s="58">
      <c r="C53" s="59" t="n"/>
      <c r="D53" s="60" t="n"/>
      <c r="E53" s="212" t="n"/>
      <c r="G53" s="213" t="n"/>
      <c r="H53" s="211" t="n"/>
    </row>
    <row r="54" ht="8.25" customFormat="1" customHeight="1" s="58">
      <c r="C54" s="59" t="n"/>
      <c r="D54" s="60" t="n"/>
      <c r="E54" s="212" t="n"/>
      <c r="G54" s="213" t="n"/>
      <c r="H54" s="211" t="n"/>
    </row>
    <row r="55" ht="13.5" customFormat="1" customHeight="1" s="58">
      <c r="A55" s="147" t="inlineStr">
        <is>
          <t xml:space="preserve">Steuernummer: 014 801 32096    </t>
        </is>
      </c>
    </row>
    <row r="57">
      <c r="D57" s="6" t="n"/>
      <c r="E57" s="6" t="n"/>
      <c r="F57" s="6" t="n"/>
    </row>
  </sheetData>
  <mergeCells count="10">
    <mergeCell ref="F10:H10"/>
    <mergeCell ref="F11:H11"/>
    <mergeCell ref="A55:H55"/>
    <mergeCell ref="A15:H15"/>
    <mergeCell ref="G7:H7"/>
    <mergeCell ref="E7:F7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5:Q51"/>
  <sheetViews>
    <sheetView topLeftCell="A4" workbookViewId="0">
      <selection activeCell="D46" sqref="D46"/>
    </sheetView>
  </sheetViews>
  <sheetFormatPr baseColWidth="10" defaultColWidth="11.5703125" defaultRowHeight="15.75"/>
  <cols>
    <col width="3.5703125" customWidth="1" style="6" min="1" max="1"/>
    <col width="28.5703125" customWidth="1" style="6" min="2" max="2"/>
    <col width="10.7109375" customWidth="1" style="6" min="3" max="3"/>
    <col width="3" customWidth="1" style="3" min="4" max="4"/>
    <col width="16.42578125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45853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10113-2025-005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21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338453*4</f>
        <v/>
      </c>
      <c r="F24" s="159" t="inlineStr">
        <is>
          <t>C</t>
        </is>
      </c>
      <c r="G24" s="183" t="n">
        <v>4</v>
      </c>
      <c r="H24" s="193">
        <f>G24/10*1061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01/2025 am</t>
        </is>
      </c>
      <c r="C25" s="117" t="n">
        <v>45726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 t="n">
        <v>4.5</v>
      </c>
      <c r="H27" s="193">
        <f>G27/10*1061</f>
        <v/>
      </c>
    </row>
    <row r="28" ht="15" customFormat="1" customHeight="1" s="15">
      <c r="B28" s="15" t="inlineStr">
        <is>
          <t>für 02/2025am</t>
        </is>
      </c>
      <c r="C28" s="169" t="n">
        <v>45755</v>
      </c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</v>
      </c>
      <c r="H30" s="193">
        <f>G30/10*1061</f>
        <v/>
      </c>
    </row>
    <row r="31" ht="15" customFormat="1" customHeight="1" s="15">
      <c r="B31" s="15" t="inlineStr">
        <is>
          <t>für 03/2025 am</t>
        </is>
      </c>
      <c r="C31" s="169" t="n">
        <v>45782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     </t>
        </is>
      </c>
    </row>
  </sheetData>
  <mergeCells count="12">
    <mergeCell ref="F10:H10"/>
    <mergeCell ref="G9:H9"/>
    <mergeCell ref="G7:H7"/>
    <mergeCell ref="E7:F7"/>
    <mergeCell ref="A16:H16"/>
    <mergeCell ref="A51:H51"/>
    <mergeCell ref="E8:F8"/>
    <mergeCell ref="C28:D28"/>
    <mergeCell ref="G8:H8"/>
    <mergeCell ref="C31:D31"/>
    <mergeCell ref="E9:F9"/>
    <mergeCell ref="F11:H11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L24" sqref="L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4.42578125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45951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10113-2025-006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189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L23" s="94" t="n"/>
      <c r="M23" s="93" t="n"/>
      <c r="N23" s="93" t="n"/>
      <c r="O23" s="202" t="n"/>
      <c r="P23" s="183" t="n"/>
      <c r="Q23" s="205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ROUNDDOWN((994683.56/7*12*0.9)/100,)*100</f>
        <v/>
      </c>
      <c r="F24" s="159" t="inlineStr">
        <is>
          <t>C</t>
        </is>
      </c>
      <c r="G24" s="183" t="n">
        <v>4</v>
      </c>
      <c r="H24" s="193">
        <f>G24/10*1197</f>
        <v/>
      </c>
      <c r="L24" s="94" t="n"/>
      <c r="M24" s="93" t="n"/>
      <c r="N24" s="93" t="n"/>
      <c r="O24" s="202" t="n"/>
      <c r="P24" s="183" t="n"/>
      <c r="Q24" s="205" t="n"/>
    </row>
    <row r="25" ht="15" customFormat="1" customHeight="1" s="15">
      <c r="B25" s="15" t="inlineStr">
        <is>
          <t>für 04/2025 am</t>
        </is>
      </c>
      <c r="C25" s="169" t="n">
        <v>45807</v>
      </c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G27/10*1197</f>
        <v/>
      </c>
    </row>
    <row r="28" ht="15" customFormat="1" customHeight="1" s="15">
      <c r="B28" s="15" t="inlineStr">
        <is>
          <t>für 05/2025 am</t>
        </is>
      </c>
      <c r="C28" s="169" t="n">
        <v>45845</v>
      </c>
      <c r="E28" s="202" t="n"/>
      <c r="F28" s="159" t="n"/>
      <c r="G28" s="183" t="n"/>
      <c r="H28" s="193" t="n"/>
      <c r="L28" s="93" t="n"/>
      <c r="M28" s="93" t="n"/>
      <c r="N28" s="202" t="n"/>
      <c r="O28" s="183" t="n"/>
      <c r="P28" s="20" t="n"/>
      <c r="Q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>
        <f>+G27</f>
        <v/>
      </c>
      <c r="H30" s="193">
        <f>G30/10*1197</f>
        <v/>
      </c>
    </row>
    <row r="31" ht="15" customFormat="1" customHeight="1" s="15">
      <c r="B31" s="15" t="inlineStr">
        <is>
          <t>für 06/2025 am</t>
        </is>
      </c>
      <c r="C31" s="169" t="n">
        <v>45874</v>
      </c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H33" s="193" t="n"/>
    </row>
    <row r="34" ht="15" customFormat="1" customHeight="1" s="15">
      <c r="H34" s="193" t="n"/>
    </row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</t>
        </is>
      </c>
    </row>
  </sheetData>
  <mergeCells count="14">
    <mergeCell ref="F10:H10"/>
    <mergeCell ref="F11:H11"/>
    <mergeCell ref="C31:D31"/>
    <mergeCell ref="G7:H7"/>
    <mergeCell ref="E7:F7"/>
    <mergeCell ref="C25:D25"/>
    <mergeCell ref="A16:H16"/>
    <mergeCell ref="A51:H51"/>
    <mergeCell ref="C28:D28"/>
    <mergeCell ref="G8:H8"/>
    <mergeCell ref="G9:H9"/>
    <mergeCell ref="E9:F9"/>
    <mergeCell ref="E8:F8"/>
    <mergeCell ref="C23:D23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5:T56"/>
  <sheetViews>
    <sheetView workbookViewId="0">
      <selection activeCell="M12" sqref="M12:M2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45951</v>
      </c>
      <c r="H7" s="187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10113-2025-007</t>
        </is>
      </c>
      <c r="H9" s="190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4" ht="8.25" customHeight="1"/>
    <row r="15" ht="14.25" customFormat="1" customHeight="1" s="49">
      <c r="A15" s="170" t="inlineStr">
        <is>
          <t xml:space="preserve">Rechnung über Honorare </t>
        </is>
      </c>
      <c r="M15" s="58" t="n"/>
      <c r="N15" s="58" t="n"/>
      <c r="O15" s="59" t="n"/>
      <c r="P15" s="60" t="n"/>
      <c r="Q15" s="58" t="n"/>
      <c r="R15" s="58" t="n"/>
      <c r="S15" s="58" t="n"/>
      <c r="T15" s="58" t="n"/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M16" s="58" t="n"/>
      <c r="N16" s="58" t="n"/>
      <c r="O16" s="59" t="n"/>
      <c r="P16" s="60" t="n"/>
      <c r="Q16" s="212" t="n"/>
      <c r="R16" s="58" t="n"/>
      <c r="S16" s="213" t="n"/>
      <c r="T16" s="211" t="n"/>
    </row>
    <row r="17" ht="15" customFormat="1" customHeight="1" s="140">
      <c r="A17" s="140" t="inlineStr">
        <is>
          <t xml:space="preserve">Für die nachfolgend aufgeführten Leistungen erlaube ich mir nach der Steuerberatervergütungs- </t>
        </is>
      </c>
      <c r="B17" s="43" t="n"/>
      <c r="D17" s="52" t="n"/>
      <c r="E17" s="53" t="n"/>
      <c r="F17" s="47" t="n"/>
      <c r="M17" s="58" t="n"/>
      <c r="N17" s="63" t="n"/>
      <c r="O17" s="59" t="n"/>
      <c r="P17" s="60" t="n"/>
      <c r="Q17" s="209" t="n"/>
      <c r="R17" s="58" t="n"/>
      <c r="S17" s="210" t="n"/>
      <c r="T17" s="211" t="n"/>
    </row>
    <row r="18" ht="15" customFormat="1" customHeight="1" s="140">
      <c r="A18" s="140" t="inlineStr">
        <is>
          <t>verordnung wie folgt abzurechnen:</t>
        </is>
      </c>
      <c r="B18" s="43" t="n"/>
      <c r="D18" s="52" t="n"/>
      <c r="E18" s="53" t="n"/>
      <c r="F18" s="47" t="n"/>
      <c r="M18" s="58" t="n"/>
      <c r="N18" s="63" t="n"/>
      <c r="O18" s="59" t="n"/>
      <c r="P18" s="60" t="n"/>
      <c r="Q18" s="58" t="n"/>
      <c r="R18" s="58" t="n"/>
      <c r="S18" s="58" t="n"/>
      <c r="T18" s="58" t="n"/>
    </row>
    <row r="19" ht="4.5" customFormat="1" customHeight="1" s="140">
      <c r="D19" s="52" t="n"/>
      <c r="E19" s="52" t="n"/>
      <c r="F19" s="53" t="n"/>
      <c r="G19" s="52" t="n"/>
    </row>
    <row r="20" ht="15" customFormat="1" customHeight="1" s="140">
      <c r="A20" s="50" t="inlineStr">
        <is>
          <t>Leistung</t>
        </is>
      </c>
      <c r="B20" s="51" t="n"/>
      <c r="C20" s="50" t="n"/>
      <c r="D20" s="52" t="n"/>
      <c r="E20" s="52" t="inlineStr">
        <is>
          <t>Gegenstands-</t>
        </is>
      </c>
      <c r="F20" s="53" t="inlineStr">
        <is>
          <t>Tabelle</t>
        </is>
      </c>
      <c r="G20" s="52" t="inlineStr">
        <is>
          <t>Arbeit-</t>
        </is>
      </c>
      <c r="H20" s="53" t="inlineStr">
        <is>
          <t>Gebühr</t>
        </is>
      </c>
    </row>
    <row r="21" ht="15" customFormat="1" customHeight="1" s="140">
      <c r="A21" s="54" t="inlineStr">
        <is>
          <t>§§</t>
        </is>
      </c>
      <c r="B21" s="54" t="n"/>
      <c r="C21" s="181" t="inlineStr">
        <is>
          <t>am/in:</t>
        </is>
      </c>
      <c r="D21" s="55" t="n"/>
      <c r="E21" s="56" t="inlineStr">
        <is>
          <t>wert</t>
        </is>
      </c>
      <c r="F21" s="56" t="n"/>
      <c r="G21" s="57" t="inlineStr">
        <is>
          <t>nehmer</t>
        </is>
      </c>
      <c r="H21" s="181" t="n"/>
    </row>
    <row r="22" ht="13.5" customFormat="1" customHeight="1" s="58">
      <c r="A22" s="58" t="n">
        <v>34</v>
      </c>
      <c r="B22" s="58" t="inlineStr">
        <is>
          <t xml:space="preserve">Löhne/Gehälter 04/2025 </t>
        </is>
      </c>
      <c r="D22" s="60" t="n"/>
    </row>
    <row r="23" ht="13.5" customFormat="1" customHeight="1" s="58">
      <c r="B23" s="63" t="inlineStr">
        <is>
          <t xml:space="preserve"> - Einrichten von Lohnkonten </t>
        </is>
      </c>
      <c r="D23" s="60" t="n"/>
      <c r="E23" s="212" t="n">
        <v>15</v>
      </c>
      <c r="G23" s="213" t="n">
        <v>1</v>
      </c>
      <c r="H23" s="211">
        <f>+G23*E23</f>
        <v/>
      </c>
    </row>
    <row r="24" ht="13.5" customFormat="1" customHeight="1" s="58">
      <c r="B24" s="63" t="inlineStr">
        <is>
          <t xml:space="preserve">   (Gribencea)</t>
        </is>
      </c>
      <c r="C24" s="114" t="inlineStr">
        <is>
          <t>04/2025</t>
        </is>
      </c>
      <c r="D24" s="60" t="n"/>
      <c r="E24" s="212" t="n"/>
      <c r="G24" s="213" t="n"/>
      <c r="H24" s="211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45770</v>
      </c>
      <c r="D26" s="60" t="n"/>
      <c r="E26" s="212" t="n">
        <v>15</v>
      </c>
      <c r="G26" s="213" t="n">
        <v>17</v>
      </c>
      <c r="H26" s="211">
        <f>+G26*E26</f>
        <v/>
      </c>
    </row>
    <row r="27" ht="5.2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05/2025 </t>
        </is>
      </c>
      <c r="D28" s="60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45799</v>
      </c>
      <c r="D30" s="60" t="n"/>
      <c r="E30" s="212" t="n">
        <v>15</v>
      </c>
      <c r="G30" s="213" t="n">
        <v>14</v>
      </c>
      <c r="H30" s="211">
        <f>+G30*E30</f>
        <v/>
      </c>
    </row>
    <row r="31" ht="6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06/2025 </t>
        </is>
      </c>
      <c r="D32" s="60" t="n"/>
    </row>
    <row r="33" ht="13.5" customFormat="1" customHeight="1" s="58">
      <c r="B33" s="63" t="inlineStr">
        <is>
          <t xml:space="preserve"> - Einrichten von Lohnkonten </t>
        </is>
      </c>
      <c r="D33" s="60" t="n"/>
      <c r="E33" s="212" t="n">
        <v>15</v>
      </c>
      <c r="G33" s="213" t="n">
        <v>2</v>
      </c>
      <c r="H33" s="211">
        <f>+G33*E33</f>
        <v/>
      </c>
    </row>
    <row r="34" ht="13.5" customFormat="1" customHeight="1" s="58">
      <c r="B34" s="63" t="inlineStr">
        <is>
          <t xml:space="preserve">   (Donica, Ciobanu)</t>
        </is>
      </c>
      <c r="C34" s="114" t="inlineStr">
        <is>
          <t>06/2025</t>
        </is>
      </c>
      <c r="D34" s="60" t="n"/>
      <c r="E34" s="212" t="n"/>
      <c r="G34" s="213" t="n"/>
      <c r="H34" s="211" t="n"/>
    </row>
    <row r="35" ht="13.5" customFormat="1" customHeight="1" s="58">
      <c r="B35" s="63" t="inlineStr">
        <is>
          <t xml:space="preserve"> - Lohnabrechnungen inkl. </t>
        </is>
      </c>
      <c r="C35" s="59" t="n"/>
      <c r="D35" s="60" t="n"/>
    </row>
    <row r="36" ht="15" customFormat="1" customHeight="1" s="58">
      <c r="B36" s="58" t="inlineStr">
        <is>
          <t xml:space="preserve">   Sozialvers.-meldungen</t>
        </is>
      </c>
      <c r="C36" s="59" t="n">
        <v>45831</v>
      </c>
      <c r="D36" s="60" t="n"/>
      <c r="E36" s="212" t="n">
        <v>15</v>
      </c>
      <c r="G36" s="213" t="n">
        <v>15</v>
      </c>
      <c r="H36" s="211">
        <f>+G36*E36</f>
        <v/>
      </c>
      <c r="I36" s="140" t="n"/>
    </row>
    <row r="37" ht="15" customFormat="1" customHeight="1" s="58">
      <c r="C37" s="59" t="n"/>
      <c r="D37" s="60" t="n"/>
      <c r="E37" s="212" t="n"/>
      <c r="G37" s="213" t="n"/>
      <c r="H37" s="211" t="n"/>
      <c r="I37" s="140" t="n"/>
    </row>
    <row r="38" ht="15" customFormat="1" customHeight="1" s="58">
      <c r="I38" s="140" t="n"/>
    </row>
    <row r="39" ht="3" customFormat="1" customHeight="1" s="58"/>
    <row r="40" ht="13.5" customFormat="1" customHeight="1" s="58">
      <c r="A40" s="58" t="n">
        <v>16</v>
      </c>
      <c r="B40" s="58" t="inlineStr">
        <is>
          <t xml:space="preserve">Auslagenersatz für Post- und </t>
        </is>
      </c>
      <c r="C40" s="59" t="n"/>
      <c r="D40" s="60" t="n"/>
      <c r="E40" s="212" t="n"/>
      <c r="G40" s="213" t="n"/>
      <c r="H40" s="211" t="n"/>
    </row>
    <row r="41" ht="13.5" customFormat="1" customHeight="1" s="58">
      <c r="B41" s="58" t="inlineStr">
        <is>
          <t>Telekommunikation</t>
        </is>
      </c>
      <c r="C41" s="59" t="inlineStr">
        <is>
          <t>II/2025</t>
        </is>
      </c>
      <c r="D41" s="60" t="n"/>
      <c r="E41" s="211">
        <f>SUM(H22:H37)*0.2</f>
        <v/>
      </c>
      <c r="G41" s="211" t="n"/>
      <c r="H41" s="211" t="n">
        <v>60</v>
      </c>
    </row>
    <row r="42" ht="6.75" customFormat="1" customHeight="1" s="58">
      <c r="C42" s="60" t="n"/>
      <c r="D42" s="60" t="n"/>
      <c r="E42" s="214" t="n"/>
      <c r="F42" s="68" t="n"/>
      <c r="G42" s="69" t="n"/>
      <c r="H42" s="215" t="n"/>
    </row>
    <row r="43" ht="13.5" customFormat="1" customHeight="1" s="58">
      <c r="A43" s="71" t="n"/>
      <c r="B43" s="71" t="n"/>
      <c r="E43" s="58" t="inlineStr">
        <is>
          <t>Gesamt</t>
        </is>
      </c>
      <c r="F43" s="71" t="n"/>
      <c r="G43" s="81" t="n"/>
      <c r="H43" s="211">
        <f>SUM(H22:H42)</f>
        <v/>
      </c>
      <c r="J43" s="211" t="n"/>
      <c r="L43" s="211" t="n"/>
    </row>
    <row r="44" ht="13.5" customFormat="1" customHeight="1" s="58">
      <c r="E44" s="74" t="inlineStr">
        <is>
          <t>USt 19%</t>
        </is>
      </c>
      <c r="F44" s="71" t="n"/>
      <c r="G44" s="81" t="n"/>
      <c r="H44" s="211">
        <f>+H43*0.19</f>
        <v/>
      </c>
    </row>
    <row r="45" ht="14.25" customFormat="1" customHeight="1" s="58" thickBot="1">
      <c r="E45" s="75" t="inlineStr">
        <is>
          <t>Rechnungsendbetrag</t>
        </is>
      </c>
      <c r="F45" s="76" t="n"/>
      <c r="G45" s="77" t="n"/>
      <c r="H45" s="216">
        <f>SUM(H43:H44)</f>
        <v/>
      </c>
      <c r="J45" s="211" t="n"/>
    </row>
    <row r="46" ht="5.25" customFormat="1" customHeight="1" s="58" thickTop="1">
      <c r="E46" s="79" t="n"/>
      <c r="F46" s="80" t="n"/>
      <c r="G46" s="81" t="n"/>
      <c r="H46" s="211" t="n"/>
      <c r="J46" s="211" t="n"/>
    </row>
    <row r="47" ht="15" customFormat="1" customHeight="1" s="58">
      <c r="A47" s="15" t="inlineStr">
        <is>
          <t>Bitte überweisen Sie den Betrag ohne Abzüge innerhalb von 14 Tagen auf das angegebene Konto.</t>
        </is>
      </c>
      <c r="B47" s="71" t="n"/>
      <c r="D47" s="81" t="n"/>
      <c r="E47" s="80" t="n"/>
      <c r="F47" s="62" t="n"/>
    </row>
    <row r="48" ht="15" customFormat="1" customHeight="1" s="15">
      <c r="D48" s="90" t="n"/>
      <c r="E48" s="183" t="n"/>
      <c r="F48" s="90" t="n"/>
      <c r="G48" s="10" t="n"/>
    </row>
    <row r="49" ht="15" customFormat="1" customHeight="1" s="15">
      <c r="D49" s="90" t="n"/>
      <c r="E49" s="183" t="n"/>
      <c r="F49" s="90" t="n"/>
      <c r="G49" s="10" t="n"/>
    </row>
    <row r="50" ht="19.5" customFormat="1" customHeight="1" s="15">
      <c r="B50" s="21" t="n"/>
      <c r="D50" s="90" t="n"/>
      <c r="E50" s="183" t="n"/>
      <c r="F50" s="90" t="n"/>
      <c r="G50" s="10" t="n"/>
    </row>
    <row r="52" ht="13.5" customFormat="1" customHeight="1" s="58">
      <c r="C52" s="59" t="n"/>
      <c r="D52" s="60" t="n"/>
      <c r="E52" s="212" t="n"/>
      <c r="G52" s="213" t="n"/>
      <c r="H52" s="211" t="n"/>
    </row>
    <row r="53" ht="8.25" customFormat="1" customHeight="1" s="58">
      <c r="C53" s="59" t="n"/>
      <c r="D53" s="60" t="n"/>
      <c r="E53" s="212" t="n"/>
      <c r="G53" s="213" t="n"/>
      <c r="H53" s="211" t="n"/>
    </row>
    <row r="54" ht="13.5" customFormat="1" customHeight="1" s="58">
      <c r="A54" s="147" t="inlineStr">
        <is>
          <t xml:space="preserve">Steuernummer: 014 801 32096    </t>
        </is>
      </c>
    </row>
    <row r="56">
      <c r="D56" s="6" t="n"/>
      <c r="E56" s="6" t="n"/>
      <c r="F56" s="6" t="n"/>
    </row>
  </sheetData>
  <mergeCells count="10">
    <mergeCell ref="F10:H10"/>
    <mergeCell ref="F11:H11"/>
    <mergeCell ref="A15:H15"/>
    <mergeCell ref="G7:H7"/>
    <mergeCell ref="E7:F7"/>
    <mergeCell ref="A54:H54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5:T54"/>
  <sheetViews>
    <sheetView workbookViewId="0">
      <selection activeCell="F10" sqref="F10:H1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45951</v>
      </c>
      <c r="H7" s="187" t="n"/>
    </row>
    <row r="8" ht="15" customFormat="1" customHeigh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</row>
    <row r="9" ht="15" customFormat="1" customHeigh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10113-2025-008</t>
        </is>
      </c>
      <c r="H9" s="190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5" ht="14.25" customFormat="1" customHeight="1" s="49">
      <c r="A15" s="170" t="inlineStr">
        <is>
          <t xml:space="preserve">Rechnung über Honorare </t>
        </is>
      </c>
      <c r="M15" s="58" t="n"/>
      <c r="N15" s="58" t="n"/>
      <c r="O15" s="59" t="n"/>
      <c r="P15" s="60" t="n"/>
      <c r="Q15" s="58" t="n"/>
      <c r="R15" s="58" t="n"/>
      <c r="S15" s="58" t="n"/>
      <c r="T15" s="58" t="n"/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M16" s="58" t="n"/>
      <c r="N16" s="58" t="n"/>
      <c r="O16" s="59" t="n"/>
      <c r="P16" s="60" t="n"/>
      <c r="Q16" s="58" t="n"/>
      <c r="R16" s="58" t="n"/>
      <c r="S16" s="58" t="n"/>
      <c r="T16" s="58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  <c r="M17" s="58" t="n"/>
      <c r="N17" s="58" t="n"/>
      <c r="O17" s="59" t="n"/>
      <c r="P17" s="60" t="n"/>
      <c r="Q17" s="58" t="n"/>
      <c r="R17" s="58" t="n"/>
      <c r="S17" s="58" t="n"/>
      <c r="T17" s="58" t="n"/>
    </row>
    <row r="18" ht="14.25" customFormat="1" customHeight="1" s="49">
      <c r="A18" s="170" t="n"/>
      <c r="B18" s="170" t="n"/>
      <c r="C18" s="170" t="n"/>
      <c r="D18" s="170" t="n"/>
      <c r="E18" s="170" t="n"/>
      <c r="F18" s="170" t="n"/>
      <c r="G18" s="170" t="n"/>
      <c r="H18" s="170" t="n"/>
      <c r="M18" s="58" t="n"/>
      <c r="N18" s="58" t="n"/>
      <c r="O18" s="59" t="n"/>
      <c r="P18" s="60" t="n"/>
      <c r="Q18" s="212" t="n"/>
      <c r="R18" s="58" t="n"/>
      <c r="S18" s="213" t="n"/>
      <c r="T18" s="211" t="n"/>
    </row>
    <row r="19" ht="15" customFormat="1" customHeight="1" s="140">
      <c r="A19" s="140" t="inlineStr">
        <is>
          <t xml:space="preserve">Für die nachfolgend aufgeführten Leistungen erlaube ich mir nach der Steuerberatervergütungs- </t>
        </is>
      </c>
      <c r="B19" s="43" t="n"/>
      <c r="D19" s="52" t="n"/>
      <c r="E19" s="53" t="n"/>
      <c r="F19" s="47" t="n"/>
      <c r="M19" s="58" t="n"/>
      <c r="N19" s="63" t="n"/>
      <c r="O19" s="59" t="n"/>
      <c r="P19" s="60" t="n"/>
      <c r="Q19" s="209" t="n"/>
      <c r="R19" s="58" t="n"/>
      <c r="S19" s="210" t="n"/>
      <c r="T19" s="211" t="n"/>
    </row>
    <row r="20" ht="15" customFormat="1" customHeight="1" s="140">
      <c r="A20" s="140" t="inlineStr">
        <is>
          <t>verordnung wie folgt abzurechnen:</t>
        </is>
      </c>
      <c r="B20" s="43" t="n"/>
      <c r="D20" s="52" t="n"/>
      <c r="E20" s="53" t="n"/>
      <c r="F20" s="47" t="n"/>
      <c r="M20" s="58" t="n"/>
      <c r="N20" s="63" t="n"/>
      <c r="O20" s="59" t="n"/>
      <c r="P20" s="60" t="n"/>
      <c r="Q20" s="58" t="n"/>
      <c r="R20" s="58" t="n"/>
      <c r="S20" s="58" t="n"/>
      <c r="T20" s="58" t="n"/>
    </row>
    <row r="21" ht="15" customFormat="1" customHeight="1" s="140">
      <c r="D21" s="52" t="n"/>
      <c r="E21" s="52" t="n"/>
      <c r="F21" s="53" t="n"/>
      <c r="G21" s="52" t="n"/>
    </row>
    <row r="22" ht="15" customFormat="1" customHeight="1" s="140">
      <c r="A22" s="50" t="inlineStr">
        <is>
          <t>Leistung</t>
        </is>
      </c>
      <c r="B22" s="51" t="n"/>
      <c r="C22" s="50" t="n"/>
      <c r="D22" s="52" t="n"/>
      <c r="E22" s="52" t="inlineStr">
        <is>
          <t>Gegenstands-</t>
        </is>
      </c>
      <c r="F22" s="53" t="inlineStr">
        <is>
          <t>Tabelle</t>
        </is>
      </c>
      <c r="G22" s="52" t="inlineStr">
        <is>
          <t>Arbeit-</t>
        </is>
      </c>
      <c r="H22" s="53" t="inlineStr">
        <is>
          <t>Gebühr</t>
        </is>
      </c>
    </row>
    <row r="23" ht="15" customFormat="1" customHeight="1" s="140">
      <c r="A23" s="54" t="inlineStr">
        <is>
          <t>§§</t>
        </is>
      </c>
      <c r="B23" s="54" t="n"/>
      <c r="C23" s="181" t="inlineStr">
        <is>
          <t>am/in:</t>
        </is>
      </c>
      <c r="D23" s="55" t="n"/>
      <c r="E23" s="56" t="inlineStr">
        <is>
          <t>wert</t>
        </is>
      </c>
      <c r="F23" s="56" t="n"/>
      <c r="G23" s="57" t="inlineStr">
        <is>
          <t>nehmer</t>
        </is>
      </c>
      <c r="H23" s="181" t="n"/>
    </row>
    <row r="24" ht="13.5" customFormat="1" customHeight="1" s="58">
      <c r="A24" s="58" t="n">
        <v>34</v>
      </c>
      <c r="B24" s="58" t="inlineStr">
        <is>
          <t xml:space="preserve">Löhne/Gehälter 07/2025 </t>
        </is>
      </c>
      <c r="D24" s="60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45862</v>
      </c>
      <c r="D26" s="60" t="n"/>
      <c r="E26" s="212" t="n">
        <v>15</v>
      </c>
      <c r="G26" s="213" t="n">
        <v>15</v>
      </c>
      <c r="H26" s="211">
        <f>+G26*E26</f>
        <v/>
      </c>
    </row>
    <row r="27" ht="4.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08/2025 </t>
        </is>
      </c>
      <c r="D28" s="60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45891</v>
      </c>
      <c r="D30" s="60" t="n"/>
      <c r="E30" s="212" t="n">
        <v>15</v>
      </c>
      <c r="G30" s="213" t="n">
        <v>15</v>
      </c>
      <c r="H30" s="211">
        <f>+G30*E30</f>
        <v/>
      </c>
    </row>
    <row r="31" ht="6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09/2025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45922</v>
      </c>
      <c r="D34" s="60" t="n"/>
      <c r="E34" s="212" t="n">
        <v>15</v>
      </c>
      <c r="G34" s="213" t="n">
        <v>16</v>
      </c>
      <c r="H34" s="211">
        <f>+G34*E34</f>
        <v/>
      </c>
    </row>
    <row r="35" ht="13.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>
      <c r="A36" s="58" t="n">
        <v>16</v>
      </c>
      <c r="B36" s="58" t="inlineStr">
        <is>
          <t xml:space="preserve">Auslagenersatz für Post- und </t>
        </is>
      </c>
      <c r="C36" s="59" t="n"/>
      <c r="D36" s="60" t="n"/>
      <c r="E36" s="212" t="n"/>
      <c r="G36" s="213" t="n"/>
      <c r="H36" s="211" t="n"/>
    </row>
    <row r="37" ht="15" customFormat="1" customHeight="1" s="58">
      <c r="B37" s="58" t="inlineStr">
        <is>
          <t>Telekommunikation</t>
        </is>
      </c>
      <c r="C37" s="59" t="inlineStr">
        <is>
          <t>III/2025</t>
        </is>
      </c>
      <c r="D37" s="60" t="n"/>
      <c r="E37" s="211">
        <f>SUM(H24:H35)*0.2</f>
        <v/>
      </c>
      <c r="G37" s="211" t="n"/>
      <c r="H37" s="211">
        <f>(G26+G30+G34)*1.3</f>
        <v/>
      </c>
      <c r="I37" s="140" t="n"/>
    </row>
    <row r="38" ht="6.75" customFormat="1" customHeight="1" s="58">
      <c r="C38" s="60" t="n"/>
      <c r="D38" s="60" t="n"/>
      <c r="E38" s="214" t="n"/>
      <c r="F38" s="68" t="n"/>
      <c r="G38" s="69" t="n"/>
      <c r="H38" s="215" t="n"/>
    </row>
    <row r="39" ht="13.5" customFormat="1" customHeight="1" s="58">
      <c r="A39" s="71" t="n"/>
      <c r="B39" s="71" t="n"/>
      <c r="E39" s="58" t="inlineStr">
        <is>
          <t>Gesamt</t>
        </is>
      </c>
      <c r="F39" s="71" t="n"/>
      <c r="G39" s="81" t="n"/>
      <c r="H39" s="211">
        <f>SUM(H24:H38)</f>
        <v/>
      </c>
      <c r="J39" s="211" t="n"/>
      <c r="L39" s="211" t="n"/>
    </row>
    <row r="40" ht="13.5" customFormat="1" customHeight="1" s="58">
      <c r="E40" s="74" t="inlineStr">
        <is>
          <t>USt 19%</t>
        </is>
      </c>
      <c r="F40" s="71" t="n"/>
      <c r="G40" s="81" t="n"/>
      <c r="H40" s="211">
        <f>+H39*0.19</f>
        <v/>
      </c>
    </row>
    <row r="41" ht="14.25" customFormat="1" customHeight="1" s="58" thickBot="1">
      <c r="E41" s="75" t="inlineStr">
        <is>
          <t>Rechnungsendbetrag</t>
        </is>
      </c>
      <c r="F41" s="76" t="n"/>
      <c r="G41" s="77" t="n"/>
      <c r="H41" s="216">
        <f>SUM(H39:H40)</f>
        <v/>
      </c>
      <c r="J41" s="211" t="n"/>
    </row>
    <row r="42" ht="5.25" customFormat="1" customHeight="1" s="58" thickTop="1">
      <c r="E42" s="79" t="n"/>
      <c r="F42" s="80" t="n"/>
      <c r="G42" s="81" t="n"/>
      <c r="H42" s="211" t="n"/>
      <c r="J42" s="211" t="n"/>
    </row>
    <row r="43" ht="15" customFormat="1" customHeight="1" s="58">
      <c r="A43" s="15" t="inlineStr">
        <is>
          <t>Bitte überweisen Sie den Betrag ohne Abzüge innerhalb von 14 Tagen auf das angegebene Konto.</t>
        </is>
      </c>
      <c r="B43" s="71" t="n"/>
      <c r="D43" s="81" t="n"/>
      <c r="E43" s="80" t="n"/>
      <c r="F43" s="62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9.5" customFormat="1" customHeight="1" s="15">
      <c r="B46" s="21" t="n"/>
      <c r="D46" s="90" t="n"/>
      <c r="E46" s="183" t="n"/>
      <c r="F46" s="90" t="n"/>
      <c r="G46" s="10" t="n"/>
    </row>
    <row r="48" ht="13.5" customFormat="1" customHeight="1" s="58">
      <c r="C48" s="59" t="n"/>
      <c r="D48" s="60" t="n"/>
      <c r="E48" s="212" t="n"/>
      <c r="G48" s="213" t="n"/>
      <c r="H48" s="211" t="n"/>
    </row>
    <row r="49" ht="13.5" customFormat="1" customHeight="1" s="58">
      <c r="C49" s="59" t="n"/>
      <c r="D49" s="60" t="n"/>
      <c r="E49" s="212" t="n"/>
      <c r="G49" s="213" t="n"/>
      <c r="H49" s="211" t="n"/>
    </row>
    <row r="50" ht="13.5" customFormat="1" customHeight="1" s="58">
      <c r="C50" s="59" t="n"/>
      <c r="D50" s="60" t="n"/>
      <c r="E50" s="212" t="n"/>
      <c r="G50" s="213" t="n"/>
      <c r="H50" s="211" t="n"/>
    </row>
    <row r="51" ht="13.5" customFormat="1" customHeight="1" s="58">
      <c r="C51" s="59" t="n"/>
      <c r="D51" s="60" t="n"/>
      <c r="E51" s="212" t="n"/>
      <c r="G51" s="213" t="n"/>
      <c r="H51" s="211" t="n"/>
    </row>
    <row r="52" ht="13.5" customFormat="1" customHeight="1" s="58">
      <c r="A52" s="147" t="inlineStr">
        <is>
          <t xml:space="preserve">Steuernummer: 014 801 32096    </t>
        </is>
      </c>
    </row>
    <row r="54">
      <c r="D54" s="6" t="n"/>
      <c r="E54" s="6" t="n"/>
      <c r="F54" s="6" t="n"/>
    </row>
  </sheetData>
  <mergeCells count="10">
    <mergeCell ref="F10:H10"/>
    <mergeCell ref="F11:H11"/>
    <mergeCell ref="A15:H15"/>
    <mergeCell ref="G7:H7"/>
    <mergeCell ref="E7:F7"/>
    <mergeCell ref="A52:H52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5:Q51"/>
  <sheetViews>
    <sheetView workbookViewId="0">
      <selection activeCell="H24" sqref="H24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46008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</row>
    <row r="9" ht="15" customFormat="1" customHeigh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10113-2025-009</t>
        </is>
      </c>
      <c r="H9" s="190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 xml:space="preserve">Buchführung einschl. Kontieren der Belege </t>
        </is>
      </c>
      <c r="C24" s="93" t="n"/>
      <c r="D24" s="93" t="n"/>
      <c r="E24" s="202">
        <f>ROUNDDOWN(1730681/1100,)*1200</f>
        <v/>
      </c>
      <c r="F24" s="159" t="inlineStr">
        <is>
          <t>C</t>
        </is>
      </c>
      <c r="G24" s="183" t="n">
        <v>3</v>
      </c>
      <c r="H24" s="193">
        <f>G24/10*1520</f>
        <v/>
      </c>
      <c r="K24" s="94" t="n"/>
      <c r="L24" s="93" t="n"/>
      <c r="M24" s="93" t="n"/>
      <c r="N24" s="202" t="n"/>
      <c r="O24" s="183" t="n"/>
      <c r="P24" s="205" t="n"/>
      <c r="Q24" s="193" t="n"/>
    </row>
    <row r="25" ht="15" customFormat="1" customHeight="1" s="15">
      <c r="B25" s="15" t="inlineStr">
        <is>
          <t>für 07/2025 am</t>
        </is>
      </c>
      <c r="C25" s="169" t="n">
        <v>45910</v>
      </c>
      <c r="D25" s="159" t="n"/>
      <c r="E25" s="202" t="n"/>
      <c r="F25" s="159" t="n"/>
      <c r="G25" s="183" t="n"/>
      <c r="H25" s="193" t="n"/>
    </row>
    <row r="26" ht="6.75" customFormat="1" customHeight="1" s="15">
      <c r="B26" s="94" t="n"/>
      <c r="C26" s="93" t="n"/>
      <c r="D26" s="93" t="n"/>
      <c r="E26" s="202" t="n"/>
      <c r="F26" s="183" t="n"/>
      <c r="G26" s="205" t="n"/>
      <c r="H26" s="193" t="n"/>
    </row>
    <row r="27" ht="15" customFormat="1" customHeight="1" s="15">
      <c r="A27" s="15" t="n">
        <v>33</v>
      </c>
      <c r="B27" s="15" t="inlineStr">
        <is>
          <t xml:space="preserve">Buchführung einschl. Kontieren der Belege </t>
        </is>
      </c>
      <c r="C27" s="93" t="n"/>
      <c r="D27" s="93" t="n"/>
      <c r="E27" s="202">
        <f>+E24</f>
        <v/>
      </c>
      <c r="F27" s="159" t="inlineStr">
        <is>
          <t>C</t>
        </is>
      </c>
      <c r="G27" s="183">
        <f>+G24</f>
        <v/>
      </c>
      <c r="H27" s="193">
        <f>G27/10*1520</f>
        <v/>
      </c>
    </row>
    <row r="28" ht="15" customFormat="1" customHeight="1" s="15">
      <c r="B28" s="15" t="inlineStr">
        <is>
          <t>für 08/2025 am</t>
        </is>
      </c>
      <c r="C28" s="144" t="n">
        <v>45938</v>
      </c>
      <c r="D28" s="144" t="n"/>
      <c r="E28" s="202" t="n"/>
      <c r="F28" s="159" t="n"/>
      <c r="G28" s="183" t="n"/>
      <c r="H28" s="193" t="n"/>
    </row>
    <row r="29" ht="6.75" customFormat="1" customHeight="1" s="15">
      <c r="B29" s="94" t="n"/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A30" s="15" t="n">
        <v>33</v>
      </c>
      <c r="B30" s="15" t="inlineStr">
        <is>
          <t xml:space="preserve">Buchführung einschl. Kontieren der Belege </t>
        </is>
      </c>
      <c r="C30" s="93" t="n"/>
      <c r="D30" s="93" t="n"/>
      <c r="E30" s="202">
        <f>+E27</f>
        <v/>
      </c>
      <c r="F30" s="159" t="inlineStr">
        <is>
          <t>C</t>
        </is>
      </c>
      <c r="G30" s="183" t="n">
        <v>3.25</v>
      </c>
      <c r="H30" s="193">
        <f>G30/10*1520</f>
        <v/>
      </c>
    </row>
    <row r="31" ht="15" customFormat="1" customHeight="1" s="15">
      <c r="B31" s="15" t="inlineStr">
        <is>
          <t>für 09/2025 am</t>
        </is>
      </c>
      <c r="C31" s="169" t="n">
        <v>45966</v>
      </c>
      <c r="D31" s="169" t="n"/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1">
      <c r="A51" s="147" t="inlineStr">
        <is>
          <t xml:space="preserve">Steuernummer: 014 801 32096      </t>
        </is>
      </c>
    </row>
  </sheetData>
  <mergeCells count="10">
    <mergeCell ref="F10:H10"/>
    <mergeCell ref="F11:H11"/>
    <mergeCell ref="G7:H7"/>
    <mergeCell ref="E7:F7"/>
    <mergeCell ref="A16:H16"/>
    <mergeCell ref="A51:H51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5:R53"/>
  <sheetViews>
    <sheetView topLeftCell="A23" workbookViewId="0">
      <selection activeCell="C27" sqref="C27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4.140625" customWidth="1" style="3" min="4" max="4"/>
    <col width="13.140625" customWidth="1" style="4" min="5" max="5"/>
    <col width="7.85546875" customWidth="1" style="5" min="6" max="6"/>
    <col width="8.85546875" customWidth="1" style="6" min="7" max="7"/>
    <col width="10.28515625" customWidth="1" style="6" min="8" max="8"/>
    <col width="11.5703125" customWidth="1" style="6" min="9" max="9"/>
    <col width="14.140625" customWidth="1" style="6" min="10" max="11"/>
    <col width="13.140625" bestFit="1" customWidth="1" style="6" min="12" max="12"/>
    <col width="11.5703125" customWidth="1" style="6" min="13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ht="15" customFormat="1" customHeigh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56" t="n">
        <v>46008</v>
      </c>
      <c r="H7" s="187" t="n"/>
    </row>
    <row r="8" ht="15" customFormat="1" customHeigh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5" t="n"/>
      <c r="H8" s="16" t="n">
        <v>10113</v>
      </c>
    </row>
    <row r="9" ht="15" customFormat="1" customHeight="1" s="15">
      <c r="B9" s="13" t="n"/>
      <c r="D9" s="90" t="n"/>
      <c r="E9" s="157" t="inlineStr">
        <is>
          <t>Rg-Nr.:</t>
        </is>
      </c>
      <c r="G9" s="160" t="inlineStr">
        <is>
          <t>10113-2025-010</t>
        </is>
      </c>
      <c r="H9" s="188" t="n"/>
      <c r="K9" s="15" t="n">
        <v>27</v>
      </c>
      <c r="L9" s="15" t="inlineStr">
        <is>
          <t>Prüfung der Bescheide zur Körperschaftsteuer,</t>
        </is>
      </c>
      <c r="M9" s="159" t="n"/>
      <c r="O9" s="203" t="n">
        <v>80</v>
      </c>
      <c r="P9" s="183" t="inlineStr">
        <is>
          <t>Zeitgeb.</t>
        </is>
      </c>
      <c r="Q9" s="204" t="n">
        <v>0.5</v>
      </c>
      <c r="R9" s="193">
        <f>+Q9*O9</f>
        <v/>
      </c>
    </row>
    <row r="10" ht="15" customFormat="1" customHeight="1" s="15">
      <c r="A10" s="15" t="inlineStr">
        <is>
          <t>60528 Frankfurt</t>
        </is>
      </c>
      <c r="B10" s="13" t="n"/>
      <c r="D10" s="90" t="n"/>
      <c r="E10" s="165" t="inlineStr">
        <is>
          <t>Leistungsdatum:*</t>
        </is>
      </c>
      <c r="F10" s="189" t="n"/>
      <c r="G10" s="168">
        <f>+G7</f>
        <v/>
      </c>
      <c r="H10" s="190" t="n"/>
      <c r="L10" s="15" t="inlineStr">
        <is>
          <t xml:space="preserve">zum Gewerbesteuermeßbetrag und zur Feststellung </t>
        </is>
      </c>
      <c r="M10" s="159" t="n"/>
      <c r="O10" s="202" t="n"/>
      <c r="P10" s="183" t="n"/>
      <c r="Q10" s="20" t="n"/>
      <c r="R10" s="193" t="n"/>
    </row>
    <row r="11" ht="15" customFormat="1" customHeight="1" s="15">
      <c r="D11" s="90" t="n"/>
      <c r="E11" s="88" t="inlineStr">
        <is>
          <t xml:space="preserve">IBAN: </t>
        </is>
      </c>
      <c r="F11" s="149" t="inlineStr">
        <is>
          <t>DE 13 50070024 0 4092862 00</t>
        </is>
      </c>
      <c r="G11" s="186" t="n"/>
      <c r="H11" s="187" t="n"/>
      <c r="L11" s="15" t="inlineStr">
        <is>
          <t>körperschaftsteuerlicher Bemessungsgrundlagen 2016</t>
        </is>
      </c>
      <c r="M11" s="159" t="n"/>
      <c r="O11" s="202" t="n"/>
      <c r="P11" s="183" t="n"/>
      <c r="Q11" s="20" t="n"/>
      <c r="R11" s="193" t="n"/>
    </row>
    <row r="12">
      <c r="E12" s="165" t="inlineStr">
        <is>
          <t>BIC:</t>
        </is>
      </c>
      <c r="F12" s="151" t="inlineStr">
        <is>
          <t>DEUTDEDBFRA</t>
        </is>
      </c>
      <c r="G12" s="189" t="n"/>
      <c r="H12" s="190" t="n"/>
      <c r="K12" s="15" t="n"/>
      <c r="L12" s="15" t="inlineStr">
        <is>
          <t>am 06.09.2017</t>
        </is>
      </c>
      <c r="M12" s="159" t="n"/>
      <c r="N12" s="15" t="n"/>
      <c r="O12" s="202" t="n"/>
      <c r="P12" s="183" t="n"/>
      <c r="Q12" s="20" t="n"/>
      <c r="R12" s="193" t="n"/>
    </row>
    <row r="17" ht="14.25" customFormat="1" customHeight="1" s="12">
      <c r="A17" s="152" t="inlineStr">
        <is>
          <t xml:space="preserve">Rechnung über Honorare </t>
        </is>
      </c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90" t="n"/>
      <c r="G19" s="18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90" t="n"/>
      <c r="G20" s="18" t="n"/>
    </row>
    <row r="21" ht="9" customFormat="1" customHeight="1" s="15">
      <c r="D21" s="90" t="n"/>
      <c r="E21" s="183" t="n"/>
      <c r="F21" s="10" t="n"/>
      <c r="G21" s="18" t="n"/>
      <c r="J21" s="202" t="n"/>
      <c r="K21" s="202" t="n"/>
      <c r="L21" s="202" t="n"/>
      <c r="M21" s="202" t="n"/>
      <c r="N21" s="202" t="n"/>
      <c r="O21" s="202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20" t="inlineStr">
        <is>
          <t>Geb.-</t>
        </is>
      </c>
      <c r="H22" s="183" t="inlineStr">
        <is>
          <t>Gebühr</t>
        </is>
      </c>
      <c r="J22" s="202" t="n"/>
      <c r="K22" s="202" t="n"/>
      <c r="L22" s="202" t="n"/>
      <c r="M22" s="202" t="n"/>
      <c r="N22" s="202" t="n"/>
      <c r="O22" s="202" t="n"/>
    </row>
    <row r="23" ht="15" customFormat="1" customHeight="1" s="15">
      <c r="A23" s="21" t="inlineStr">
        <is>
          <t>§§</t>
        </is>
      </c>
      <c r="B23" s="21" t="n"/>
      <c r="C23" s="21" t="n"/>
      <c r="D23" s="22" t="n"/>
      <c r="E23" s="22" t="inlineStr">
        <is>
          <t xml:space="preserve"> wert</t>
        </is>
      </c>
      <c r="F23" s="150" t="n"/>
      <c r="G23" s="24" t="inlineStr">
        <is>
          <t>satz</t>
        </is>
      </c>
      <c r="H23" s="25" t="n"/>
      <c r="J23" s="202" t="n"/>
      <c r="K23" s="202" t="n"/>
      <c r="L23" s="202" t="n"/>
      <c r="M23" s="202" t="n"/>
      <c r="N23" s="202" t="n"/>
      <c r="O23" s="202" t="n"/>
    </row>
    <row r="24" ht="16.5" customFormat="1" customHeight="1" s="15">
      <c r="A24" s="15" t="n">
        <v>35</v>
      </c>
      <c r="B24" s="15" t="inlineStr">
        <is>
          <t>Jahresabschluß</t>
        </is>
      </c>
      <c r="C24" s="159" t="n">
        <v>2024</v>
      </c>
      <c r="E24" s="202">
        <f>+(J24+K24)/2</f>
        <v/>
      </c>
      <c r="F24" s="183" t="inlineStr">
        <is>
          <t>B</t>
        </is>
      </c>
      <c r="G24" s="20" t="n">
        <v>17</v>
      </c>
      <c r="H24" s="193">
        <f>G24/10*1324</f>
        <v/>
      </c>
      <c r="J24" s="202" t="n">
        <v>772590.61</v>
      </c>
      <c r="K24" s="202" t="n">
        <v>2212852.83</v>
      </c>
      <c r="L24" s="202" t="n"/>
      <c r="M24" s="202" t="n"/>
      <c r="N24" s="202" t="n"/>
      <c r="O24" s="202" t="n"/>
    </row>
    <row r="25" ht="5.25" customFormat="1" customHeight="1" s="15">
      <c r="C25" s="159" t="n"/>
      <c r="E25" s="202" t="n"/>
      <c r="F25" s="183" t="n"/>
      <c r="G25" s="20" t="n"/>
      <c r="H25" s="193" t="n"/>
      <c r="J25" s="202" t="n"/>
      <c r="K25" s="202" t="n"/>
      <c r="L25" s="202" t="n"/>
      <c r="M25" s="202" t="n"/>
      <c r="N25" s="202" t="n"/>
      <c r="O25" s="202" t="n"/>
    </row>
    <row r="26" ht="16.5" customFormat="1" customHeight="1" s="15">
      <c r="A26" s="15" t="n">
        <v>35</v>
      </c>
      <c r="B26" s="15" t="inlineStr">
        <is>
          <t>Anhang</t>
        </is>
      </c>
      <c r="C26" s="159">
        <f>+C24</f>
        <v/>
      </c>
      <c r="E26" s="202">
        <f>+(J26+K26)/2</f>
        <v/>
      </c>
      <c r="F26" s="183" t="inlineStr">
        <is>
          <t>B</t>
        </is>
      </c>
      <c r="G26" s="20" t="n">
        <v>5</v>
      </c>
      <c r="H26" s="193">
        <f>G26/10*1324</f>
        <v/>
      </c>
      <c r="J26" s="202" t="n">
        <v>772590.61</v>
      </c>
      <c r="K26" s="202" t="n">
        <v>2212852.83</v>
      </c>
      <c r="L26" s="202" t="n"/>
      <c r="M26" s="202" t="n"/>
      <c r="N26" s="202" t="n"/>
      <c r="O26" s="202" t="n"/>
    </row>
    <row r="27" ht="5.25" customFormat="1" customHeight="1" s="15">
      <c r="C27" s="159" t="n"/>
      <c r="E27" s="202" t="n"/>
      <c r="F27" s="183" t="n"/>
      <c r="G27" s="20" t="n"/>
      <c r="H27" s="193" t="n"/>
      <c r="J27" s="202" t="n"/>
      <c r="K27" s="202" t="n"/>
      <c r="L27" s="202" t="n"/>
      <c r="M27" s="202" t="n"/>
      <c r="N27" s="202" t="n"/>
      <c r="O27" s="202" t="n"/>
    </row>
    <row r="28" ht="16.5" customFormat="1" customHeight="1" s="15">
      <c r="A28" s="15" t="n">
        <v>35</v>
      </c>
      <c r="B28" s="15" t="inlineStr">
        <is>
          <t>Steuerbilanz und -GuV</t>
        </is>
      </c>
      <c r="C28" s="159">
        <f>+C24</f>
        <v/>
      </c>
      <c r="E28" s="202">
        <f>+(J28+K28)/2</f>
        <v/>
      </c>
      <c r="F28" s="183" t="inlineStr">
        <is>
          <t>B</t>
        </is>
      </c>
      <c r="G28" s="20" t="n">
        <v>5</v>
      </c>
      <c r="H28" s="193">
        <f>G28/10*1324</f>
        <v/>
      </c>
      <c r="J28" s="202" t="n">
        <v>727592.61</v>
      </c>
      <c r="K28" s="202">
        <f>+K24</f>
        <v/>
      </c>
      <c r="L28" s="202" t="n"/>
      <c r="M28" s="202" t="n"/>
      <c r="N28" s="202" t="n"/>
      <c r="O28" s="202" t="n"/>
    </row>
    <row r="29" ht="5.25" customFormat="1" customHeight="1" s="15">
      <c r="C29" s="159" t="n"/>
      <c r="E29" s="202" t="n"/>
      <c r="F29" s="183" t="n"/>
      <c r="G29" s="20" t="n"/>
      <c r="H29" s="193" t="n"/>
      <c r="J29" s="202" t="n"/>
      <c r="K29" s="202" t="n"/>
      <c r="L29" s="202" t="n"/>
      <c r="M29" s="202" t="n"/>
      <c r="N29" s="202" t="n"/>
      <c r="O29" s="202" t="n"/>
    </row>
    <row r="30" ht="15" customFormat="1" customHeight="1" s="15">
      <c r="A30" s="15" t="n">
        <v>24</v>
      </c>
      <c r="B30" s="15" t="inlineStr">
        <is>
          <t>Umsatzsteuerjahreserklärung</t>
        </is>
      </c>
      <c r="C30" s="159">
        <f>+C28</f>
        <v/>
      </c>
      <c r="E30" s="202">
        <f>+(1987505+249149)/10</f>
        <v/>
      </c>
      <c r="F30" s="183" t="inlineStr">
        <is>
          <t>A</t>
        </is>
      </c>
      <c r="G30" s="20" t="n">
        <v>2</v>
      </c>
      <c r="H30" s="193">
        <f>G30/10*2412</f>
        <v/>
      </c>
      <c r="J30" s="202" t="n"/>
      <c r="K30" s="202" t="n"/>
      <c r="L30" s="202" t="n"/>
      <c r="M30" s="202" t="n"/>
      <c r="N30" s="202" t="n"/>
      <c r="O30" s="202" t="n"/>
    </row>
    <row r="31" ht="5.25" customFormat="1" customHeight="1" s="15">
      <c r="C31" s="159" t="n"/>
      <c r="E31" s="202" t="n"/>
      <c r="F31" s="183" t="n"/>
      <c r="G31" s="20" t="n"/>
      <c r="H31" s="193" t="n"/>
      <c r="J31" s="202" t="n"/>
      <c r="K31" s="202" t="n"/>
      <c r="L31" s="202" t="n"/>
      <c r="M31" s="202" t="n"/>
      <c r="N31" s="202" t="n"/>
      <c r="O31" s="202" t="n"/>
    </row>
    <row r="32" ht="15" customFormat="1" customHeight="1" s="15">
      <c r="A32" s="15" t="n">
        <v>24</v>
      </c>
      <c r="B32" s="15" t="inlineStr">
        <is>
          <t>Gewerbesteuererklärung nach dem Gewerbe-</t>
        </is>
      </c>
      <c r="C32" s="159" t="n"/>
      <c r="E32" s="202" t="n">
        <v>72490.60000000001</v>
      </c>
      <c r="F32" s="183" t="inlineStr">
        <is>
          <t>A</t>
        </is>
      </c>
      <c r="G32" s="20" t="n">
        <v>2</v>
      </c>
      <c r="H32" s="193">
        <f>G32/10*1496</f>
        <v/>
      </c>
      <c r="J32" s="202" t="n"/>
      <c r="K32" s="202" t="n"/>
      <c r="L32" s="202" t="n"/>
      <c r="M32" s="202" t="n"/>
      <c r="N32" s="202" t="n"/>
      <c r="O32" s="202" t="n"/>
    </row>
    <row r="33" ht="15" customFormat="1" customHeight="1" s="15">
      <c r="B33" s="15" t="inlineStr">
        <is>
          <t xml:space="preserve">ertrag für </t>
        </is>
      </c>
      <c r="C33" s="159">
        <f>+C24</f>
        <v/>
      </c>
      <c r="E33" s="202" t="n"/>
      <c r="F33" s="183" t="n"/>
      <c r="G33" s="20" t="n"/>
      <c r="H33" s="193" t="n"/>
      <c r="J33" s="202" t="n"/>
      <c r="K33" s="202" t="n"/>
      <c r="L33" s="202" t="n"/>
      <c r="M33" s="202" t="n"/>
      <c r="N33" s="202" t="n"/>
      <c r="O33" s="202" t="n"/>
    </row>
    <row r="34" ht="5.25" customFormat="1" customHeight="1" s="15">
      <c r="C34" s="159" t="n"/>
      <c r="E34" s="202" t="n"/>
      <c r="F34" s="183" t="n"/>
      <c r="G34" s="20" t="n"/>
      <c r="H34" s="193" t="n"/>
      <c r="J34" s="202" t="n"/>
      <c r="K34" s="202" t="n"/>
      <c r="L34" s="202" t="n"/>
      <c r="M34" s="202" t="n"/>
      <c r="N34" s="202" t="n"/>
      <c r="O34" s="202" t="n"/>
    </row>
    <row r="35" ht="15" customFormat="1" customHeight="1" s="15">
      <c r="A35" s="15" t="n">
        <v>24</v>
      </c>
      <c r="B35" s="15" t="inlineStr">
        <is>
          <t>Gewerbesteuerzerlegungserklärung</t>
        </is>
      </c>
      <c r="C35" s="159">
        <f>+C33</f>
        <v/>
      </c>
      <c r="E35" s="202">
        <f>658006/10</f>
        <v/>
      </c>
      <c r="F35" s="183" t="inlineStr">
        <is>
          <t>A</t>
        </is>
      </c>
      <c r="G35" s="20" t="n">
        <v>1.5</v>
      </c>
      <c r="H35" s="193">
        <f>G35/10*1496</f>
        <v/>
      </c>
      <c r="J35" s="202" t="n"/>
      <c r="K35" s="202" t="n"/>
      <c r="L35" s="202" t="n"/>
      <c r="M35" s="202" t="n"/>
      <c r="N35" s="202" t="n"/>
      <c r="O35" s="202" t="n"/>
    </row>
    <row r="36" ht="5.25" customFormat="1" customHeight="1" s="15">
      <c r="C36" s="159" t="n"/>
      <c r="E36" s="202" t="n"/>
      <c r="F36" s="183" t="n"/>
      <c r="G36" s="20" t="n"/>
      <c r="H36" s="193" t="n"/>
      <c r="J36" s="202" t="n"/>
      <c r="K36" s="202" t="n"/>
      <c r="L36" s="202" t="n"/>
      <c r="M36" s="202" t="n"/>
      <c r="N36" s="202" t="n"/>
      <c r="O36" s="202" t="n"/>
    </row>
    <row r="37" ht="15" customFormat="1" customHeight="1" s="15">
      <c r="A37" s="15" t="n">
        <v>24</v>
      </c>
      <c r="B37" s="15" t="inlineStr">
        <is>
          <t xml:space="preserve">Körperschaftsteuererklärung für </t>
        </is>
      </c>
      <c r="C37" s="159">
        <f>+C33</f>
        <v/>
      </c>
      <c r="E37" s="202">
        <f>+E32</f>
        <v/>
      </c>
      <c r="F37" s="183" t="inlineStr">
        <is>
          <t>A</t>
        </is>
      </c>
      <c r="G37" s="20" t="n">
        <v>2</v>
      </c>
      <c r="H37" s="193">
        <f>+H32/G32*G37</f>
        <v/>
      </c>
      <c r="J37" s="202" t="n"/>
      <c r="K37" s="202" t="n"/>
      <c r="L37" s="202" t="n"/>
      <c r="M37" s="202" t="n"/>
      <c r="N37" s="202" t="n"/>
      <c r="O37" s="202" t="n"/>
    </row>
    <row r="38" ht="9" customFormat="1" customHeight="1" s="15">
      <c r="C38" s="159" t="n"/>
      <c r="E38" s="202" t="n"/>
      <c r="F38" s="183" t="n"/>
      <c r="G38" s="20" t="n"/>
      <c r="H38" s="193" t="n"/>
      <c r="J38" s="202" t="n"/>
      <c r="K38" s="202" t="n"/>
      <c r="L38" s="202" t="n"/>
      <c r="M38" s="202" t="n"/>
      <c r="N38" s="202" t="n"/>
      <c r="O38" s="202" t="n"/>
    </row>
    <row r="39" ht="15" customFormat="1" customHeight="1" s="15">
      <c r="C39" s="159" t="n"/>
      <c r="E39" s="202" t="n"/>
      <c r="F39" s="183" t="n"/>
      <c r="G39" s="20" t="n"/>
      <c r="H39" s="193" t="n"/>
    </row>
    <row r="40" ht="5.25" customFormat="1" customHeight="1" s="15">
      <c r="C40" s="159" t="n"/>
      <c r="E40" s="202" t="n"/>
      <c r="F40" s="183" t="n"/>
      <c r="G40" s="20" t="n"/>
      <c r="H40" s="193" t="n"/>
    </row>
    <row r="41" ht="15" customFormat="1" customHeight="1" s="15">
      <c r="I41" s="193" t="n"/>
    </row>
    <row r="42" ht="15.75" customFormat="1" customHeight="1" s="15">
      <c r="A42" s="15" t="n">
        <v>16</v>
      </c>
      <c r="B42" s="15" t="inlineStr">
        <is>
          <t xml:space="preserve">Auslagenersatz für Post- und </t>
        </is>
      </c>
      <c r="C42" s="159" t="n"/>
      <c r="E42" s="202">
        <f>SUM(H24:H37)*0.15</f>
        <v/>
      </c>
      <c r="F42" s="159" t="n"/>
      <c r="G42" s="20" t="n">
        <v>0</v>
      </c>
      <c r="H42" s="193" t="n">
        <v>20</v>
      </c>
      <c r="I42" s="193" t="n"/>
    </row>
    <row r="43" ht="15.75" customFormat="1" customHeight="1" s="15">
      <c r="B43" s="15" t="inlineStr">
        <is>
          <t>Telekommunikation</t>
        </is>
      </c>
      <c r="E43" s="90" t="n"/>
      <c r="G43" s="20" t="n"/>
      <c r="H43" s="193" t="n"/>
      <c r="I43" s="193" t="n"/>
    </row>
    <row r="44" ht="15" customFormat="1" customHeight="1" s="15">
      <c r="A44" s="112" t="inlineStr">
        <is>
          <t>*sofern nicht separat anders angegeben</t>
        </is>
      </c>
      <c r="B44" s="28" t="n"/>
      <c r="C44" s="28" t="n"/>
      <c r="D44" s="28" t="n"/>
      <c r="E44" s="29" t="inlineStr">
        <is>
          <t>Zwischensumme</t>
        </is>
      </c>
      <c r="F44" s="197" t="n"/>
      <c r="G44" s="31" t="n"/>
      <c r="H44" s="198">
        <f>SUM(H24:H43)</f>
        <v/>
      </c>
      <c r="I44" s="193" t="n"/>
      <c r="J44" s="193">
        <f>+'JA 2020'!H43</f>
        <v/>
      </c>
      <c r="K44" s="15">
        <f>+'JA 2023'!H43</f>
        <v/>
      </c>
    </row>
    <row r="45" ht="15" customFormat="1" customHeight="1" s="15">
      <c r="A45" s="15" t="n"/>
      <c r="B45" s="15" t="n"/>
      <c r="C45" s="15" t="n"/>
      <c r="D45" s="15" t="n"/>
      <c r="E45" s="100" t="inlineStr">
        <is>
          <t>Umsatzsteuer 19%</t>
        </is>
      </c>
      <c r="F45" s="199" t="n"/>
      <c r="G45" s="35" t="n"/>
      <c r="H45" s="193">
        <f>+H44*0.19</f>
        <v/>
      </c>
      <c r="I45" s="193" t="n"/>
      <c r="J45" s="193">
        <f>+'JA 2021'!H43</f>
        <v/>
      </c>
    </row>
    <row r="46" customFormat="1" s="15" thickBot="1">
      <c r="A46" s="15" t="n"/>
      <c r="B46" s="15" t="n"/>
      <c r="C46" s="15" t="n"/>
      <c r="D46" s="15" t="n"/>
      <c r="E46" s="37" t="inlineStr">
        <is>
          <t>Rechnungsbetrag</t>
        </is>
      </c>
      <c r="F46" s="200" t="n"/>
      <c r="G46" s="39" t="n"/>
      <c r="H46" s="201">
        <f>SUM(H44:H45)</f>
        <v/>
      </c>
      <c r="I46" s="193" t="n"/>
      <c r="J46" s="193">
        <f>+'JA 2022'!H43</f>
        <v/>
      </c>
    </row>
    <row r="47" customFormat="1" s="15" thickTop="1">
      <c r="D47" s="90" t="n"/>
      <c r="E47" s="183" t="n"/>
      <c r="F47" s="10" t="n"/>
      <c r="I47" s="193" t="n"/>
    </row>
    <row r="50">
      <c r="B50" s="14" t="n"/>
    </row>
    <row r="51" ht="12.75" customFormat="1" customHeight="1" s="41"/>
    <row r="52" ht="12.75" customFormat="1" customHeight="1" s="41"/>
    <row r="53">
      <c r="A53" s="147" t="inlineStr">
        <is>
          <t xml:space="preserve">Steuernummer: 014 801 32096      </t>
        </is>
      </c>
    </row>
  </sheetData>
  <mergeCells count="11">
    <mergeCell ref="F11:H11"/>
    <mergeCell ref="A53:H53"/>
    <mergeCell ref="G7:H7"/>
    <mergeCell ref="E7:F7"/>
    <mergeCell ref="E10:F10"/>
    <mergeCell ref="G10:H10"/>
    <mergeCell ref="F12:H12"/>
    <mergeCell ref="G9:H9"/>
    <mergeCell ref="E9:F9"/>
    <mergeCell ref="E8:F8"/>
    <mergeCell ref="A17:H17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 069 / 788 031-71_x000a_Fax:     069 / 788 031-72_x000a_Mobil: 0174 / 326 99 58</oddFooter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5:Q50"/>
  <sheetViews>
    <sheetView tabSelected="1" topLeftCell="A33" workbookViewId="0">
      <selection activeCell="A49" sqref="A49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7109375" customWidth="1" style="6" min="3" max="3"/>
    <col width="3" customWidth="1" style="3" min="4" max="4"/>
    <col width="13.140625" bestFit="1" customWidth="1" style="4" min="5" max="5"/>
    <col width="7" customWidth="1" style="5" min="6" max="6"/>
    <col width="8.710937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customFormat="1" s="15">
      <c r="A7" s="15" t="inlineStr">
        <is>
          <t>Franz Pfaff Innenausbau GmbH</t>
        </is>
      </c>
      <c r="B7" s="13" t="n"/>
      <c r="D7" s="90" t="n"/>
      <c r="E7" s="153" t="inlineStr">
        <is>
          <t>Rg-Datum:</t>
        </is>
      </c>
      <c r="F7" s="186" t="n"/>
      <c r="G7" s="174" t="n">
        <v>46086</v>
      </c>
      <c r="H7" s="187" t="n"/>
      <c r="J7" s="6" t="n"/>
    </row>
    <row r="8" customFormat="1" s="15">
      <c r="A8" s="15" t="inlineStr">
        <is>
          <t>Donnersbergstraße 25</t>
        </is>
      </c>
      <c r="B8" s="13" t="n"/>
      <c r="D8" s="90" t="n"/>
      <c r="E8" s="157" t="inlineStr">
        <is>
          <t xml:space="preserve">Kunden-Nr.: </t>
        </is>
      </c>
      <c r="G8" s="160" t="n">
        <v>10113</v>
      </c>
      <c r="H8" s="188" t="n"/>
      <c r="J8" s="6" t="n"/>
    </row>
    <row r="9" customFormat="1" s="15">
      <c r="B9" s="13" t="n"/>
      <c r="D9" s="90" t="n"/>
      <c r="E9" s="161" t="inlineStr">
        <is>
          <t>Rg-Nr.:</t>
        </is>
      </c>
      <c r="F9" s="189" t="n"/>
      <c r="G9" s="164" t="inlineStr">
        <is>
          <t>10113-2026-001</t>
        </is>
      </c>
      <c r="H9" s="190" t="n"/>
      <c r="J9" s="6" t="n"/>
    </row>
    <row r="10" ht="15" customFormat="1" customHeight="1" s="15">
      <c r="A10" s="15" t="inlineStr">
        <is>
          <t>60528 Frankfurt</t>
        </is>
      </c>
      <c r="B10" s="13" t="n"/>
      <c r="D10" s="90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5">
      <c r="D11" s="90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</row>
    <row r="12" ht="15" customFormat="1" customHeight="1" s="15">
      <c r="D12" s="90" t="n"/>
      <c r="E12" s="183" t="n"/>
      <c r="F12" s="10" t="n"/>
    </row>
    <row r="13" ht="15" customFormat="1" customHeight="1" s="15">
      <c r="D13" s="90" t="n"/>
      <c r="E13" s="183" t="n"/>
      <c r="F13" s="10" t="n"/>
    </row>
    <row r="14" ht="15" customFormat="1" customHeight="1" s="15">
      <c r="D14" s="90" t="n"/>
      <c r="E14" s="183" t="n"/>
      <c r="F14" s="10" t="n"/>
    </row>
    <row r="15" ht="15" customFormat="1" customHeight="1" s="15">
      <c r="D15" s="90" t="n"/>
      <c r="E15" s="183" t="n"/>
      <c r="F15" s="10" t="n"/>
    </row>
    <row r="16" ht="14.25" customFormat="1" customHeight="1" s="12">
      <c r="A16" s="152" t="inlineStr">
        <is>
          <t xml:space="preserve">Rechnung über Honorare </t>
        </is>
      </c>
    </row>
    <row r="17" ht="14.25" customFormat="1" customHeight="1" s="12">
      <c r="A17" s="152" t="n"/>
      <c r="B17" s="152" t="n"/>
      <c r="C17" s="152" t="n"/>
      <c r="D17" s="152" t="n"/>
      <c r="E17" s="152" t="n"/>
      <c r="F17" s="152" t="n"/>
      <c r="G17" s="152" t="n"/>
      <c r="H17" s="152" t="n"/>
    </row>
    <row r="18" ht="14.25" customFormat="1" customHeight="1" s="12">
      <c r="A18" s="152" t="n"/>
      <c r="B18" s="152" t="n"/>
      <c r="C18" s="152" t="n"/>
      <c r="D18" s="152" t="n"/>
      <c r="E18" s="152" t="n"/>
      <c r="F18" s="152" t="n"/>
      <c r="G18" s="152" t="n"/>
      <c r="H18" s="152" t="n"/>
    </row>
    <row r="19" ht="15" customFormat="1" customHeight="1" s="15">
      <c r="A19" s="15" t="inlineStr">
        <is>
          <t xml:space="preserve">Für die nachfolgend aufgeführten Leistungen erlaube ich mir nach der Steuerberatervergütungs- </t>
        </is>
      </c>
      <c r="B19" s="13" t="n"/>
      <c r="D19" s="90" t="n"/>
      <c r="E19" s="183" t="n"/>
      <c r="F19" s="10" t="n"/>
    </row>
    <row r="20" ht="15" customFormat="1" customHeight="1" s="15">
      <c r="A20" s="15" t="inlineStr">
        <is>
          <t>verordnung wie folgt abzurechnen:</t>
        </is>
      </c>
      <c r="B20" s="13" t="n"/>
      <c r="D20" s="90" t="n"/>
      <c r="E20" s="183" t="n"/>
      <c r="F20" s="10" t="n"/>
    </row>
    <row r="21" ht="8.25" customFormat="1" customHeight="1" s="15">
      <c r="D21" s="90" t="n"/>
      <c r="E21" s="90" t="n"/>
      <c r="F21" s="183" t="n"/>
      <c r="G21" s="90" t="n"/>
    </row>
    <row r="22" ht="15" customFormat="1" customHeight="1" s="15">
      <c r="A22" s="17" t="inlineStr">
        <is>
          <t>Leistung</t>
        </is>
      </c>
      <c r="B22" s="19" t="n"/>
      <c r="C22" s="17" t="n"/>
      <c r="D22" s="90" t="n"/>
      <c r="E22" s="90" t="inlineStr">
        <is>
          <t>Gegenstands-</t>
        </is>
      </c>
      <c r="F22" s="183" t="inlineStr">
        <is>
          <t>Tabelle</t>
        </is>
      </c>
      <c r="G22" s="90" t="inlineStr">
        <is>
          <t>Geb.-</t>
        </is>
      </c>
      <c r="H22" s="183" t="inlineStr">
        <is>
          <t>Gebühr</t>
        </is>
      </c>
      <c r="L22" s="93" t="n"/>
      <c r="M22" s="93" t="n"/>
      <c r="N22" s="202" t="n"/>
      <c r="O22" s="183" t="n"/>
      <c r="P22" s="20" t="n"/>
      <c r="Q22" s="193" t="n"/>
    </row>
    <row r="23" ht="15" customFormat="1" customHeight="1" s="15">
      <c r="A23" s="21" t="inlineStr">
        <is>
          <t>§§</t>
        </is>
      </c>
      <c r="B23" s="21" t="n"/>
      <c r="C23" s="163" t="inlineStr">
        <is>
          <t>am</t>
        </is>
      </c>
      <c r="D23" s="22" t="n"/>
      <c r="E23" s="150" t="inlineStr">
        <is>
          <t>wert</t>
        </is>
      </c>
      <c r="F23" s="150" t="n"/>
      <c r="G23" s="92" t="inlineStr">
        <is>
          <t>satz</t>
        </is>
      </c>
      <c r="H23" s="163" t="n"/>
      <c r="K23" s="94" t="n"/>
      <c r="L23" s="93" t="n"/>
      <c r="M23" s="93" t="n"/>
      <c r="N23" s="202" t="n"/>
      <c r="O23" s="183" t="n"/>
      <c r="P23" s="205" t="n"/>
      <c r="Q23" s="193" t="n"/>
    </row>
    <row r="24" ht="15" customFormat="1" customHeight="1" s="15">
      <c r="A24" s="15" t="n">
        <v>33</v>
      </c>
      <c r="B24" s="15" t="inlineStr">
        <is>
          <t>Buchführung einschl. Kontieren der Belege für:</t>
        </is>
      </c>
      <c r="C24" s="93" t="n"/>
      <c r="D24" s="93" t="n"/>
    </row>
    <row r="25" ht="15" customFormat="1" customHeight="1" s="15">
      <c r="B25" s="224" t="n">
        <v>45931</v>
      </c>
      <c r="C25" s="169" t="n">
        <v>45999</v>
      </c>
      <c r="D25" s="169" t="n"/>
      <c r="E25" s="202" t="n">
        <v>2089775</v>
      </c>
      <c r="F25" s="159" t="inlineStr">
        <is>
          <t>C</t>
        </is>
      </c>
      <c r="G25" s="183" t="n">
        <v>3</v>
      </c>
      <c r="H25" s="193">
        <f>G25/10*1664</f>
        <v/>
      </c>
    </row>
    <row r="26" ht="15" customFormat="1" customHeight="1" s="15">
      <c r="B26" s="224" t="n">
        <v>45962</v>
      </c>
      <c r="C26" s="169" t="n">
        <v>46034</v>
      </c>
      <c r="D26" s="93" t="n"/>
      <c r="E26" s="202">
        <f>+E25</f>
        <v/>
      </c>
      <c r="F26" s="159" t="inlineStr">
        <is>
          <t>C</t>
        </is>
      </c>
      <c r="G26" s="183" t="n">
        <v>2.5</v>
      </c>
      <c r="H26" s="193">
        <f>G26/10*1664</f>
        <v/>
      </c>
    </row>
    <row r="27" ht="15" customFormat="1" customHeight="1" s="15">
      <c r="B27" s="224" t="n">
        <v>45992</v>
      </c>
      <c r="C27" s="169" t="n">
        <v>46062</v>
      </c>
      <c r="D27" s="93" t="n"/>
      <c r="E27" s="202">
        <f>+E26</f>
        <v/>
      </c>
      <c r="F27" s="159" t="inlineStr">
        <is>
          <t>C</t>
        </is>
      </c>
      <c r="G27" s="183" t="n">
        <v>3</v>
      </c>
      <c r="H27" s="193">
        <f>G27/10*1664</f>
        <v/>
      </c>
    </row>
    <row r="28" ht="15" customFormat="1" customHeight="1" s="15">
      <c r="C28" s="144" t="n"/>
      <c r="D28" s="144" t="n"/>
      <c r="E28" s="202" t="n"/>
      <c r="F28" s="159" t="n"/>
      <c r="G28" s="183" t="n"/>
      <c r="H28" s="193" t="n"/>
    </row>
    <row r="29" ht="15" customFormat="1" customHeight="1" s="15">
      <c r="C29" s="93" t="n"/>
      <c r="D29" s="93" t="n"/>
      <c r="E29" s="202" t="n"/>
      <c r="F29" s="183" t="n"/>
      <c r="G29" s="205" t="n"/>
      <c r="H29" s="193" t="n"/>
    </row>
    <row r="30" ht="15" customFormat="1" customHeight="1" s="15">
      <c r="C30" s="93" t="n"/>
      <c r="D30" s="93" t="n"/>
      <c r="E30" s="202" t="n"/>
      <c r="F30" s="159" t="n"/>
      <c r="G30" s="183" t="n"/>
      <c r="H30" s="193" t="n"/>
    </row>
    <row r="31" ht="15" customFormat="1" customHeight="1" s="15">
      <c r="C31" s="169" t="n"/>
      <c r="D31" s="169" t="n"/>
      <c r="E31" s="202" t="n"/>
      <c r="F31" s="159" t="n"/>
      <c r="G31" s="183" t="n"/>
      <c r="H31" s="193" t="n"/>
    </row>
    <row r="32" ht="6.75" customFormat="1" customHeight="1" s="15">
      <c r="B32" s="94" t="n"/>
      <c r="C32" s="93" t="n"/>
      <c r="D32" s="93" t="n"/>
      <c r="E32" s="202" t="n"/>
      <c r="F32" s="183" t="n"/>
      <c r="G32" s="205" t="n"/>
      <c r="H32" s="193" t="n"/>
    </row>
    <row r="33" ht="15" customFormat="1" customHeight="1" s="15">
      <c r="B33" s="94" t="n"/>
      <c r="E33" s="202" t="n"/>
      <c r="F33" s="159" t="n"/>
      <c r="G33" s="183" t="n"/>
      <c r="H33" s="193" t="n"/>
    </row>
    <row r="34" ht="15" customFormat="1" customHeight="1" s="15"/>
    <row r="35" ht="15" customFormat="1" customHeight="1" s="15"/>
    <row r="36" ht="6.75" customFormat="1" customHeight="1" s="15">
      <c r="C36" s="93" t="n"/>
      <c r="D36" s="93" t="n"/>
      <c r="E36" s="206" t="n"/>
      <c r="F36" s="150" t="n"/>
      <c r="G36" s="207" t="n"/>
      <c r="H36" s="208" t="n"/>
    </row>
    <row r="37" ht="15" customFormat="1" customHeight="1" s="15">
      <c r="A37" s="13" t="n"/>
      <c r="B37" s="13" t="n"/>
      <c r="E37" s="15" t="inlineStr">
        <is>
          <t>Gesamt</t>
        </is>
      </c>
      <c r="F37" s="99" t="n"/>
      <c r="G37" s="90" t="n"/>
      <c r="H37" s="193">
        <f>SUM(H24:H36)</f>
        <v/>
      </c>
      <c r="J37" s="193" t="n"/>
    </row>
    <row r="38" ht="15" customFormat="1" customHeight="1" s="15">
      <c r="E38" s="100" t="inlineStr">
        <is>
          <t>USt 19%</t>
        </is>
      </c>
      <c r="F38" s="99" t="n"/>
      <c r="G38" s="90" t="n"/>
      <c r="H38" s="193">
        <f>+H37*0.19</f>
        <v/>
      </c>
    </row>
    <row r="39" customFormat="1" s="15" thickBot="1">
      <c r="E39" s="101" t="inlineStr">
        <is>
          <t>Rechnungsendbetrag</t>
        </is>
      </c>
      <c r="F39" s="102" t="n"/>
      <c r="G39" s="103" t="n"/>
      <c r="H39" s="201">
        <f>SUM(H37:H38)</f>
        <v/>
      </c>
      <c r="J39" s="193" t="n"/>
    </row>
    <row r="40" ht="6.75" customFormat="1" customHeight="1" s="15" thickTop="1">
      <c r="E40" s="104" t="n"/>
      <c r="F40" s="183" t="n"/>
      <c r="G40" s="90" t="n"/>
      <c r="H40" s="193" t="n"/>
    </row>
    <row r="41" ht="15" customFormat="1" customHeight="1" s="15">
      <c r="A41" s="15" t="inlineStr">
        <is>
          <t>Bitte überweisen Sie den Betrag ohne Abzüge innerhalb von 14 Tagen auf das angegebene Konto.</t>
        </is>
      </c>
      <c r="B41" s="13" t="n"/>
      <c r="D41" s="90" t="n"/>
      <c r="E41" s="183" t="n"/>
      <c r="F41" s="10" t="n"/>
    </row>
    <row r="42" ht="15" customFormat="1" customHeight="1" s="15">
      <c r="D42" s="90" t="n"/>
      <c r="E42" s="183" t="n"/>
      <c r="F42" s="10" t="n"/>
    </row>
    <row r="43" ht="15" customFormat="1" customHeight="1" s="15">
      <c r="D43" s="90" t="n"/>
      <c r="E43" s="183" t="n"/>
      <c r="F43" s="90" t="n"/>
      <c r="G43" s="10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5" customFormat="1" customHeight="1" s="15">
      <c r="B46" s="21" t="n"/>
      <c r="D46" s="90" t="n"/>
      <c r="E46" s="183" t="n"/>
      <c r="F46" s="90" t="n"/>
      <c r="G46" s="10" t="n"/>
    </row>
    <row r="47" ht="15" customFormat="1" customHeight="1" s="15"/>
    <row r="48" ht="10.5" customHeight="1"/>
    <row r="50">
      <c r="A50" s="147" t="inlineStr">
        <is>
          <t xml:space="preserve">Steuernummer: 014 801 32096      </t>
        </is>
      </c>
    </row>
  </sheetData>
  <mergeCells count="10">
    <mergeCell ref="A50:H50"/>
    <mergeCell ref="F10:H10"/>
    <mergeCell ref="F11:H11"/>
    <mergeCell ref="G7:H7"/>
    <mergeCell ref="E7:F7"/>
    <mergeCell ref="A16:H16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5:T53"/>
  <sheetViews>
    <sheetView topLeftCell="A23" workbookViewId="0">
      <selection activeCell="A50" sqref="A50:IV50"/>
    </sheetView>
  </sheetViews>
  <sheetFormatPr baseColWidth="10" defaultColWidth="11.5703125" defaultRowHeight="15.75"/>
  <cols>
    <col width="3.5703125" customWidth="1" style="6" min="1" max="1"/>
    <col width="30.5703125" customWidth="1" style="6" min="2" max="2"/>
    <col width="10.140625" customWidth="1" style="6" min="3" max="3"/>
    <col width="3" customWidth="1" style="3" min="4" max="4"/>
    <col width="13" bestFit="1" customWidth="1" style="4" min="5" max="5"/>
    <col width="7" customWidth="1" style="5" min="6" max="6"/>
    <col width="9.140625" customWidth="1" style="6" min="7" max="7"/>
    <col width="10.7109375" bestFit="1" customWidth="1" style="6" min="8" max="8"/>
    <col width="1.140625" customWidth="1" style="6" min="9" max="9"/>
    <col width="11.5703125" customWidth="1" style="6" min="10" max="16384"/>
  </cols>
  <sheetData>
    <row r="5">
      <c r="A5" s="1" t="inlineStr">
        <is>
          <t>Hartmut Ahting, Steuerberater, Heerstrasse 50, 60488 Frankfurt</t>
        </is>
      </c>
      <c r="B5" s="2" t="n"/>
      <c r="C5" s="2" t="n"/>
    </row>
    <row r="6" ht="9" customHeight="1">
      <c r="A6" s="1" t="n"/>
      <c r="B6" s="2" t="n"/>
      <c r="C6" s="2" t="n"/>
    </row>
    <row r="7" customFormat="1" s="140">
      <c r="A7" s="140" t="inlineStr">
        <is>
          <t>Franz Pfaff Innenausbau GmbH</t>
        </is>
      </c>
      <c r="B7" s="43" t="n"/>
      <c r="D7" s="52" t="n"/>
      <c r="E7" s="171" t="inlineStr">
        <is>
          <t>Rg-Datum:</t>
        </is>
      </c>
      <c r="F7" s="186" t="n"/>
      <c r="G7" s="174" t="n">
        <v>46086</v>
      </c>
      <c r="H7" s="187" t="n"/>
      <c r="J7" s="6" t="n"/>
    </row>
    <row r="8" customFormat="1" s="140">
      <c r="A8" s="140" t="inlineStr">
        <is>
          <t>Donnersbergstraße 25</t>
        </is>
      </c>
      <c r="B8" s="43" t="n"/>
      <c r="D8" s="52" t="n"/>
      <c r="E8" s="175" t="inlineStr">
        <is>
          <t xml:space="preserve">Kunden-Nr.: </t>
        </is>
      </c>
      <c r="G8" s="178" t="n">
        <v>10113</v>
      </c>
      <c r="H8" s="188" t="n"/>
      <c r="J8" s="6" t="n"/>
    </row>
    <row r="9" customFormat="1" s="140">
      <c r="B9" s="43" t="n"/>
      <c r="D9" s="52" t="n"/>
      <c r="E9" s="179" t="inlineStr">
        <is>
          <t>Rg-Nr.:</t>
        </is>
      </c>
      <c r="F9" s="189" t="n"/>
      <c r="G9" s="182" t="inlineStr">
        <is>
          <t>10113-2026-002</t>
        </is>
      </c>
      <c r="H9" s="190" t="n"/>
      <c r="J9" s="6" t="n"/>
    </row>
    <row r="10" ht="15" customFormat="1" customHeight="1" s="140">
      <c r="A10" s="140" t="inlineStr">
        <is>
          <t>60528 Frankfurt</t>
        </is>
      </c>
      <c r="B10" s="43" t="n"/>
      <c r="D10" s="52" t="n"/>
      <c r="E10" s="88" t="inlineStr">
        <is>
          <t xml:space="preserve">IBAN: </t>
        </is>
      </c>
      <c r="F10" s="149" t="inlineStr">
        <is>
          <t>DE 13 50070024 0 4092862 00</t>
        </is>
      </c>
      <c r="G10" s="186" t="n"/>
      <c r="H10" s="187" t="n"/>
    </row>
    <row r="11" ht="15" customFormat="1" customHeight="1" s="140">
      <c r="D11" s="52" t="n"/>
      <c r="E11" s="165" t="inlineStr">
        <is>
          <t>BIC:</t>
        </is>
      </c>
      <c r="F11" s="151" t="inlineStr">
        <is>
          <t>DEUTDEDBFRA</t>
        </is>
      </c>
      <c r="G11" s="189" t="n"/>
      <c r="H11" s="190" t="n"/>
      <c r="K11" s="58" t="n"/>
      <c r="L11" s="63" t="n"/>
      <c r="M11" s="59" t="n"/>
      <c r="N11" s="60" t="n"/>
      <c r="O11" s="209" t="n"/>
      <c r="P11" s="58" t="n"/>
      <c r="Q11" s="210" t="n"/>
      <c r="R11" s="211" t="n"/>
    </row>
    <row r="12" ht="15" customFormat="1" customHeight="1" s="140">
      <c r="D12" s="52" t="n"/>
      <c r="E12" s="100" t="n"/>
      <c r="F12" s="183" t="n"/>
      <c r="G12" s="183" t="n"/>
      <c r="H12" s="183" t="n"/>
    </row>
    <row r="13" ht="15" customFormat="1" customHeight="1" s="140">
      <c r="D13" s="52" t="n"/>
      <c r="E13" s="53" t="n"/>
      <c r="F13" s="47" t="n"/>
    </row>
    <row r="15" ht="14.25" customFormat="1" customHeight="1" s="49">
      <c r="A15" s="170" t="inlineStr">
        <is>
          <t xml:space="preserve">Rechnung über Honorare </t>
        </is>
      </c>
      <c r="M15" s="58" t="n"/>
      <c r="N15" s="58" t="n"/>
      <c r="O15" s="59" t="n"/>
      <c r="P15" s="60" t="n"/>
      <c r="Q15" s="58" t="n"/>
      <c r="R15" s="58" t="n"/>
      <c r="S15" s="58" t="n"/>
      <c r="T15" s="58" t="n"/>
    </row>
    <row r="16" ht="14.25" customFormat="1" customHeight="1" s="49">
      <c r="A16" s="170" t="n"/>
      <c r="B16" s="170" t="n"/>
      <c r="C16" s="170" t="n"/>
      <c r="D16" s="170" t="n"/>
      <c r="E16" s="170" t="n"/>
      <c r="F16" s="170" t="n"/>
      <c r="G16" s="170" t="n"/>
      <c r="H16" s="170" t="n"/>
      <c r="M16" s="58" t="n"/>
      <c r="N16" s="58" t="n"/>
      <c r="O16" s="59" t="n"/>
      <c r="P16" s="60" t="n"/>
      <c r="Q16" s="58" t="n"/>
      <c r="R16" s="58" t="n"/>
      <c r="S16" s="58" t="n"/>
      <c r="T16" s="58" t="n"/>
    </row>
    <row r="17" ht="14.25" customFormat="1" customHeight="1" s="49">
      <c r="A17" s="170" t="n"/>
      <c r="B17" s="170" t="n"/>
      <c r="C17" s="170" t="n"/>
      <c r="D17" s="170" t="n"/>
      <c r="E17" s="170" t="n"/>
      <c r="F17" s="170" t="n"/>
      <c r="G17" s="170" t="n"/>
      <c r="H17" s="170" t="n"/>
      <c r="M17" s="58" t="n"/>
      <c r="N17" s="58" t="n"/>
      <c r="O17" s="59" t="n"/>
      <c r="P17" s="60" t="n"/>
      <c r="Q17" s="58" t="n"/>
      <c r="R17" s="58" t="n"/>
      <c r="S17" s="58" t="n"/>
      <c r="T17" s="58" t="n"/>
    </row>
    <row r="18" ht="14.25" customFormat="1" customHeight="1" s="49">
      <c r="A18" s="170" t="n"/>
      <c r="B18" s="170" t="n"/>
      <c r="C18" s="170" t="n"/>
      <c r="D18" s="170" t="n"/>
      <c r="E18" s="170" t="n"/>
      <c r="F18" s="170" t="n"/>
      <c r="G18" s="170" t="n"/>
      <c r="H18" s="170" t="n"/>
      <c r="M18" s="58" t="n"/>
      <c r="N18" s="58" t="n"/>
      <c r="O18" s="59" t="n"/>
      <c r="P18" s="60" t="n"/>
      <c r="Q18" s="212" t="n"/>
      <c r="R18" s="58" t="n"/>
      <c r="S18" s="213" t="n"/>
      <c r="T18" s="211" t="n"/>
    </row>
    <row r="19" ht="15" customFormat="1" customHeight="1" s="140">
      <c r="A19" s="140" t="inlineStr">
        <is>
          <t xml:space="preserve">Für die nachfolgend aufgeführten Leistungen erlaube ich mir nach der Steuerberatervergütungs- </t>
        </is>
      </c>
      <c r="B19" s="43" t="n"/>
      <c r="D19" s="52" t="n"/>
      <c r="E19" s="53" t="n"/>
      <c r="F19" s="47" t="n"/>
      <c r="M19" s="58" t="n"/>
      <c r="N19" s="63" t="n"/>
      <c r="O19" s="59" t="n"/>
      <c r="P19" s="60" t="n"/>
      <c r="Q19" s="209" t="n"/>
      <c r="R19" s="58" t="n"/>
      <c r="S19" s="210" t="n"/>
      <c r="T19" s="211" t="n"/>
    </row>
    <row r="20" ht="15" customFormat="1" customHeight="1" s="140">
      <c r="A20" s="140" t="inlineStr">
        <is>
          <t>verordnung wie folgt abzurechnen:</t>
        </is>
      </c>
      <c r="B20" s="43" t="n"/>
      <c r="D20" s="52" t="n"/>
      <c r="E20" s="53" t="n"/>
      <c r="F20" s="47" t="n"/>
      <c r="M20" s="58" t="n"/>
      <c r="N20" s="63" t="n"/>
      <c r="O20" s="59" t="n"/>
      <c r="P20" s="60" t="n"/>
      <c r="Q20" s="58" t="n"/>
      <c r="R20" s="58" t="n"/>
      <c r="S20" s="58" t="n"/>
      <c r="T20" s="58" t="n"/>
    </row>
    <row r="21" ht="15" customFormat="1" customHeight="1" s="140">
      <c r="D21" s="52" t="n"/>
      <c r="E21" s="52" t="n"/>
      <c r="F21" s="53" t="n"/>
      <c r="G21" s="52" t="n"/>
    </row>
    <row r="22" ht="15" customFormat="1" customHeight="1" s="140">
      <c r="A22" s="50" t="inlineStr">
        <is>
          <t>Leistung</t>
        </is>
      </c>
      <c r="B22" s="51" t="n"/>
      <c r="C22" s="50" t="n"/>
      <c r="D22" s="52" t="n"/>
      <c r="E22" s="52" t="inlineStr">
        <is>
          <t>Gegenstands-</t>
        </is>
      </c>
      <c r="F22" s="53" t="inlineStr">
        <is>
          <t>Tabelle</t>
        </is>
      </c>
      <c r="G22" s="52" t="inlineStr">
        <is>
          <t>Arbeit-</t>
        </is>
      </c>
      <c r="H22" s="53" t="inlineStr">
        <is>
          <t>Gebühr</t>
        </is>
      </c>
    </row>
    <row r="23" ht="15" customFormat="1" customHeight="1" s="140">
      <c r="A23" s="54" t="inlineStr">
        <is>
          <t>§§</t>
        </is>
      </c>
      <c r="B23" s="54" t="n"/>
      <c r="C23" s="181" t="inlineStr">
        <is>
          <t>am/in:</t>
        </is>
      </c>
      <c r="D23" s="55" t="n"/>
      <c r="E23" s="56" t="inlineStr">
        <is>
          <t>wert</t>
        </is>
      </c>
      <c r="F23" s="56" t="n"/>
      <c r="G23" s="57" t="inlineStr">
        <is>
          <t>nehmer</t>
        </is>
      </c>
      <c r="H23" s="181" t="n"/>
    </row>
    <row r="24" ht="13.5" customFormat="1" customHeight="1" s="58">
      <c r="A24" s="58" t="n">
        <v>34</v>
      </c>
      <c r="B24" s="58" t="inlineStr">
        <is>
          <t xml:space="preserve">Löhne/Gehälter 10/2025 </t>
        </is>
      </c>
      <c r="D24" s="60" t="n"/>
    </row>
    <row r="25" ht="13.5" customFormat="1" customHeight="1" s="58">
      <c r="B25" s="63" t="inlineStr">
        <is>
          <t xml:space="preserve"> - Lohnabrechnungen inkl. </t>
        </is>
      </c>
      <c r="C25" s="59" t="n"/>
      <c r="D25" s="60" t="n"/>
    </row>
    <row r="26" ht="13.5" customFormat="1" customHeight="1" s="58">
      <c r="B26" s="58" t="inlineStr">
        <is>
          <t xml:space="preserve">   Sozialvers.-meldungen</t>
        </is>
      </c>
      <c r="C26" s="59" t="n">
        <v>45953</v>
      </c>
      <c r="D26" s="60" t="n"/>
      <c r="E26" s="212" t="n">
        <v>15</v>
      </c>
      <c r="G26" s="213" t="n">
        <v>15</v>
      </c>
      <c r="H26" s="211">
        <f>+G26*E26</f>
        <v/>
      </c>
    </row>
    <row r="27" ht="4.5" customFormat="1" customHeight="1" s="58">
      <c r="C27" s="59" t="n"/>
      <c r="D27" s="60" t="n"/>
      <c r="E27" s="212" t="n"/>
      <c r="G27" s="213" t="n"/>
      <c r="H27" s="211" t="n"/>
    </row>
    <row r="28" ht="13.5" customFormat="1" customHeight="1" s="58">
      <c r="A28" s="58" t="n">
        <v>34</v>
      </c>
      <c r="B28" s="58" t="inlineStr">
        <is>
          <t xml:space="preserve">Löhne/Gehälter 11/2025 </t>
        </is>
      </c>
      <c r="D28" s="60" t="n"/>
    </row>
    <row r="29" ht="13.5" customFormat="1" customHeight="1" s="58">
      <c r="B29" s="63" t="inlineStr">
        <is>
          <t xml:space="preserve"> - Lohnabrechnungen inkl. </t>
        </is>
      </c>
      <c r="C29" s="59" t="n"/>
      <c r="D29" s="60" t="n"/>
    </row>
    <row r="30" ht="13.5" customFormat="1" customHeight="1" s="58">
      <c r="B30" s="58" t="inlineStr">
        <is>
          <t xml:space="preserve">   Sozialvers.-meldungen</t>
        </is>
      </c>
      <c r="C30" s="59" t="n">
        <v>45982</v>
      </c>
      <c r="D30" s="60" t="n"/>
      <c r="E30" s="212" t="n">
        <v>15</v>
      </c>
      <c r="G30" s="213" t="n">
        <v>15</v>
      </c>
      <c r="H30" s="211">
        <f>+G30*E30</f>
        <v/>
      </c>
    </row>
    <row r="31" ht="6" customFormat="1" customHeight="1" s="58">
      <c r="C31" s="59" t="n"/>
      <c r="D31" s="60" t="n"/>
      <c r="E31" s="212" t="n"/>
      <c r="G31" s="213" t="n"/>
      <c r="H31" s="211" t="n"/>
    </row>
    <row r="32" ht="13.5" customFormat="1" customHeight="1" s="58">
      <c r="A32" s="58" t="n">
        <v>34</v>
      </c>
      <c r="B32" s="58" t="inlineStr">
        <is>
          <t xml:space="preserve">Löhne/Gehälter 12/2025 </t>
        </is>
      </c>
      <c r="D32" s="60" t="n"/>
    </row>
    <row r="33" ht="13.5" customFormat="1" customHeight="1" s="58">
      <c r="B33" s="63" t="inlineStr">
        <is>
          <t xml:space="preserve"> - Lohnabrechnungen inkl. </t>
        </is>
      </c>
      <c r="C33" s="59" t="n"/>
      <c r="D33" s="60" t="n"/>
    </row>
    <row r="34" ht="13.5" customFormat="1" customHeight="1" s="58">
      <c r="B34" s="58" t="inlineStr">
        <is>
          <t xml:space="preserve">   Sozialvers.-meldungen</t>
        </is>
      </c>
      <c r="C34" s="59" t="n">
        <v>46009</v>
      </c>
      <c r="D34" s="60" t="n"/>
      <c r="E34" s="212" t="n">
        <v>15</v>
      </c>
      <c r="G34" s="213" t="n">
        <v>15</v>
      </c>
      <c r="H34" s="211">
        <f>+G34*E34</f>
        <v/>
      </c>
    </row>
    <row r="35" ht="13.5" customFormat="1" customHeight="1" s="58">
      <c r="C35" s="59" t="n"/>
      <c r="D35" s="60" t="n"/>
      <c r="E35" s="212" t="n"/>
      <c r="G35" s="213" t="n"/>
      <c r="H35" s="211" t="n"/>
    </row>
    <row r="36" ht="13.5" customFormat="1" customHeight="1" s="58">
      <c r="A36" s="58" t="n">
        <v>16</v>
      </c>
      <c r="B36" s="58" t="inlineStr">
        <is>
          <t xml:space="preserve">Auslagenersatz für Post- und </t>
        </is>
      </c>
      <c r="C36" s="59" t="n"/>
      <c r="D36" s="60" t="n"/>
      <c r="E36" s="212" t="n"/>
      <c r="G36" s="213" t="n"/>
      <c r="H36" s="211" t="n"/>
    </row>
    <row r="37" ht="15" customFormat="1" customHeight="1" s="58">
      <c r="B37" s="58" t="inlineStr">
        <is>
          <t>Telekommunikation</t>
        </is>
      </c>
      <c r="C37" s="59" t="inlineStr">
        <is>
          <t>IV/2025</t>
        </is>
      </c>
      <c r="D37" s="60" t="n"/>
      <c r="E37" s="211">
        <f>SUM(H24:H35)*0.2</f>
        <v/>
      </c>
      <c r="G37" s="211" t="n"/>
      <c r="H37" s="211">
        <f>(G26+G30+G34)*1.3</f>
        <v/>
      </c>
      <c r="I37" s="140" t="n"/>
    </row>
    <row r="38" ht="6.75" customFormat="1" customHeight="1" s="58">
      <c r="C38" s="60" t="n"/>
      <c r="D38" s="60" t="n"/>
      <c r="E38" s="214" t="n"/>
      <c r="F38" s="68" t="n"/>
      <c r="G38" s="69" t="n"/>
      <c r="H38" s="215" t="n"/>
    </row>
    <row r="39" ht="13.5" customFormat="1" customHeight="1" s="58">
      <c r="A39" s="71" t="n"/>
      <c r="B39" s="71" t="n"/>
      <c r="E39" s="58" t="inlineStr">
        <is>
          <t>Gesamt</t>
        </is>
      </c>
      <c r="F39" s="71" t="n"/>
      <c r="G39" s="81" t="n"/>
      <c r="H39" s="211">
        <f>SUM(H24:H38)</f>
        <v/>
      </c>
      <c r="J39" s="211" t="n"/>
      <c r="L39" s="211" t="n"/>
    </row>
    <row r="40" ht="13.5" customFormat="1" customHeight="1" s="58">
      <c r="E40" s="74" t="inlineStr">
        <is>
          <t>USt 19%</t>
        </is>
      </c>
      <c r="F40" s="71" t="n"/>
      <c r="G40" s="81" t="n"/>
      <c r="H40" s="211">
        <f>+H39*0.19</f>
        <v/>
      </c>
    </row>
    <row r="41" ht="14.25" customFormat="1" customHeight="1" s="58" thickBot="1">
      <c r="E41" s="75" t="inlineStr">
        <is>
          <t>Rechnungsendbetrag</t>
        </is>
      </c>
      <c r="F41" s="76" t="n"/>
      <c r="G41" s="77" t="n"/>
      <c r="H41" s="216">
        <f>SUM(H39:H40)</f>
        <v/>
      </c>
      <c r="J41" s="211" t="n"/>
    </row>
    <row r="42" ht="5.25" customFormat="1" customHeight="1" s="58" thickTop="1">
      <c r="E42" s="79" t="n"/>
      <c r="F42" s="80" t="n"/>
      <c r="G42" s="81" t="n"/>
      <c r="H42" s="211" t="n"/>
      <c r="J42" s="211" t="n"/>
    </row>
    <row r="43" ht="15" customFormat="1" customHeight="1" s="58">
      <c r="A43" s="15" t="inlineStr">
        <is>
          <t>Bitte überweisen Sie den Betrag ohne Abzüge innerhalb von 14 Tagen auf das angegebene Konto.</t>
        </is>
      </c>
      <c r="B43" s="71" t="n"/>
      <c r="D43" s="81" t="n"/>
      <c r="E43" s="80" t="n"/>
      <c r="F43" s="62" t="n"/>
    </row>
    <row r="44" ht="15" customFormat="1" customHeight="1" s="15">
      <c r="D44" s="90" t="n"/>
      <c r="E44" s="183" t="n"/>
      <c r="F44" s="90" t="n"/>
      <c r="G44" s="10" t="n"/>
    </row>
    <row r="45" ht="15" customFormat="1" customHeight="1" s="15">
      <c r="D45" s="90" t="n"/>
      <c r="E45" s="183" t="n"/>
      <c r="F45" s="90" t="n"/>
      <c r="G45" s="10" t="n"/>
    </row>
    <row r="46" ht="19.5" customFormat="1" customHeight="1" s="15">
      <c r="B46" s="21" t="n"/>
      <c r="D46" s="90" t="n"/>
      <c r="E46" s="183" t="n"/>
      <c r="F46" s="90" t="n"/>
      <c r="G46" s="10" t="n"/>
    </row>
    <row r="48" ht="13.5" customFormat="1" customHeight="1" s="58">
      <c r="C48" s="59" t="n"/>
      <c r="D48" s="60" t="n"/>
      <c r="E48" s="212" t="n"/>
      <c r="G48" s="213" t="n"/>
      <c r="H48" s="211" t="n"/>
    </row>
    <row r="49" ht="13.5" customFormat="1" customHeight="1" s="58">
      <c r="C49" s="59" t="n"/>
      <c r="D49" s="60" t="n"/>
      <c r="E49" s="212" t="n"/>
      <c r="G49" s="213" t="n"/>
      <c r="H49" s="211" t="n"/>
    </row>
    <row r="50" ht="13.5" customFormat="1" customHeight="1" s="58">
      <c r="C50" s="59" t="n"/>
      <c r="D50" s="60" t="n"/>
      <c r="E50" s="212" t="n"/>
      <c r="G50" s="213" t="n"/>
      <c r="H50" s="211" t="n"/>
    </row>
    <row r="51" ht="13.5" customFormat="1" customHeight="1" s="58">
      <c r="A51" s="147" t="inlineStr">
        <is>
          <t xml:space="preserve">Steuernummer: 014 801 32096    </t>
        </is>
      </c>
    </row>
    <row r="53">
      <c r="D53" s="6" t="n"/>
      <c r="E53" s="6" t="n"/>
      <c r="F53" s="6" t="n"/>
    </row>
  </sheetData>
  <mergeCells count="10">
    <mergeCell ref="F10:H10"/>
    <mergeCell ref="F11:H11"/>
    <mergeCell ref="A15:H15"/>
    <mergeCell ref="G7:H7"/>
    <mergeCell ref="E7:F7"/>
    <mergeCell ref="A51:H51"/>
    <mergeCell ref="G8:H8"/>
    <mergeCell ref="G9:H9"/>
    <mergeCell ref="E9:F9"/>
    <mergeCell ref="E8:F8"/>
  </mergeCells>
  <pageMargins left="0.7874015748031497" right="0.5905511811023623" top="0.984251968503937" bottom="0.984251968503937" header="0.5118110236220472" footer="0.5118110236220472"/>
  <pageSetup orientation="portrait" paperSize="9" horizontalDpi="300" verticalDpi="300"/>
  <headerFooter alignWithMargins="0">
    <oddHeader>&amp;C&amp;"Times New Roman,Standard"&amp;16 Hartmut Ahting_x000a_Steuerberater_x000a_Diplom-Wirtschaftsingenieur</oddHeader>
    <oddFooter>&amp;L&amp;"Times New Roman,Standard"Heerstrasse 50_x000a_60488 Frankfurt_x000a_&amp;C&amp;"Times New Roman,Standard"Deutsche Bank_x000a_BLZ 500 700 24_x000a_Konto 409 28 62&amp;R&amp;"Times New Roman,Standard"Tel:     069 / 788 031-71_x000a_Fax:    069 / 788 031-72_x000a_Mobil: 0174 / 326 99 58</oddFooter>
    <evenHeader/>
    <evenFooter/>
    <firstHeader/>
    <firstFooter/>
  </headerFooter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An:</t>
        </is>
      </c>
    </row>
    <row r="2">
      <c r="A2" t="inlineStr">
        <is>
          <t>Franz Pfaff Innenausbau GmbH</t>
        </is>
      </c>
    </row>
    <row r="3">
      <c r="A3" t="inlineStr">
        <is>
          <t>Donnersbergstraße 25</t>
        </is>
      </c>
    </row>
    <row r="4">
      <c r="A4" t="inlineStr">
        <is>
          <t>60528 Frankfurt</t>
        </is>
      </c>
    </row>
    <row r="6">
      <c r="A6" t="inlineStr">
        <is>
          <t>Rechnungs-Nr:</t>
        </is>
      </c>
      <c r="B6" t="inlineStr">
        <is>
          <t>10113-2025-004</t>
        </is>
      </c>
    </row>
    <row r="7">
      <c r="A7" t="inlineStr">
        <is>
          <t>Kunden-Nr:</t>
        </is>
      </c>
      <c r="B7" t="n">
        <v>10113</v>
      </c>
    </row>
    <row r="8">
      <c r="A8" t="inlineStr">
        <is>
          <t>Rechnungsdatum:</t>
        </is>
      </c>
      <c r="B8" s="225" t="n">
        <v>45853</v>
      </c>
    </row>
    <row r="10">
      <c r="C10" t="inlineStr">
        <is>
          <t>Rechnung über Honorare</t>
        </is>
      </c>
    </row>
    <row r="11">
      <c r="A11" t="inlineStr">
        <is>
          <t>Für die nachfolgend aufgeführten Leistungen erlaube ich mir nach der Steuerberater­vergütungs­verordnung wie folgt abzurechnen:</t>
        </is>
      </c>
    </row>
    <row r="13">
      <c r="A13" t="inlineStr">
        <is>
          <t>Pos.</t>
        </is>
      </c>
      <c r="B13" t="inlineStr">
        <is>
          <t>Datum</t>
        </is>
      </c>
      <c r="C13" t="inlineStr">
        <is>
          <t>§§ / Leistung</t>
        </is>
      </c>
      <c r="D13" t="inlineStr">
        <is>
          <t>Arbeit-nehmer</t>
        </is>
      </c>
      <c r="E13" t="inlineStr">
        <is>
          <t>Einheit</t>
        </is>
      </c>
      <c r="F13" t="inlineStr">
        <is>
          <t>Wert</t>
        </is>
      </c>
      <c r="G13" t="inlineStr">
        <is>
          <t>Gebühr</t>
        </is>
      </c>
    </row>
    <row r="14">
      <c r="A14" t="n">
        <v>1</v>
      </c>
      <c r="B14" s="225" t="n">
        <v>45658</v>
      </c>
      <c r="C14" t="inlineStr">
        <is>
          <t>§34 / Löhne/Gehälter 01/2025 - Einrichten v. Lohnkonten (Vasile)</t>
        </is>
      </c>
      <c r="D14" t="n">
        <v>1</v>
      </c>
      <c r="E14" t="inlineStr">
        <is>
          <t>Stk.</t>
        </is>
      </c>
      <c r="F14" t="n">
        <v>9</v>
      </c>
      <c r="G14" t="n">
        <v>9</v>
      </c>
    </row>
    <row r="15">
      <c r="A15" t="n">
        <v>2</v>
      </c>
      <c r="B15" s="225" t="n">
        <v>45681</v>
      </c>
      <c r="C15" t="inlineStr">
        <is>
          <t>§34 / Lohnabrechnungen inkl. Sozialvers.-meldungen</t>
        </is>
      </c>
      <c r="D15" t="n">
        <v>15</v>
      </c>
      <c r="E15" t="inlineStr">
        <is>
          <t>Stk.</t>
        </is>
      </c>
      <c r="F15" t="n">
        <v>15</v>
      </c>
      <c r="G15" t="n">
        <v>225</v>
      </c>
    </row>
    <row r="16">
      <c r="A16" t="n">
        <v>3</v>
      </c>
      <c r="B16" s="225" t="n">
        <v>45689</v>
      </c>
      <c r="C16" t="inlineStr">
        <is>
          <t>§34 / Löhne/Gehälter 02/2025 - Einrichten v. Lohnkonten (Bajiric)</t>
        </is>
      </c>
      <c r="D16" t="n">
        <v>2</v>
      </c>
      <c r="E16" t="inlineStr">
        <is>
          <t>Stk.</t>
        </is>
      </c>
      <c r="F16" t="n">
        <v>9</v>
      </c>
      <c r="G16" t="n">
        <v>18</v>
      </c>
    </row>
    <row r="17">
      <c r="A17" t="n">
        <v>4</v>
      </c>
      <c r="B17" s="225" t="n">
        <v>45708</v>
      </c>
      <c r="C17" t="inlineStr">
        <is>
          <t>§34 / Lohnabrechnungen inkl. Sozialvers.-meldungen</t>
        </is>
      </c>
      <c r="D17" t="n">
        <v>17</v>
      </c>
      <c r="E17" t="inlineStr">
        <is>
          <t>Stk.</t>
        </is>
      </c>
      <c r="F17" t="n">
        <v>15</v>
      </c>
      <c r="G17" t="n">
        <v>255</v>
      </c>
    </row>
    <row r="18">
      <c r="A18" t="n">
        <v>5</v>
      </c>
      <c r="B18" s="225" t="n">
        <v>45740</v>
      </c>
      <c r="C18" t="inlineStr">
        <is>
          <t>§34 / Löhne/Gehälter 03/2025 - Lohnabrechnungen inkl. Sozialvers.-meldungen</t>
        </is>
      </c>
      <c r="D18" t="n">
        <v>17</v>
      </c>
      <c r="E18" t="inlineStr">
        <is>
          <t>Stk.</t>
        </is>
      </c>
      <c r="F18" t="n">
        <v>15</v>
      </c>
      <c r="G18" t="n">
        <v>255</v>
      </c>
    </row>
    <row r="19">
      <c r="A19" t="n">
        <v>6</v>
      </c>
      <c r="B19" s="225" t="n">
        <v>45658</v>
      </c>
      <c r="C19" t="inlineStr">
        <is>
          <t>§16 / Auslagenersatz für Post- und Telekommunikation</t>
        </is>
      </c>
      <c r="D19" t="n">
        <v>0</v>
      </c>
      <c r="E19" t="inlineStr">
        <is>
          <t>Stk.</t>
        </is>
      </c>
      <c r="F19" t="n">
        <v>152.4</v>
      </c>
      <c r="G19" t="n">
        <v>60</v>
      </c>
    </row>
    <row r="20">
      <c r="F20" t="inlineStr">
        <is>
          <t>Summe</t>
        </is>
      </c>
      <c r="G20" t="n">
        <v>822</v>
      </c>
    </row>
    <row r="21">
      <c r="F21" t="inlineStr">
        <is>
          <t>Umsatzsteuer 19%</t>
        </is>
      </c>
      <c r="G21" t="n">
        <v>156.18</v>
      </c>
    </row>
    <row r="22">
      <c r="F22" t="inlineStr">
        <is>
          <t>Bruttobetrag</t>
        </is>
      </c>
      <c r="G22" t="n">
        <v>978.1799999999999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Hartmut Ahting</dc:creator>
  <dcterms:created xmlns:dcterms="http://purl.org/dc/terms/" xmlns:xsi="http://www.w3.org/2001/XMLSchema-instance" xsi:type="dcterms:W3CDTF">2009-01-10T15:13:38Z</dcterms:created>
  <dcterms:modified xmlns:dcterms="http://purl.org/dc/terms/" xmlns:xsi="http://www.w3.org/2001/XMLSchema-instance" xsi:type="dcterms:W3CDTF">2026-04-19T21:12:14Z</dcterms:modified>
  <cp:lastModifiedBy>Charis</cp:lastModifiedBy>
  <cp:lastPrinted>2026-03-10T11:56:27Z</cp:lastPrinted>
</cp:coreProperties>
</file>