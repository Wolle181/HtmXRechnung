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Charis\Projekte\excel2zugferd\Musterrechnungen\"/>
    </mc:Choice>
  </mc:AlternateContent>
  <xr:revisionPtr revIDLastSave="0" documentId="13_ncr:1_{93A76B64-0B1C-402D-9308-1E3B1D125D11}" xr6:coauthVersionLast="47" xr6:coauthVersionMax="47" xr10:uidLastSave="{00000000-0000-0000-0000-000000000000}"/>
  <bookViews>
    <workbookView xWindow="1365" yWindow="285" windowWidth="27780" windowHeight="14115" tabRatio="734" activeTab="3" xr2:uid="{00000000-000D-0000-FFFF-FFFF00000000}"/>
  </bookViews>
  <sheets>
    <sheet name="Löhne" sheetId="1" r:id="rId1"/>
    <sheet name="Fibu" sheetId="2" r:id="rId2"/>
    <sheet name="JA" sheetId="3" r:id="rId3"/>
    <sheet name="ESt" sheetId="5" r:id="rId4"/>
    <sheet name="BP" sheetId="4" r:id="rId5"/>
  </sheets>
  <calcPr calcId="191029"/>
</workbook>
</file>

<file path=xl/calcChain.xml><?xml version="1.0" encoding="utf-8"?>
<calcChain xmlns="http://schemas.openxmlformats.org/spreadsheetml/2006/main">
  <c r="G17" i="2" l="1"/>
  <c r="G16" i="2"/>
  <c r="G15" i="2"/>
  <c r="G14" i="2"/>
  <c r="F14" i="2"/>
  <c r="F15" i="2" s="1"/>
  <c r="F16" i="2" s="1"/>
  <c r="G20" i="1"/>
  <c r="G21" i="1" s="1"/>
  <c r="F19" i="1"/>
  <c r="G18" i="1"/>
  <c r="G17" i="1"/>
  <c r="G16" i="1"/>
  <c r="G15" i="1"/>
  <c r="G14" i="1"/>
  <c r="G22" i="1" l="1"/>
  <c r="G18" i="2"/>
  <c r="G19" i="2" s="1"/>
</calcChain>
</file>

<file path=xl/sharedStrings.xml><?xml version="1.0" encoding="utf-8"?>
<sst xmlns="http://schemas.openxmlformats.org/spreadsheetml/2006/main" count="88" uniqueCount="41">
  <si>
    <t>An:</t>
  </si>
  <si>
    <t>Franz Pfaff Innenausbau GmbH</t>
  </si>
  <si>
    <t>Donnersbergstraße 25</t>
  </si>
  <si>
    <t>60528 Frankfurt</t>
  </si>
  <si>
    <t>Rechnungs-Nr:</t>
  </si>
  <si>
    <t>10113-2025-004</t>
  </si>
  <si>
    <t>Kunden-Nr:</t>
  </si>
  <si>
    <t>Rechnungsdatum:</t>
  </si>
  <si>
    <t xml:space="preserve">Rechnung über Honorare </t>
  </si>
  <si>
    <t xml:space="preserve">Für die nachfolgend aufgeführten Leistungen erlaube ich mir nach der Steuerberatervergütungsverordnung wie folgt abzurechnen: </t>
  </si>
  <si>
    <t>Pos.</t>
  </si>
  <si>
    <t>Datum</t>
  </si>
  <si>
    <t>§§ / Leistung</t>
  </si>
  <si>
    <t>Arbeitnehmer</t>
  </si>
  <si>
    <t>Einheit</t>
  </si>
  <si>
    <t>Wert</t>
  </si>
  <si>
    <t>Gebühr</t>
  </si>
  <si>
    <t>§34 / Löhne/Gehälter 01/2025 - Einrichten v. Lohnkonten (Vasile)</t>
  </si>
  <si>
    <t>Stk.</t>
  </si>
  <si>
    <t>§34 /- Lohnabrechnungen inkl. Sozialvers.-meldungen</t>
  </si>
  <si>
    <t>§34 / Löhne/Gehälter 02/2025  - Einrichten v. Lohnkonten (Bajiric)</t>
  </si>
  <si>
    <t>§34 / -Lohnabrechnungen inkl. Sozialvers.-meldungen</t>
  </si>
  <si>
    <t>§34 / Löhne/Gehälter 03/2025  - Lohnabrechnungen inkl. Sozialvers.-meldungen</t>
  </si>
  <si>
    <t xml:space="preserve">§16 / Auslagenersatz für Post- und Telekommunikation </t>
  </si>
  <si>
    <t>Summe</t>
  </si>
  <si>
    <t>Umsatzsteuer 19%</t>
  </si>
  <si>
    <t>Bruttobetrag</t>
  </si>
  <si>
    <t>10113-2025-005</t>
  </si>
  <si>
    <t>Gebühren-satz</t>
  </si>
  <si>
    <t>§33 / Buchführung einschl. Kontieren der Belege für 01/2025 - Tabelle C</t>
  </si>
  <si>
    <t>§33 / Buchführung einschl. Kontieren der Belege für 02/2025 - Tabelle C</t>
  </si>
  <si>
    <t>§33 / Buchführung einschl. Kontieren der Belege für 03/2025 - Tabelle C</t>
  </si>
  <si>
    <t>Klaus Walter</t>
  </si>
  <si>
    <t>Neuer Weg 72</t>
  </si>
  <si>
    <t>60388 Frankfurt</t>
  </si>
  <si>
    <t>10117-2024-005</t>
  </si>
  <si>
    <t>§24 / Einkommensteuererklärung ohne Ermittlung der einzelnen Einkünfte für 2022 - Tabelle A</t>
  </si>
  <si>
    <t>§27 / Ermittlung des Überschusses der Einnahmen über die Werbungskosten bei Vermietung Neuer Weg 72 für 2022 - Tabelle A</t>
  </si>
  <si>
    <t>§27 / Ermittlung des Überschusses der Einnahmen über die Werbungskosten bei Kapitalerträgen - Hr. Walter für 2022 - Tabelle A</t>
  </si>
  <si>
    <t>§27 / Ermittlung des Überschusses der Einnahmen über die Werbungskosten bei Kapitalerträgen - Fr. Nikulka für 2022 - Tabelle A</t>
  </si>
  <si>
    <t>§16 / Auslagenersatz für Post- und Telekommunikation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</si>
</sst>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#,##0.00\ &quot;€/AN&quot;"/>
    <numFmt numFmtId="165" formatCode="#,##0.00\ [$€-1]"/>
    <numFmt numFmtId="166" formatCode="0.00\ &quot;Std&quot;"/>
    <numFmt numFmtId="167" formatCode="#,##0.00\ &quot;€/Std.&quot;"/>
    <numFmt numFmtId="168" formatCode="d/\ mmmm\ yyyy"/>
    <numFmt numFmtId="169" formatCode="#,##0.00\ &quot;€&quot;"/>
    <numFmt numFmtId="170" formatCode="dd/mm/yy;@"/>
  </numFmts>
  <fonts count="14" x14ac:knownFonts="1">
    <font>
      <sz val="10"/>
      <name val="Arial"/>
    </font>
    <font>
      <sz val="6"/>
      <color indexed="8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10"/>
      <name val="Times New Roman"/>
      <family val="1"/>
    </font>
    <font>
      <sz val="11.5"/>
      <name val="Times New Roman"/>
      <family val="1"/>
    </font>
    <font>
      <sz val="11.5"/>
      <name val="Arial"/>
      <family val="2"/>
    </font>
    <font>
      <b/>
      <sz val="11.5"/>
      <name val="Times New Roman"/>
      <family val="1"/>
    </font>
    <font>
      <sz val="10.5"/>
      <name val="Times New Roman"/>
      <family val="1"/>
    </font>
    <font>
      <sz val="10.5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2" fillId="0" borderId="0"/>
    <xf numFmtId="44" fontId="12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0" xfId="0" applyNumberFormat="1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/>
    <xf numFmtId="3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4" fontId="7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14" fontId="10" fillId="0" borderId="0" xfId="0" applyNumberFormat="1" applyFont="1" applyAlignment="1">
      <alignment horizontal="center"/>
    </xf>
    <xf numFmtId="17" fontId="10" fillId="0" borderId="0" xfId="0" applyNumberFormat="1" applyFont="1" applyAlignment="1">
      <alignment horizontal="center"/>
    </xf>
    <xf numFmtId="0" fontId="10" fillId="0" borderId="0" xfId="0" quotePrefix="1" applyFont="1"/>
    <xf numFmtId="164" fontId="10" fillId="0" borderId="0" xfId="0" applyNumberFormat="1" applyFont="1" applyAlignment="1">
      <alignment horizontal="center"/>
    </xf>
    <xf numFmtId="165" fontId="10" fillId="0" borderId="0" xfId="0" applyNumberFormat="1" applyFont="1"/>
    <xf numFmtId="166" fontId="10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quotePrefix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5" fontId="10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5" fontId="10" fillId="0" borderId="1" xfId="0" applyNumberFormat="1" applyFont="1" applyBorder="1" applyAlignment="1">
      <alignment horizontal="right" vertical="top"/>
    </xf>
    <xf numFmtId="4" fontId="10" fillId="0" borderId="0" xfId="0" applyNumberFormat="1" applyFont="1" applyAlignment="1">
      <alignment horizontal="left" vertical="top"/>
    </xf>
    <xf numFmtId="44" fontId="13" fillId="0" borderId="0" xfId="2" applyFont="1" applyAlignment="1">
      <alignment horizontal="right"/>
    </xf>
    <xf numFmtId="1" fontId="10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vertical="top"/>
    </xf>
    <xf numFmtId="0" fontId="10" fillId="0" borderId="0" xfId="0" applyFont="1" applyAlignment="1">
      <alignment horizontal="center" vertical="top"/>
    </xf>
    <xf numFmtId="0" fontId="3" fillId="2" borderId="0" xfId="0" applyFont="1" applyFill="1"/>
    <xf numFmtId="0" fontId="7" fillId="2" borderId="0" xfId="0" applyFont="1" applyFill="1"/>
    <xf numFmtId="0" fontId="9" fillId="2" borderId="0" xfId="0" applyFont="1" applyFill="1" applyAlignment="1">
      <alignment horizontal="center"/>
    </xf>
    <xf numFmtId="3" fontId="9" fillId="2" borderId="0" xfId="0" applyNumberFormat="1" applyFont="1" applyFill="1" applyAlignment="1">
      <alignment horizontal="center" wrapText="1"/>
    </xf>
    <xf numFmtId="4" fontId="9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right"/>
    </xf>
    <xf numFmtId="3" fontId="9" fillId="2" borderId="0" xfId="0" applyNumberFormat="1" applyFont="1" applyFill="1" applyAlignment="1">
      <alignment horizontal="right" wrapText="1"/>
    </xf>
    <xf numFmtId="4" fontId="9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left"/>
    </xf>
    <xf numFmtId="1" fontId="10" fillId="0" borderId="0" xfId="0" applyNumberFormat="1" applyFont="1" applyAlignment="1">
      <alignment horizontal="center" vertical="top"/>
    </xf>
    <xf numFmtId="169" fontId="10" fillId="0" borderId="0" xfId="0" applyNumberFormat="1" applyFont="1" applyAlignment="1">
      <alignment horizontal="right" vertical="top"/>
    </xf>
    <xf numFmtId="0" fontId="9" fillId="2" borderId="0" xfId="0" applyFont="1" applyFill="1"/>
    <xf numFmtId="1" fontId="10" fillId="0" borderId="0" xfId="0" applyNumberFormat="1" applyFont="1" applyAlignment="1">
      <alignment vertical="top"/>
    </xf>
    <xf numFmtId="1" fontId="10" fillId="0" borderId="0" xfId="0" quotePrefix="1" applyNumberFormat="1" applyFont="1" applyAlignment="1">
      <alignment vertical="top" wrapText="1"/>
    </xf>
    <xf numFmtId="0" fontId="8" fillId="2" borderId="0" xfId="0" applyFont="1" applyFill="1"/>
    <xf numFmtId="3" fontId="7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7" fillId="2" borderId="0" xfId="0" applyNumberFormat="1" applyFont="1" applyFill="1"/>
    <xf numFmtId="0" fontId="9" fillId="0" borderId="0" xfId="0" applyFont="1" applyAlignment="1">
      <alignment horizontal="left"/>
    </xf>
    <xf numFmtId="3" fontId="9" fillId="0" borderId="0" xfId="0" applyNumberFormat="1" applyFont="1" applyAlignment="1">
      <alignment horizontal="center" wrapText="1"/>
    </xf>
    <xf numFmtId="4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right" wrapText="1"/>
    </xf>
    <xf numFmtId="4" fontId="9" fillId="0" borderId="0" xfId="0" applyNumberFormat="1" applyFont="1" applyAlignment="1">
      <alignment horizontal="right"/>
    </xf>
    <xf numFmtId="170" fontId="10" fillId="0" borderId="0" xfId="0" quotePrefix="1" applyNumberFormat="1" applyFont="1" applyAlignment="1">
      <alignment horizontal="center" vertical="top"/>
    </xf>
    <xf numFmtId="170" fontId="10" fillId="0" borderId="0" xfId="0" applyNumberFormat="1" applyFont="1" applyAlignment="1">
      <alignment horizontal="center" vertical="top"/>
    </xf>
    <xf numFmtId="170" fontId="4" fillId="0" borderId="0" xfId="0" applyNumberFormat="1" applyFont="1" applyAlignment="1">
      <alignment horizontal="center" vertical="top"/>
    </xf>
    <xf numFmtId="170" fontId="11" fillId="0" borderId="0" xfId="0" applyNumberFormat="1" applyFont="1" applyAlignment="1">
      <alignment horizontal="left" vertical="top"/>
    </xf>
    <xf numFmtId="170" fontId="10" fillId="0" borderId="0" xfId="0" applyNumberFormat="1" applyFont="1" applyAlignment="1">
      <alignment horizontal="left" vertical="top"/>
    </xf>
    <xf numFmtId="169" fontId="0" fillId="0" borderId="0" xfId="0" applyNumberFormat="1"/>
    <xf numFmtId="14" fontId="0" fillId="0" borderId="0" xfId="0" applyNumberFormat="1"/>
    <xf numFmtId="170" fontId="0" fillId="0" borderId="0" xfId="0" applyNumberFormat="1"/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0" fontId="10" fillId="0" borderId="0" xfId="0" applyFont="1"/>
    <xf numFmtId="4" fontId="4" fillId="0" borderId="0" xfId="0" applyNumberFormat="1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4" fontId="4" fillId="0" borderId="0" xfId="0" applyNumberFormat="1" applyFont="1" applyAlignment="1">
      <alignment horizontal="left"/>
    </xf>
  </cellXfs>
  <cellStyles count="3">
    <cellStyle name="Standard" xfId="0" builtinId="0"/>
    <cellStyle name="Standard 2" xfId="1" xr:uid="{00000000-0005-0000-0000-000001000000}"/>
    <cellStyle name="Währung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workbookViewId="0">
      <selection activeCell="D13" sqref="D13"/>
    </sheetView>
  </sheetViews>
  <sheetFormatPr baseColWidth="10" defaultColWidth="11.5703125" defaultRowHeight="15.75" x14ac:dyDescent="0.25"/>
  <cols>
    <col min="1" max="1" width="28.28515625" style="6" customWidth="1"/>
    <col min="2" max="2" width="14.5703125" style="6" customWidth="1"/>
    <col min="3" max="3" width="47" style="6" customWidth="1"/>
    <col min="4" max="4" width="28.7109375" style="4" customWidth="1"/>
    <col min="5" max="5" width="15" style="5" customWidth="1"/>
    <col min="6" max="6" width="19.28515625" style="5" customWidth="1"/>
    <col min="7" max="7" width="14.28515625" style="6" customWidth="1"/>
    <col min="8" max="8" width="26.140625" style="6" customWidth="1"/>
    <col min="9" max="9" width="11.5703125" style="6" customWidth="1"/>
    <col min="10" max="16384" width="11.5703125" style="6"/>
  </cols>
  <sheetData>
    <row r="1" spans="1:17" x14ac:dyDescent="0.25">
      <c r="A1" s="45" t="s">
        <v>0</v>
      </c>
    </row>
    <row r="2" spans="1:17" s="13" customFormat="1" ht="15" customHeight="1" x14ac:dyDescent="0.25">
      <c r="A2" s="13" t="s">
        <v>1</v>
      </c>
      <c r="C2" s="14"/>
    </row>
    <row r="3" spans="1:17" s="13" customFormat="1" ht="15" customHeight="1" x14ac:dyDescent="0.25">
      <c r="A3" s="13" t="s">
        <v>2</v>
      </c>
      <c r="C3" s="14"/>
    </row>
    <row r="4" spans="1:17" s="13" customFormat="1" ht="15" customHeight="1" x14ac:dyDescent="0.25">
      <c r="A4" s="13" t="s">
        <v>3</v>
      </c>
      <c r="C4" s="14"/>
      <c r="D4" s="12"/>
      <c r="E4" s="79"/>
      <c r="F4" s="80"/>
      <c r="G4" s="80"/>
    </row>
    <row r="5" spans="1:17" s="13" customFormat="1" ht="15" customHeight="1" x14ac:dyDescent="0.25">
      <c r="D5" s="12"/>
      <c r="E5" s="79"/>
      <c r="F5" s="80"/>
      <c r="G5" s="80"/>
      <c r="J5" s="20"/>
      <c r="K5" s="23"/>
      <c r="L5" s="21"/>
      <c r="M5" s="22"/>
      <c r="N5" s="27"/>
      <c r="O5" s="20"/>
      <c r="P5" s="26"/>
      <c r="Q5" s="25"/>
    </row>
    <row r="6" spans="1:17" s="13" customFormat="1" ht="15" customHeight="1" x14ac:dyDescent="0.25">
      <c r="A6" s="46" t="s">
        <v>4</v>
      </c>
      <c r="B6" s="28" t="s">
        <v>5</v>
      </c>
      <c r="D6" s="12"/>
      <c r="E6" s="9"/>
      <c r="F6" s="9"/>
      <c r="G6" s="9"/>
    </row>
    <row r="7" spans="1:17" s="13" customFormat="1" ht="15" customHeight="1" x14ac:dyDescent="0.25">
      <c r="A7" s="46" t="s">
        <v>6</v>
      </c>
      <c r="B7" s="28">
        <v>10113</v>
      </c>
      <c r="D7" s="16"/>
      <c r="E7" s="17"/>
      <c r="F7" s="17"/>
    </row>
    <row r="8" spans="1:17" ht="17.25" customHeight="1" x14ac:dyDescent="0.25">
      <c r="A8" s="46" t="s">
        <v>7</v>
      </c>
      <c r="B8" s="30">
        <v>45853</v>
      </c>
    </row>
    <row r="9" spans="1:17" ht="17.25" customHeight="1" x14ac:dyDescent="0.25">
      <c r="A9" s="29"/>
      <c r="B9" s="29"/>
      <c r="C9" s="30"/>
    </row>
    <row r="10" spans="1:17" s="13" customFormat="1" ht="21" customHeight="1" x14ac:dyDescent="0.25">
      <c r="C10" s="50" t="s">
        <v>8</v>
      </c>
      <c r="D10" s="15"/>
      <c r="E10" s="16"/>
      <c r="F10" s="16"/>
    </row>
    <row r="11" spans="1:17" s="13" customFormat="1" ht="21" customHeight="1" x14ac:dyDescent="0.25">
      <c r="A11" s="46" t="s">
        <v>9</v>
      </c>
      <c r="B11" s="59"/>
      <c r="C11" s="46"/>
      <c r="D11" s="60"/>
      <c r="E11" s="61"/>
      <c r="F11" s="62"/>
      <c r="G11" s="46"/>
    </row>
    <row r="12" spans="1:17" s="13" customFormat="1" ht="21" customHeight="1" x14ac:dyDescent="0.25">
      <c r="D12" s="15"/>
      <c r="E12" s="16"/>
      <c r="F12" s="16"/>
    </row>
    <row r="13" spans="1:17" s="13" customFormat="1" ht="33.75" customHeight="1" x14ac:dyDescent="0.25">
      <c r="A13" s="56" t="s">
        <v>10</v>
      </c>
      <c r="B13" s="47" t="s">
        <v>11</v>
      </c>
      <c r="C13" s="53" t="s">
        <v>12</v>
      </c>
      <c r="D13" s="48" t="s">
        <v>13</v>
      </c>
      <c r="E13" s="49" t="s">
        <v>14</v>
      </c>
      <c r="F13" s="51" t="s">
        <v>15</v>
      </c>
      <c r="G13" s="52" t="s">
        <v>16</v>
      </c>
      <c r="H13" s="19"/>
      <c r="I13" s="19"/>
    </row>
    <row r="14" spans="1:17" s="20" customFormat="1" ht="30.75" customHeight="1" x14ac:dyDescent="0.2">
      <c r="A14" s="57">
        <v>1</v>
      </c>
      <c r="B14" s="68">
        <v>45658</v>
      </c>
      <c r="C14" s="33" t="s">
        <v>17</v>
      </c>
      <c r="D14" s="54">
        <v>1</v>
      </c>
      <c r="E14" s="44" t="s">
        <v>18</v>
      </c>
      <c r="F14" s="55">
        <v>9</v>
      </c>
      <c r="G14" s="36">
        <f>+D14*F14</f>
        <v>9</v>
      </c>
      <c r="H14" s="32"/>
    </row>
    <row r="15" spans="1:17" s="20" customFormat="1" ht="38.25" customHeight="1" x14ac:dyDescent="0.2">
      <c r="A15" s="57">
        <v>2</v>
      </c>
      <c r="B15" s="69">
        <v>45681</v>
      </c>
      <c r="C15" s="33" t="s">
        <v>19</v>
      </c>
      <c r="D15" s="54">
        <v>15</v>
      </c>
      <c r="E15" s="44" t="s">
        <v>18</v>
      </c>
      <c r="F15" s="55">
        <v>15</v>
      </c>
      <c r="G15" s="36">
        <f>+D15*F15</f>
        <v>225</v>
      </c>
      <c r="H15" s="32"/>
    </row>
    <row r="16" spans="1:17" s="20" customFormat="1" ht="27" customHeight="1" x14ac:dyDescent="0.2">
      <c r="A16" s="57">
        <v>3</v>
      </c>
      <c r="B16" s="68">
        <v>45689</v>
      </c>
      <c r="C16" s="33" t="s">
        <v>20</v>
      </c>
      <c r="D16" s="54">
        <v>2</v>
      </c>
      <c r="E16" s="44" t="s">
        <v>18</v>
      </c>
      <c r="F16" s="55">
        <v>9</v>
      </c>
      <c r="G16" s="36">
        <f>+D16*F16</f>
        <v>18</v>
      </c>
      <c r="H16" s="32"/>
    </row>
    <row r="17" spans="1:11" s="20" customFormat="1" ht="13.5" customHeight="1" x14ac:dyDescent="0.2">
      <c r="A17" s="58">
        <v>4</v>
      </c>
      <c r="B17" s="69">
        <v>45708</v>
      </c>
      <c r="C17" s="33" t="s">
        <v>21</v>
      </c>
      <c r="D17" s="54">
        <v>17</v>
      </c>
      <c r="E17" s="44" t="s">
        <v>18</v>
      </c>
      <c r="F17" s="55">
        <v>15</v>
      </c>
      <c r="G17" s="36">
        <f>+D17*F17</f>
        <v>255</v>
      </c>
      <c r="H17" s="32"/>
    </row>
    <row r="18" spans="1:11" s="20" customFormat="1" ht="27" customHeight="1" x14ac:dyDescent="0.2">
      <c r="A18" s="57">
        <v>5</v>
      </c>
      <c r="B18" s="69">
        <v>45740</v>
      </c>
      <c r="C18" s="33" t="s">
        <v>22</v>
      </c>
      <c r="D18" s="54">
        <v>17</v>
      </c>
      <c r="E18" s="44" t="s">
        <v>18</v>
      </c>
      <c r="F18" s="55">
        <v>15</v>
      </c>
      <c r="G18" s="36">
        <f>+D18*F18</f>
        <v>255</v>
      </c>
      <c r="H18" s="32"/>
    </row>
    <row r="19" spans="1:11" s="20" customFormat="1" ht="24.75" customHeight="1" x14ac:dyDescent="0.2">
      <c r="A19" s="57">
        <v>6</v>
      </c>
      <c r="B19" s="69">
        <v>45658</v>
      </c>
      <c r="C19" s="33" t="s">
        <v>23</v>
      </c>
      <c r="D19" s="54">
        <v>0</v>
      </c>
      <c r="E19" s="44" t="s">
        <v>18</v>
      </c>
      <c r="F19" s="36">
        <f>SUM(G14:G18)*0.2</f>
        <v>152.4</v>
      </c>
      <c r="G19" s="36">
        <v>60</v>
      </c>
      <c r="H19" s="32"/>
    </row>
    <row r="20" spans="1:11" s="20" customFormat="1" ht="15" customHeight="1" x14ac:dyDescent="0.25">
      <c r="A20" s="34"/>
      <c r="B20" s="34"/>
      <c r="C20" s="34"/>
      <c r="E20" s="34"/>
      <c r="F20" s="40" t="s">
        <v>24</v>
      </c>
      <c r="G20" s="36">
        <f>SUM(G14:G19)</f>
        <v>822</v>
      </c>
      <c r="H20" s="32"/>
      <c r="I20" s="25"/>
      <c r="K20" s="25"/>
    </row>
    <row r="21" spans="1:11" s="20" customFormat="1" ht="15" customHeight="1" x14ac:dyDescent="0.25">
      <c r="A21" s="32"/>
      <c r="B21" s="32"/>
      <c r="C21" s="32"/>
      <c r="E21" s="34"/>
      <c r="F21" s="40" t="s">
        <v>25</v>
      </c>
      <c r="G21" s="36">
        <f>+G20*0.19</f>
        <v>156.18</v>
      </c>
      <c r="H21" s="32"/>
    </row>
    <row r="22" spans="1:11" s="20" customFormat="1" thickBot="1" x14ac:dyDescent="0.3">
      <c r="A22" s="32"/>
      <c r="B22" s="32"/>
      <c r="C22" s="32"/>
      <c r="E22" s="39"/>
      <c r="F22" s="40" t="s">
        <v>26</v>
      </c>
      <c r="G22" s="38">
        <f>SUM(G20:G21)</f>
        <v>978.18000000000006</v>
      </c>
      <c r="H22" s="32"/>
      <c r="I22" s="25"/>
    </row>
    <row r="23" spans="1:11" s="20" customFormat="1" ht="5.25" customHeight="1" thickTop="1" x14ac:dyDescent="0.2">
      <c r="A23" s="32"/>
      <c r="B23" s="32"/>
      <c r="C23" s="32"/>
      <c r="D23" s="31"/>
      <c r="E23" s="39"/>
      <c r="F23" s="39"/>
      <c r="G23" s="36"/>
      <c r="H23" s="32"/>
      <c r="I23" s="25"/>
    </row>
    <row r="24" spans="1:11" s="20" customFormat="1" ht="15" customHeight="1" x14ac:dyDescent="0.2">
      <c r="A24" s="35"/>
      <c r="B24" s="35"/>
      <c r="C24" s="34"/>
      <c r="D24" s="39"/>
      <c r="E24" s="39"/>
      <c r="F24" s="39"/>
      <c r="G24" s="37"/>
      <c r="H24" s="32"/>
    </row>
    <row r="25" spans="1:11" s="7" customFormat="1" ht="15" customHeight="1" x14ac:dyDescent="0.25">
      <c r="D25" s="9"/>
      <c r="E25" s="8"/>
      <c r="F25" s="8"/>
    </row>
    <row r="26" spans="1:11" s="7" customFormat="1" ht="15" customHeight="1" x14ac:dyDescent="0.25">
      <c r="D26" s="9"/>
      <c r="E26" s="8"/>
      <c r="F26" s="8"/>
    </row>
    <row r="27" spans="1:11" s="7" customFormat="1" ht="19.5" customHeight="1" x14ac:dyDescent="0.25">
      <c r="D27" s="9"/>
      <c r="E27" s="8"/>
      <c r="F27" s="8"/>
    </row>
    <row r="29" spans="1:11" s="20" customFormat="1" ht="13.5" customHeight="1" x14ac:dyDescent="0.2"/>
    <row r="30" spans="1:11" s="20" customFormat="1" ht="13.5" customHeight="1" x14ac:dyDescent="0.2">
      <c r="D30" s="24"/>
      <c r="G30" s="25"/>
    </row>
    <row r="31" spans="1:11" s="20" customFormat="1" ht="8.25" customHeight="1" x14ac:dyDescent="0.2">
      <c r="D31" s="24"/>
      <c r="G31" s="25"/>
    </row>
    <row r="32" spans="1:11" s="20" customFormat="1" ht="13.5" customHeight="1" x14ac:dyDescent="0.2">
      <c r="A32" s="77"/>
      <c r="B32" s="78"/>
      <c r="C32" s="78"/>
      <c r="D32" s="78"/>
      <c r="E32" s="78"/>
      <c r="F32" s="78"/>
      <c r="G32" s="78"/>
    </row>
    <row r="34" s="6" customFormat="1" x14ac:dyDescent="0.25"/>
  </sheetData>
  <mergeCells count="3">
    <mergeCell ref="A32:G32"/>
    <mergeCell ref="E5:G5"/>
    <mergeCell ref="E4:G4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C18" sqref="C18"/>
    </sheetView>
  </sheetViews>
  <sheetFormatPr baseColWidth="10" defaultColWidth="11.5703125" defaultRowHeight="15.75" x14ac:dyDescent="0.25"/>
  <cols>
    <col min="1" max="1" width="29.28515625" style="6" customWidth="1"/>
    <col min="2" max="2" width="22" style="6" customWidth="1"/>
    <col min="3" max="3" width="29.85546875" style="6" customWidth="1"/>
    <col min="4" max="4" width="13" style="3" customWidth="1"/>
    <col min="5" max="5" width="16.42578125" style="4" customWidth="1"/>
    <col min="6" max="6" width="16.42578125" style="5" customWidth="1"/>
    <col min="7" max="7" width="12.28515625" style="6" customWidth="1"/>
    <col min="8" max="8" width="23.28515625" style="6" customWidth="1"/>
    <col min="9" max="9" width="11.5703125" style="6" customWidth="1"/>
    <col min="10" max="16384" width="11.5703125" style="6"/>
  </cols>
  <sheetData>
    <row r="1" spans="1:7" x14ac:dyDescent="0.25">
      <c r="A1" s="45" t="s">
        <v>0</v>
      </c>
    </row>
    <row r="2" spans="1:7" x14ac:dyDescent="0.25">
      <c r="A2" s="7" t="s">
        <v>1</v>
      </c>
      <c r="B2" s="10"/>
    </row>
    <row r="3" spans="1:7" x14ac:dyDescent="0.25">
      <c r="A3" s="7" t="s">
        <v>2</v>
      </c>
      <c r="B3" s="10"/>
    </row>
    <row r="4" spans="1:7" x14ac:dyDescent="0.25">
      <c r="A4" s="7" t="s">
        <v>3</v>
      </c>
      <c r="B4" s="10"/>
      <c r="C4" s="2"/>
    </row>
    <row r="5" spans="1:7" ht="17.25" customHeight="1" x14ac:dyDescent="0.25">
      <c r="A5" s="1"/>
      <c r="B5" s="2"/>
      <c r="C5" s="2"/>
    </row>
    <row r="6" spans="1:7" s="7" customFormat="1" ht="15" customHeight="1" x14ac:dyDescent="0.25">
      <c r="A6" s="46" t="s">
        <v>4</v>
      </c>
      <c r="B6" s="11" t="s">
        <v>27</v>
      </c>
      <c r="C6" s="11"/>
      <c r="D6" s="8"/>
      <c r="E6" s="83"/>
      <c r="F6" s="82"/>
      <c r="G6" s="30"/>
    </row>
    <row r="7" spans="1:7" s="7" customFormat="1" ht="15" customHeight="1" x14ac:dyDescent="0.25">
      <c r="A7" s="46" t="s">
        <v>6</v>
      </c>
      <c r="B7" s="28">
        <v>10113</v>
      </c>
      <c r="D7" s="8"/>
      <c r="E7" s="81"/>
      <c r="F7" s="82"/>
      <c r="G7" s="11"/>
    </row>
    <row r="8" spans="1:7" s="7" customFormat="1" ht="15" customHeight="1" x14ac:dyDescent="0.25">
      <c r="A8" s="46" t="s">
        <v>7</v>
      </c>
      <c r="B8" s="30">
        <v>45853</v>
      </c>
      <c r="D8" s="8"/>
      <c r="E8" s="81"/>
      <c r="F8" s="82"/>
      <c r="G8" s="11"/>
    </row>
    <row r="9" spans="1:7" s="7" customFormat="1" ht="15" customHeight="1" x14ac:dyDescent="0.25">
      <c r="D9" s="8"/>
      <c r="E9" s="12"/>
      <c r="F9" s="79"/>
      <c r="G9" s="82"/>
    </row>
    <row r="10" spans="1:7" s="13" customFormat="1" ht="21" customHeight="1" x14ac:dyDescent="0.25">
      <c r="C10" s="50" t="s">
        <v>8</v>
      </c>
      <c r="D10" s="15"/>
      <c r="E10" s="16"/>
      <c r="F10" s="16"/>
    </row>
    <row r="11" spans="1:7" s="13" customFormat="1" ht="21" customHeight="1" x14ac:dyDescent="0.25">
      <c r="A11" s="46" t="s">
        <v>9</v>
      </c>
      <c r="B11" s="59"/>
      <c r="C11" s="46"/>
      <c r="D11" s="60"/>
      <c r="E11" s="61"/>
      <c r="F11" s="62"/>
      <c r="G11" s="46"/>
    </row>
    <row r="12" spans="1:7" s="7" customFormat="1" ht="15" customHeight="1" x14ac:dyDescent="0.25">
      <c r="A12" s="19"/>
      <c r="B12" s="18"/>
      <c r="C12" s="63"/>
      <c r="D12" s="64"/>
      <c r="E12" s="65"/>
      <c r="F12" s="66"/>
      <c r="G12" s="67"/>
    </row>
    <row r="13" spans="1:7" ht="38.25" customHeight="1" x14ac:dyDescent="0.25">
      <c r="A13" s="56" t="s">
        <v>10</v>
      </c>
      <c r="B13" s="47" t="s">
        <v>11</v>
      </c>
      <c r="C13" s="53" t="s">
        <v>12</v>
      </c>
      <c r="D13" s="48" t="s">
        <v>28</v>
      </c>
      <c r="E13" s="49" t="s">
        <v>14</v>
      </c>
      <c r="F13" s="51" t="s">
        <v>15</v>
      </c>
      <c r="G13" s="52" t="s">
        <v>16</v>
      </c>
    </row>
    <row r="14" spans="1:7" ht="51.75" customHeight="1" x14ac:dyDescent="0.25">
      <c r="A14" s="41">
        <v>1</v>
      </c>
      <c r="B14" s="70">
        <v>45726</v>
      </c>
      <c r="C14" s="33" t="s">
        <v>29</v>
      </c>
      <c r="D14" s="43">
        <v>4</v>
      </c>
      <c r="E14" s="44" t="s">
        <v>18</v>
      </c>
      <c r="F14" s="42">
        <f>338453*4</f>
        <v>1353812</v>
      </c>
      <c r="G14" s="42">
        <f>D14/10*1061</f>
        <v>424.40000000000003</v>
      </c>
    </row>
    <row r="15" spans="1:7" ht="46.5" customHeight="1" x14ac:dyDescent="0.25">
      <c r="A15" s="41">
        <v>2</v>
      </c>
      <c r="B15" s="70">
        <v>45755</v>
      </c>
      <c r="C15" s="33" t="s">
        <v>30</v>
      </c>
      <c r="D15" s="43">
        <v>4.5</v>
      </c>
      <c r="E15" s="44" t="s">
        <v>18</v>
      </c>
      <c r="F15" s="42">
        <f>+F14</f>
        <v>1353812</v>
      </c>
      <c r="G15" s="42">
        <f>D15/10*1061</f>
        <v>477.45</v>
      </c>
    </row>
    <row r="16" spans="1:7" ht="53.25" customHeight="1" x14ac:dyDescent="0.25">
      <c r="A16" s="41">
        <v>3</v>
      </c>
      <c r="B16" s="70">
        <v>45782</v>
      </c>
      <c r="C16" s="33" t="s">
        <v>31</v>
      </c>
      <c r="D16" s="43">
        <v>3</v>
      </c>
      <c r="E16" s="44" t="s">
        <v>18</v>
      </c>
      <c r="F16" s="42">
        <f>+F15</f>
        <v>1353812</v>
      </c>
      <c r="G16" s="42">
        <f>D16/10*1061</f>
        <v>318.3</v>
      </c>
    </row>
    <row r="17" spans="1:7" x14ac:dyDescent="0.25">
      <c r="A17" s="34"/>
      <c r="B17" s="71"/>
      <c r="C17" s="34"/>
      <c r="D17" s="20"/>
      <c r="E17" s="34"/>
      <c r="F17" s="40" t="s">
        <v>24</v>
      </c>
      <c r="G17" s="36">
        <f>SUM(G14:G16)</f>
        <v>1220.1500000000001</v>
      </c>
    </row>
    <row r="18" spans="1:7" x14ac:dyDescent="0.25">
      <c r="A18" s="32"/>
      <c r="B18" s="72"/>
      <c r="C18" s="32"/>
      <c r="D18" s="20"/>
      <c r="E18" s="34"/>
      <c r="F18" s="40" t="s">
        <v>25</v>
      </c>
      <c r="G18" s="36">
        <f>+G17*0.19</f>
        <v>231.82850000000002</v>
      </c>
    </row>
    <row r="19" spans="1:7" ht="16.5" customHeight="1" thickBot="1" x14ac:dyDescent="0.3">
      <c r="A19" s="32"/>
      <c r="B19" s="32"/>
      <c r="C19" s="32"/>
      <c r="D19" s="20"/>
      <c r="E19" s="39"/>
      <c r="F19" s="40" t="s">
        <v>26</v>
      </c>
      <c r="G19" s="38">
        <f>SUM(G17:G18)</f>
        <v>1451.9785000000002</v>
      </c>
    </row>
    <row r="20" spans="1:7" ht="16.5" customHeight="1" thickTop="1" x14ac:dyDescent="0.25">
      <c r="A20" s="32"/>
      <c r="B20" s="32"/>
      <c r="C20" s="32"/>
      <c r="D20" s="31"/>
      <c r="E20" s="39"/>
      <c r="F20" s="39"/>
      <c r="G20" s="36"/>
    </row>
  </sheetData>
  <mergeCells count="4">
    <mergeCell ref="E7:F7"/>
    <mergeCell ref="E8:F8"/>
    <mergeCell ref="F9:G9"/>
    <mergeCell ref="E6:F6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tabSelected="1" workbookViewId="0">
      <selection activeCell="B22" sqref="B22"/>
    </sheetView>
  </sheetViews>
  <sheetFormatPr baseColWidth="10" defaultRowHeight="12.75" x14ac:dyDescent="0.2"/>
  <cols>
    <col min="1" max="1" width="24.5703125" customWidth="1"/>
    <col min="2" max="2" width="20" customWidth="1"/>
    <col min="3" max="3" width="64.5703125" customWidth="1"/>
    <col min="4" max="4" width="21.42578125" customWidth="1"/>
    <col min="5" max="5" width="15.42578125" customWidth="1"/>
    <col min="6" max="6" width="19" customWidth="1"/>
    <col min="7" max="7" width="16.140625" customWidth="1"/>
  </cols>
  <sheetData>
    <row r="1" spans="1:7" x14ac:dyDescent="0.2">
      <c r="A1" t="s">
        <v>0</v>
      </c>
    </row>
    <row r="2" spans="1:7" x14ac:dyDescent="0.2">
      <c r="A2" t="s">
        <v>32</v>
      </c>
    </row>
    <row r="3" spans="1:7" x14ac:dyDescent="0.2">
      <c r="A3" t="s">
        <v>33</v>
      </c>
    </row>
    <row r="4" spans="1:7" x14ac:dyDescent="0.2">
      <c r="A4" t="s">
        <v>34</v>
      </c>
    </row>
    <row r="6" spans="1:7" x14ac:dyDescent="0.2">
      <c r="A6" t="s">
        <v>4</v>
      </c>
      <c r="B6" t="s">
        <v>35</v>
      </c>
    </row>
    <row r="7" spans="1:7" x14ac:dyDescent="0.2">
      <c r="A7" t="s">
        <v>6</v>
      </c>
      <c r="B7">
        <v>10117</v>
      </c>
    </row>
    <row r="8" spans="1:7" x14ac:dyDescent="0.2">
      <c r="A8" t="s">
        <v>7</v>
      </c>
      <c r="B8" s="74">
        <v>45471</v>
      </c>
    </row>
    <row r="10" spans="1:7" x14ac:dyDescent="0.2">
      <c r="C10" t="s">
        <v>8</v>
      </c>
    </row>
    <row r="11" spans="1:7" x14ac:dyDescent="0.2">
      <c r="A11" t="s">
        <v>9</v>
      </c>
    </row>
    <row r="13" spans="1:7" x14ac:dyDescent="0.2">
      <c r="A13" t="s">
        <v>10</v>
      </c>
      <c r="B13" t="s">
        <v>11</v>
      </c>
      <c r="C13" t="s">
        <v>12</v>
      </c>
      <c r="D13" t="s">
        <v>28</v>
      </c>
      <c r="E13" t="s">
        <v>14</v>
      </c>
      <c r="F13" t="s">
        <v>15</v>
      </c>
      <c r="G13" t="s">
        <v>16</v>
      </c>
    </row>
    <row r="14" spans="1:7" ht="25.5" x14ac:dyDescent="0.2">
      <c r="A14">
        <v>1</v>
      </c>
      <c r="B14" s="75">
        <v>45471</v>
      </c>
      <c r="C14" s="76" t="s">
        <v>36</v>
      </c>
      <c r="D14">
        <v>4</v>
      </c>
      <c r="E14" t="s">
        <v>18</v>
      </c>
      <c r="F14" s="73">
        <v>172921</v>
      </c>
      <c r="G14" s="73">
        <v>818</v>
      </c>
    </row>
    <row r="15" spans="1:7" ht="25.5" x14ac:dyDescent="0.2">
      <c r="A15">
        <v>2</v>
      </c>
      <c r="B15" s="75">
        <v>45471</v>
      </c>
      <c r="C15" s="76" t="s">
        <v>37</v>
      </c>
      <c r="D15">
        <v>8</v>
      </c>
      <c r="E15" t="s">
        <v>18</v>
      </c>
      <c r="F15" s="73">
        <v>8000</v>
      </c>
      <c r="G15" s="73">
        <v>194</v>
      </c>
    </row>
    <row r="16" spans="1:7" ht="25.5" x14ac:dyDescent="0.2">
      <c r="A16">
        <v>3</v>
      </c>
      <c r="B16" s="75">
        <v>45471</v>
      </c>
      <c r="C16" s="76" t="s">
        <v>38</v>
      </c>
      <c r="D16">
        <v>3.5</v>
      </c>
      <c r="E16" t="s">
        <v>18</v>
      </c>
      <c r="F16" s="73">
        <v>42873</v>
      </c>
      <c r="G16" s="73">
        <v>200.55</v>
      </c>
    </row>
    <row r="17" spans="1:7" ht="25.5" x14ac:dyDescent="0.2">
      <c r="A17">
        <v>4</v>
      </c>
      <c r="B17" s="75">
        <v>45471</v>
      </c>
      <c r="C17" s="76" t="s">
        <v>39</v>
      </c>
      <c r="D17">
        <v>2</v>
      </c>
      <c r="E17" t="s">
        <v>18</v>
      </c>
      <c r="F17" s="73">
        <v>8000</v>
      </c>
      <c r="G17" s="73">
        <v>48.5</v>
      </c>
    </row>
    <row r="18" spans="1:7" x14ac:dyDescent="0.2">
      <c r="A18">
        <v>5</v>
      </c>
      <c r="B18" s="75">
        <v>45471</v>
      </c>
      <c r="C18" s="76" t="s">
        <v>40</v>
      </c>
      <c r="D18">
        <v>0</v>
      </c>
      <c r="E18" t="s">
        <v>18</v>
      </c>
      <c r="F18" s="73">
        <v>252.21</v>
      </c>
      <c r="G18" s="73">
        <v>20</v>
      </c>
    </row>
    <row r="19" spans="1:7" x14ac:dyDescent="0.2">
      <c r="F19" t="s">
        <v>24</v>
      </c>
      <c r="G19" s="73">
        <v>1281.05</v>
      </c>
    </row>
    <row r="20" spans="1:7" x14ac:dyDescent="0.2">
      <c r="F20" t="s">
        <v>25</v>
      </c>
      <c r="G20" s="73">
        <v>243.4</v>
      </c>
    </row>
    <row r="21" spans="1:7" x14ac:dyDescent="0.2">
      <c r="F21" t="s">
        <v>26</v>
      </c>
      <c r="G21" s="73">
        <v>1524.45</v>
      </c>
    </row>
    <row r="22" spans="1:7" x14ac:dyDescent="0.2">
      <c r="B22" s="75"/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Löhne</vt:lpstr>
      <vt:lpstr>Fibu</vt:lpstr>
      <vt:lpstr>JA</vt:lpstr>
      <vt:lpstr>ESt</vt:lpstr>
      <vt:lpstr>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 Ahting</dc:creator>
  <cp:lastModifiedBy>Charis</cp:lastModifiedBy>
  <cp:lastPrinted>2026-03-10T11:56:27Z</cp:lastPrinted>
  <dcterms:created xsi:type="dcterms:W3CDTF">2009-01-10T15:13:38Z</dcterms:created>
  <dcterms:modified xsi:type="dcterms:W3CDTF">2026-04-20T18:01:59Z</dcterms:modified>
</cp:coreProperties>
</file>