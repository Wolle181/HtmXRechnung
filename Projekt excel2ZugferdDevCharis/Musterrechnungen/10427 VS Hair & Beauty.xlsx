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\"/>
    </mc:Choice>
  </mc:AlternateContent>
  <xr:revisionPtr revIDLastSave="0" documentId="13_ncr:1_{A9F233FC-09A4-4AC8-953C-E6538E66414E}" xr6:coauthVersionLast="47" xr6:coauthVersionMax="47" xr10:uidLastSave="{00000000-0000-0000-0000-000000000000}"/>
  <bookViews>
    <workbookView xWindow="5715" yWindow="1320" windowWidth="22620" windowHeight="14115" activeTab="5" xr2:uid="{00000000-000D-0000-FFFF-FFFF00000000}"/>
  </bookViews>
  <sheets>
    <sheet name="Fibu II-2023" sheetId="1" r:id="rId1"/>
    <sheet name="Fibu III-2023" sheetId="2" r:id="rId2"/>
    <sheet name="Fibu IV-2023" sheetId="3" r:id="rId3"/>
    <sheet name="Fibu I+II-2024" sheetId="4" r:id="rId4"/>
    <sheet name="Fibu III+IV-2024" sheetId="5" r:id="rId5"/>
    <sheet name="Fibu III+IV-2024 ZF" sheetId="6" r:id="rId6"/>
    <sheet name="Fibu I-2025" sheetId="7" r:id="rId7"/>
    <sheet name="EÜR 2023" sheetId="8" r:id="rId8"/>
    <sheet name="Fibu II-2025" sheetId="9" r:id="rId9"/>
    <sheet name="Fibu III+IV-2025" sheetId="10" r:id="rId10"/>
  </sheets>
  <calcPr calcId="191029"/>
</workbook>
</file>

<file path=xl/calcChain.xml><?xml version="1.0" encoding="utf-8"?>
<calcChain xmlns="http://schemas.openxmlformats.org/spreadsheetml/2006/main">
  <c r="E29" i="10" l="1"/>
  <c r="E30" i="10" s="1"/>
  <c r="E31" i="10" s="1"/>
  <c r="E28" i="10"/>
  <c r="G27" i="10"/>
  <c r="G28" i="10" s="1"/>
  <c r="G29" i="10" s="1"/>
  <c r="G30" i="10" s="1"/>
  <c r="G31" i="10" s="1"/>
  <c r="E27" i="10"/>
  <c r="H26" i="10"/>
  <c r="H27" i="10" s="1"/>
  <c r="H38" i="9"/>
  <c r="E36" i="9"/>
  <c r="H28" i="9"/>
  <c r="G28" i="9"/>
  <c r="H27" i="9"/>
  <c r="G27" i="9"/>
  <c r="E27" i="9"/>
  <c r="E28" i="9" s="1"/>
  <c r="H26" i="9"/>
  <c r="G10" i="9"/>
  <c r="H39" i="8"/>
  <c r="E37" i="8"/>
  <c r="C34" i="8"/>
  <c r="H32" i="8"/>
  <c r="H29" i="8"/>
  <c r="H27" i="8"/>
  <c r="C27" i="8"/>
  <c r="H25" i="8"/>
  <c r="G10" i="8"/>
  <c r="G28" i="7"/>
  <c r="E28" i="7"/>
  <c r="G27" i="7"/>
  <c r="E27" i="7"/>
  <c r="H26" i="7"/>
  <c r="H27" i="7" s="1"/>
  <c r="H28" i="5"/>
  <c r="H29" i="5" s="1"/>
  <c r="H30" i="5" s="1"/>
  <c r="H31" i="5" s="1"/>
  <c r="G28" i="5"/>
  <c r="G29" i="5" s="1"/>
  <c r="G30" i="5" s="1"/>
  <c r="G31" i="5" s="1"/>
  <c r="E28" i="5"/>
  <c r="E29" i="5" s="1"/>
  <c r="E30" i="5" s="1"/>
  <c r="E31" i="5" s="1"/>
  <c r="C28" i="5"/>
  <c r="C29" i="5" s="1"/>
  <c r="C30" i="5" s="1"/>
  <c r="C31" i="5" s="1"/>
  <c r="H27" i="5"/>
  <c r="G27" i="5"/>
  <c r="E27" i="5"/>
  <c r="C27" i="5"/>
  <c r="H26" i="5"/>
  <c r="E31" i="4"/>
  <c r="C31" i="4"/>
  <c r="E30" i="4"/>
  <c r="C30" i="4"/>
  <c r="E29" i="4"/>
  <c r="H28" i="4"/>
  <c r="H29" i="4" s="1"/>
  <c r="G28" i="4"/>
  <c r="G29" i="4" s="1"/>
  <c r="G30" i="4" s="1"/>
  <c r="G31" i="4" s="1"/>
  <c r="E28" i="4"/>
  <c r="C28" i="4"/>
  <c r="H27" i="4"/>
  <c r="G27" i="4"/>
  <c r="E27" i="4"/>
  <c r="C27" i="4"/>
  <c r="H26" i="4"/>
  <c r="E26" i="4"/>
  <c r="G31" i="3"/>
  <c r="H31" i="3" s="1"/>
  <c r="G28" i="3"/>
  <c r="H28" i="3" s="1"/>
  <c r="E28" i="3"/>
  <c r="E31" i="3" s="1"/>
  <c r="H25" i="3"/>
  <c r="E25" i="3"/>
  <c r="H31" i="2"/>
  <c r="H36" i="2" s="1"/>
  <c r="H28" i="2"/>
  <c r="E28" i="2"/>
  <c r="E31" i="2" s="1"/>
  <c r="H25" i="2"/>
  <c r="E36" i="2" s="1"/>
  <c r="E25" i="2"/>
  <c r="H39" i="1"/>
  <c r="H36" i="1"/>
  <c r="E33" i="1"/>
  <c r="G30" i="1"/>
  <c r="G33" i="1" s="1"/>
  <c r="H33" i="1" s="1"/>
  <c r="E30" i="1"/>
  <c r="H27" i="1"/>
  <c r="E27" i="1"/>
  <c r="H24" i="1"/>
  <c r="E24" i="1"/>
  <c r="E36" i="3" l="1"/>
  <c r="H38" i="3"/>
  <c r="H30" i="4"/>
  <c r="H31" i="4" s="1"/>
  <c r="H28" i="7"/>
  <c r="E36" i="7" s="1"/>
  <c r="H41" i="8"/>
  <c r="H40" i="9"/>
  <c r="H28" i="10"/>
  <c r="H29" i="10" s="1"/>
  <c r="H30" i="10" s="1"/>
  <c r="H31" i="10" s="1"/>
  <c r="H38" i="5"/>
  <c r="H40" i="8"/>
  <c r="H39" i="9"/>
  <c r="E36" i="5"/>
  <c r="H38" i="2"/>
  <c r="H30" i="1"/>
  <c r="H38" i="10" l="1"/>
  <c r="E39" i="1"/>
  <c r="H41" i="1"/>
  <c r="H38" i="7"/>
  <c r="E36" i="4"/>
  <c r="H39" i="3"/>
  <c r="H40" i="3" s="1"/>
  <c r="E36" i="10"/>
  <c r="H39" i="2"/>
  <c r="H40" i="2" s="1"/>
  <c r="H38" i="4"/>
  <c r="H40" i="5"/>
  <c r="H39" i="5"/>
  <c r="H39" i="4" l="1"/>
  <c r="H40" i="4" s="1"/>
  <c r="H39" i="7"/>
  <c r="H40" i="7" s="1"/>
  <c r="H42" i="1"/>
  <c r="H43" i="1" s="1"/>
  <c r="H39" i="10"/>
  <c r="H40" i="10" s="1"/>
</calcChain>
</file>

<file path=xl/sharedStrings.xml><?xml version="1.0" encoding="utf-8"?>
<sst xmlns="http://schemas.openxmlformats.org/spreadsheetml/2006/main" count="407" uniqueCount="99">
  <si>
    <t>Hartmut Ahting, Steuerberater, Heerstrasse 50, 60488 Frankfurt</t>
  </si>
  <si>
    <t>VS Hair &amp; Beauty - Friseursalon</t>
  </si>
  <si>
    <t>Rg-Datum:</t>
  </si>
  <si>
    <t>Goncalves de Freitas &amp; Raimondi GbR</t>
  </si>
  <si>
    <t xml:space="preserve">Kunden-Nr.: </t>
  </si>
  <si>
    <t>Sandweg 30</t>
  </si>
  <si>
    <t>Rg-Nr.:</t>
  </si>
  <si>
    <t>10427-2024-001</t>
  </si>
  <si>
    <t>60316 Frankfurt</t>
  </si>
  <si>
    <t>Leistungsdatum:</t>
  </si>
  <si>
    <t xml:space="preserve">IBAN: </t>
  </si>
  <si>
    <t>DE 13 50070024 0 4092862 00</t>
  </si>
  <si>
    <t>BIC:</t>
  </si>
  <si>
    <t>DEUTDEDBFRA</t>
  </si>
  <si>
    <t xml:space="preserve">Rechnung über Honorare </t>
  </si>
  <si>
    <t xml:space="preserve">Für die nachfolgend aufgeführten Leistungen erlaube ich mir, in Übereinstimmung mit der </t>
  </si>
  <si>
    <t>Steuerberatervergütungsverordnung wie folgt abzurechnen:</t>
  </si>
  <si>
    <t>Leistung</t>
  </si>
  <si>
    <t>Gegenstands-</t>
  </si>
  <si>
    <t>Tabelle</t>
  </si>
  <si>
    <t>Geb.-</t>
  </si>
  <si>
    <t>Gebühr</t>
  </si>
  <si>
    <t>§§</t>
  </si>
  <si>
    <t xml:space="preserve"> wert</t>
  </si>
  <si>
    <t>satz/Std.</t>
  </si>
  <si>
    <t xml:space="preserve">Buchführung einschl. Kontieren der Belege </t>
  </si>
  <si>
    <t>C</t>
  </si>
  <si>
    <t>für 03/2023</t>
  </si>
  <si>
    <t>für 04/2023</t>
  </si>
  <si>
    <t>für 05/2023</t>
  </si>
  <si>
    <t>für 06/2023</t>
  </si>
  <si>
    <t>Hilfeleistung b. d. Einrichtung der Buchführung</t>
  </si>
  <si>
    <t>Zeitgeb.</t>
  </si>
  <si>
    <t>Termine am 14.08.2023 und am 27.10.2023</t>
  </si>
  <si>
    <t xml:space="preserve">Auslagenersatz für Post- und </t>
  </si>
  <si>
    <t>Telekommunikation</t>
  </si>
  <si>
    <t>Gesamt</t>
  </si>
  <si>
    <t>USt 19%</t>
  </si>
  <si>
    <t>Rechnungsendbetrag</t>
  </si>
  <si>
    <t>Bitte überweisen Sie den Betrag ohne Abzüge innerhalb von 14 Tagen auf das angegebene Konto.</t>
  </si>
  <si>
    <t>Steuernummer: 012 801 35159</t>
  </si>
  <si>
    <t>10427-2024-002</t>
  </si>
  <si>
    <t>für 07/2023</t>
  </si>
  <si>
    <t>für 08/2023</t>
  </si>
  <si>
    <t>für 09/2023</t>
  </si>
  <si>
    <t>10427-2024-003</t>
  </si>
  <si>
    <t>für 10/2023</t>
  </si>
  <si>
    <t>für 11/2023</t>
  </si>
  <si>
    <t>für 12/2023</t>
  </si>
  <si>
    <t>10427-2024-004</t>
  </si>
  <si>
    <t>siehe Einzelposition</t>
  </si>
  <si>
    <t>am/in:</t>
  </si>
  <si>
    <t>Buchführung einschl. Kontieren der Belege für</t>
  </si>
  <si>
    <t>22.04.-09.08.2024</t>
  </si>
  <si>
    <t>Steuernummer: 014 801 32096</t>
  </si>
  <si>
    <t>10427-2025-001</t>
  </si>
  <si>
    <t>An:</t>
  </si>
  <si>
    <t>Rechnungs-Nr:</t>
  </si>
  <si>
    <t>Kunden-Nr:</t>
  </si>
  <si>
    <t>Rechnungsdatum:</t>
  </si>
  <si>
    <t>Rechnung über Honorare</t>
  </si>
  <si>
    <t>Für die nachfolgend aufgeführten Leistungen erlaube ich mir nach der Steuerberatervergütungsverordnung wie folgt abzurechnen:</t>
  </si>
  <si>
    <t>Pos.</t>
  </si>
  <si>
    <t>Datum</t>
  </si>
  <si>
    <t>§§ / Leistung</t>
  </si>
  <si>
    <t>Gebühren-satz</t>
  </si>
  <si>
    <t>Einheit</t>
  </si>
  <si>
    <t>Wert</t>
  </si>
  <si>
    <t>§33 / Buchführung einschl. Kontieren der Belege für 07/2024 - Tabelle C</t>
  </si>
  <si>
    <t>Stk.</t>
  </si>
  <si>
    <t>§33 / Buchführung einschl. Kontieren der Belege für 08/2024 - Tabelle C</t>
  </si>
  <si>
    <t>§33 / Buchführung einschl. Kontieren der Belege für 09/2024 - Tabelle C</t>
  </si>
  <si>
    <t>§33 / Buchführung einschl. Kontieren der Belege für 10/2024 - Tabelle C</t>
  </si>
  <si>
    <t>§33 / Buchführung einschl. Kontieren der Belege für 11/2024 - Tabelle C</t>
  </si>
  <si>
    <t>§33 / Buchführung einschl. Kontieren der Belege für 12/2024 - Tabelle C</t>
  </si>
  <si>
    <t>§16 / Auslagenersatz für Post- und Telekommunikation</t>
  </si>
  <si>
    <t>Summe</t>
  </si>
  <si>
    <t>Umsatzsteuer 19%</t>
  </si>
  <si>
    <t>Bruttobetrag</t>
  </si>
  <si>
    <t>10427-2025-002</t>
  </si>
  <si>
    <t>10427-2025-003</t>
  </si>
  <si>
    <t>am/in</t>
  </si>
  <si>
    <t>wert</t>
  </si>
  <si>
    <t>Satz</t>
  </si>
  <si>
    <t>Umsatzsteuererklärung</t>
  </si>
  <si>
    <t>A</t>
  </si>
  <si>
    <t>Gewerbesteuererklärung</t>
  </si>
  <si>
    <t>Erklärung zur gesonderten und einheitlichen</t>
  </si>
  <si>
    <t>Feststellung von Besteuerungsgrundlagen 2023</t>
  </si>
  <si>
    <t xml:space="preserve">Einnahmenüberschußrechnung nach § 4 Abs. 3 </t>
  </si>
  <si>
    <t>EStG zur Ermittluung der Einkünfte aus</t>
  </si>
  <si>
    <t>Gewerbebetrieb</t>
  </si>
  <si>
    <t>* soweit nicht gesondert anders angegeben</t>
  </si>
  <si>
    <t>Bitte überweisen Sie den Betrag ohne Abzüge auf das unten angegebene Konto.</t>
  </si>
  <si>
    <t>10427-2025-004</t>
  </si>
  <si>
    <t>Leistungsdatum:*</t>
  </si>
  <si>
    <t>10427-2026-001</t>
  </si>
  <si>
    <t>Leistungszeitraum:</t>
  </si>
  <si>
    <t>05.09.2025-27.01.2026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</si>
</sst>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\ [$€-1]"/>
    <numFmt numFmtId="165" formatCode="\ ??/10"/>
    <numFmt numFmtId="166" formatCode="\ ??/??"/>
    <numFmt numFmtId="167" formatCode="#,##0\ [$€-1]"/>
    <numFmt numFmtId="168" formatCode="#,##0.00\ &quot;€/Std.&quot;"/>
    <numFmt numFmtId="169" formatCode="#,##0.00\ &quot;Std.&quot;"/>
    <numFmt numFmtId="170" formatCode="[$-407]mmmm;@"/>
    <numFmt numFmtId="171" formatCode="#,##0.0"/>
    <numFmt numFmtId="172" formatCode="#,##0.00\ &quot;€&quot;"/>
    <numFmt numFmtId="173" formatCode="[$-407]mmmm\ yyyy;@"/>
    <numFmt numFmtId="174" formatCode="d/\ mmmm\ yyyy"/>
    <numFmt numFmtId="176" formatCode="dd\.mm\.yyyy"/>
    <numFmt numFmtId="177" formatCode="dd\.mm\.yy"/>
  </numFmts>
  <fonts count="11" x14ac:knownFonts="1">
    <font>
      <sz val="10"/>
      <name val="Arial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sz val="6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9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4" fillId="0" borderId="6" xfId="0" applyNumberFormat="1" applyFont="1" applyBorder="1" applyAlignment="1">
      <alignment horizontal="left"/>
    </xf>
    <xf numFmtId="4" fontId="4" fillId="0" borderId="7" xfId="0" applyNumberFormat="1" applyFont="1" applyBorder="1"/>
    <xf numFmtId="4" fontId="4" fillId="0" borderId="4" xfId="0" applyNumberFormat="1" applyFont="1" applyBorder="1" applyAlignment="1">
      <alignment horizontal="left"/>
    </xf>
    <xf numFmtId="4" fontId="4" fillId="0" borderId="7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2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17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/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6" fontId="4" fillId="0" borderId="0" xfId="0" applyNumberFormat="1" applyFont="1"/>
    <xf numFmtId="14" fontId="4" fillId="0" borderId="0" xfId="0" applyNumberFormat="1" applyFont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/>
    <xf numFmtId="0" fontId="7" fillId="0" borderId="0" xfId="0" applyFont="1"/>
    <xf numFmtId="4" fontId="4" fillId="0" borderId="0" xfId="0" applyNumberFormat="1" applyFont="1" applyAlignment="1">
      <alignment horizontal="left"/>
    </xf>
    <xf numFmtId="3" fontId="4" fillId="0" borderId="9" xfId="0" applyNumberFormat="1" applyFont="1" applyBorder="1" applyAlignment="1">
      <alignment horizontal="left"/>
    </xf>
    <xf numFmtId="4" fontId="4" fillId="0" borderId="9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3" fillId="0" borderId="0" xfId="0" applyNumberFormat="1" applyFont="1"/>
    <xf numFmtId="168" fontId="4" fillId="0" borderId="0" xfId="0" applyNumberFormat="1" applyFont="1" applyAlignment="1">
      <alignment horizontal="center"/>
    </xf>
    <xf numFmtId="169" fontId="4" fillId="0" borderId="0" xfId="0" applyNumberFormat="1" applyFont="1"/>
    <xf numFmtId="3" fontId="4" fillId="0" borderId="0" xfId="0" applyNumberFormat="1" applyFont="1" applyAlignment="1">
      <alignment horizontal="left"/>
    </xf>
    <xf numFmtId="17" fontId="4" fillId="0" borderId="0" xfId="0" applyNumberFormat="1" applyFont="1" applyAlignment="1">
      <alignment horizontal="left"/>
    </xf>
    <xf numFmtId="170" fontId="4" fillId="0" borderId="0" xfId="1" applyNumberFormat="1" applyFont="1" applyAlignment="1">
      <alignment horizontal="left"/>
    </xf>
    <xf numFmtId="9" fontId="4" fillId="0" borderId="7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164" fontId="10" fillId="0" borderId="0" xfId="0" applyNumberFormat="1" applyFont="1"/>
    <xf numFmtId="171" fontId="10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right"/>
    </xf>
    <xf numFmtId="14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72" fontId="4" fillId="0" borderId="7" xfId="0" applyNumberFormat="1" applyFont="1" applyBorder="1" applyAlignment="1">
      <alignment horizontal="right"/>
    </xf>
    <xf numFmtId="173" fontId="4" fillId="0" borderId="0" xfId="1" applyNumberFormat="1" applyFont="1" applyAlignment="1">
      <alignment horizontal="left"/>
    </xf>
    <xf numFmtId="176" fontId="0" fillId="0" borderId="0" xfId="0" applyNumberFormat="1"/>
    <xf numFmtId="177" fontId="0" fillId="0" borderId="0" xfId="0" applyNumberFormat="1"/>
    <xf numFmtId="4" fontId="0" fillId="0" borderId="0" xfId="0" applyNumberFormat="1"/>
    <xf numFmtId="4" fontId="4" fillId="0" borderId="3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74" fontId="4" fillId="0" borderId="3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174" fontId="4" fillId="0" borderId="8" xfId="0" applyNumberFormat="1" applyFont="1" applyBorder="1" applyAlignment="1">
      <alignment horizontal="center"/>
    </xf>
    <xf numFmtId="0" fontId="0" fillId="0" borderId="8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4" fontId="4" fillId="0" borderId="8" xfId="0" applyNumberFormat="1" applyFont="1" applyBorder="1" applyAlignment="1">
      <alignment horizontal="center"/>
    </xf>
    <xf numFmtId="0" fontId="0" fillId="0" borderId="7" xfId="0" applyBorder="1"/>
    <xf numFmtId="0" fontId="4" fillId="0" borderId="5" xfId="0" applyFont="1" applyBorder="1" applyAlignment="1">
      <alignment horizontal="center"/>
    </xf>
    <xf numFmtId="0" fontId="0" fillId="0" borderId="5" xfId="0" applyBorder="1"/>
    <xf numFmtId="0" fontId="4" fillId="0" borderId="4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42</xdr:row>
      <xdr:rowOff>107756</xdr:rowOff>
    </xdr:from>
    <xdr:to>
      <xdr:col>2</xdr:col>
      <xdr:colOff>590550</xdr:colOff>
      <xdr:row>47</xdr:row>
      <xdr:rowOff>11291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813481"/>
          <a:ext cx="2419350" cy="8750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5:I51"/>
  <sheetViews>
    <sheetView topLeftCell="A37" zoomScaleNormal="100" workbookViewId="0">
      <selection activeCell="A17" sqref="A17:XFD17"/>
    </sheetView>
  </sheetViews>
  <sheetFormatPr baseColWidth="10" defaultColWidth="11.5703125" defaultRowHeight="15.75" x14ac:dyDescent="0.25"/>
  <cols>
    <col min="1" max="1" width="3.5703125" style="6" customWidth="1"/>
    <col min="2" max="2" width="27.5703125" style="6" customWidth="1"/>
    <col min="3" max="3" width="9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45300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7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>
        <v>45240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18" customFormat="1" ht="14.25" customHeight="1" x14ac:dyDescent="0.2">
      <c r="A16" s="71" t="s">
        <v>14</v>
      </c>
      <c r="B16" s="72"/>
      <c r="C16" s="72"/>
      <c r="D16" s="72"/>
      <c r="E16" s="72"/>
      <c r="F16" s="72"/>
      <c r="G16" s="72"/>
      <c r="H16" s="72"/>
    </row>
    <row r="17" spans="1:8" s="18" customFormat="1" ht="8.25" customHeight="1" x14ac:dyDescent="0.2">
      <c r="A17" s="17"/>
      <c r="B17" s="17"/>
      <c r="C17" s="17"/>
      <c r="D17" s="17"/>
      <c r="E17" s="17"/>
      <c r="F17" s="17"/>
      <c r="G17" s="17"/>
      <c r="H17" s="17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" customHeight="1" x14ac:dyDescent="0.25">
      <c r="A19" s="7" t="s">
        <v>15</v>
      </c>
      <c r="B19" s="8"/>
      <c r="D19" s="9"/>
      <c r="E19" s="15"/>
      <c r="F19" s="9"/>
      <c r="G19" s="19"/>
    </row>
    <row r="20" spans="1:8" s="7" customFormat="1" ht="15" customHeight="1" x14ac:dyDescent="0.25">
      <c r="A20" s="7" t="s">
        <v>16</v>
      </c>
      <c r="B20" s="8"/>
      <c r="D20" s="9"/>
      <c r="E20" s="15"/>
      <c r="F20" s="9"/>
      <c r="G20" s="19"/>
    </row>
    <row r="21" spans="1:8" s="7" customFormat="1" ht="10.5" customHeight="1" x14ac:dyDescent="0.25">
      <c r="B21" s="8"/>
      <c r="D21" s="9"/>
      <c r="E21" s="15"/>
      <c r="F21" s="9"/>
      <c r="G21" s="20"/>
    </row>
    <row r="22" spans="1:8" s="7" customFormat="1" ht="15" customHeight="1" x14ac:dyDescent="0.25">
      <c r="A22" s="21" t="s">
        <v>17</v>
      </c>
      <c r="B22" s="22"/>
      <c r="C22" s="21"/>
      <c r="E22" s="9" t="s">
        <v>18</v>
      </c>
      <c r="F22" s="15" t="s">
        <v>19</v>
      </c>
      <c r="G22" s="9" t="s">
        <v>20</v>
      </c>
      <c r="H22" s="15" t="s">
        <v>21</v>
      </c>
    </row>
    <row r="23" spans="1:8" s="7" customFormat="1" ht="15" customHeight="1" x14ac:dyDescent="0.25">
      <c r="A23" s="23" t="s">
        <v>22</v>
      </c>
      <c r="B23" s="23"/>
      <c r="C23" s="24"/>
      <c r="D23" s="23"/>
      <c r="E23" s="25" t="s">
        <v>23</v>
      </c>
      <c r="F23" s="14"/>
      <c r="G23" s="25" t="s">
        <v>24</v>
      </c>
      <c r="H23" s="12"/>
    </row>
    <row r="24" spans="1:8" s="7" customFormat="1" ht="15" customHeight="1" x14ac:dyDescent="0.25">
      <c r="A24" s="7">
        <v>33</v>
      </c>
      <c r="B24" s="7" t="s">
        <v>25</v>
      </c>
      <c r="C24" s="26"/>
      <c r="D24" s="26"/>
      <c r="E24" s="27">
        <f>ROUND((18612.41+8729.72+6500*3)/1000,)*1000</f>
        <v>47000</v>
      </c>
      <c r="F24" s="10" t="s">
        <v>26</v>
      </c>
      <c r="G24" s="28">
        <v>0.7</v>
      </c>
      <c r="H24" s="20">
        <f>G24*130</f>
        <v>91</v>
      </c>
    </row>
    <row r="25" spans="1:8" s="7" customFormat="1" ht="15" customHeight="1" x14ac:dyDescent="0.25">
      <c r="B25" s="7" t="s">
        <v>27</v>
      </c>
      <c r="C25" s="29"/>
      <c r="D25" s="26"/>
      <c r="E25" s="27"/>
      <c r="F25" s="10"/>
      <c r="G25" s="30"/>
      <c r="H25" s="20"/>
    </row>
    <row r="26" spans="1:8" s="7" customFormat="1" ht="9" customHeight="1" x14ac:dyDescent="0.25">
      <c r="C26" s="10"/>
      <c r="E26" s="31"/>
      <c r="F26" s="15"/>
      <c r="G26" s="30"/>
      <c r="H26" s="20"/>
    </row>
    <row r="27" spans="1:8" s="7" customFormat="1" ht="15" customHeight="1" x14ac:dyDescent="0.25">
      <c r="A27" s="7">
        <v>33</v>
      </c>
      <c r="B27" s="7" t="s">
        <v>25</v>
      </c>
      <c r="C27" s="26"/>
      <c r="D27" s="26"/>
      <c r="E27" s="27">
        <f>ROUND((18612.41+8729.72+6500*3)/1000,)*1000</f>
        <v>47000</v>
      </c>
      <c r="F27" s="10" t="s">
        <v>26</v>
      </c>
      <c r="G27" s="28">
        <v>0.7</v>
      </c>
      <c r="H27" s="20">
        <f>G27*130</f>
        <v>91</v>
      </c>
    </row>
    <row r="28" spans="1:8" s="7" customFormat="1" ht="15" customHeight="1" x14ac:dyDescent="0.25">
      <c r="B28" s="7" t="s">
        <v>28</v>
      </c>
      <c r="C28" s="29"/>
      <c r="D28" s="26"/>
      <c r="E28" s="27"/>
      <c r="F28" s="10"/>
      <c r="G28" s="30"/>
      <c r="H28" s="20"/>
    </row>
    <row r="29" spans="1:8" s="7" customFormat="1" ht="9" customHeight="1" x14ac:dyDescent="0.25">
      <c r="C29" s="10"/>
      <c r="E29" s="31"/>
      <c r="F29" s="15"/>
      <c r="G29" s="30"/>
      <c r="H29" s="20"/>
    </row>
    <row r="30" spans="1:8" s="7" customFormat="1" ht="15" customHeight="1" x14ac:dyDescent="0.25">
      <c r="A30" s="7">
        <v>33</v>
      </c>
      <c r="B30" s="7" t="s">
        <v>25</v>
      </c>
      <c r="C30" s="26"/>
      <c r="D30" s="26"/>
      <c r="E30" s="27">
        <f>ROUND((18612.41+8729.72+6500*3)/1000,)*1000</f>
        <v>47000</v>
      </c>
      <c r="F30" s="10" t="s">
        <v>26</v>
      </c>
      <c r="G30" s="28">
        <f>+G27</f>
        <v>0.7</v>
      </c>
      <c r="H30" s="20">
        <f>G30*130</f>
        <v>91</v>
      </c>
    </row>
    <row r="31" spans="1:8" s="7" customFormat="1" ht="15" customHeight="1" x14ac:dyDescent="0.25">
      <c r="B31" s="7" t="s">
        <v>29</v>
      </c>
      <c r="C31" s="29"/>
      <c r="D31" s="26"/>
      <c r="E31" s="27"/>
      <c r="F31" s="10"/>
      <c r="G31" s="30"/>
      <c r="H31" s="20"/>
    </row>
    <row r="32" spans="1:8" s="7" customFormat="1" ht="6.75" customHeight="1" x14ac:dyDescent="0.25">
      <c r="E32" s="15"/>
      <c r="F32" s="16"/>
      <c r="G32" s="32"/>
      <c r="H32" s="20"/>
    </row>
    <row r="33" spans="1:9" s="7" customFormat="1" ht="15" customHeight="1" x14ac:dyDescent="0.25">
      <c r="A33" s="7">
        <v>33</v>
      </c>
      <c r="B33" s="7" t="s">
        <v>25</v>
      </c>
      <c r="C33" s="26"/>
      <c r="D33" s="26"/>
      <c r="E33" s="27">
        <f>ROUND((18612.41+8729.72+6500*3)/1000,)*1000</f>
        <v>47000</v>
      </c>
      <c r="F33" s="10" t="s">
        <v>26</v>
      </c>
      <c r="G33" s="28">
        <f>+G30</f>
        <v>0.7</v>
      </c>
      <c r="H33" s="20">
        <f>G33*130</f>
        <v>91</v>
      </c>
    </row>
    <row r="34" spans="1:9" s="7" customFormat="1" ht="15" customHeight="1" x14ac:dyDescent="0.25">
      <c r="B34" s="7" t="s">
        <v>30</v>
      </c>
      <c r="C34" s="29"/>
      <c r="D34" s="26"/>
      <c r="E34" s="27"/>
      <c r="F34" s="10"/>
      <c r="G34" s="30"/>
      <c r="H34" s="20"/>
    </row>
    <row r="35" spans="1:9" s="7" customFormat="1" ht="6.75" customHeight="1" x14ac:dyDescent="0.25">
      <c r="E35" s="15"/>
      <c r="F35" s="16"/>
      <c r="G35" s="32"/>
    </row>
    <row r="36" spans="1:9" s="7" customFormat="1" ht="15" customHeight="1" x14ac:dyDescent="0.25">
      <c r="A36" s="7">
        <v>32</v>
      </c>
      <c r="B36" s="7" t="s">
        <v>31</v>
      </c>
      <c r="E36" s="43">
        <v>80</v>
      </c>
      <c r="F36" s="16" t="s">
        <v>32</v>
      </c>
      <c r="G36" s="44">
        <v>2</v>
      </c>
      <c r="H36" s="20">
        <f>+E36*G36</f>
        <v>160</v>
      </c>
    </row>
    <row r="37" spans="1:9" s="7" customFormat="1" ht="15" customHeight="1" x14ac:dyDescent="0.25">
      <c r="B37" s="7" t="s">
        <v>33</v>
      </c>
    </row>
    <row r="38" spans="1:9" s="7" customFormat="1" ht="4.5" customHeight="1" x14ac:dyDescent="0.25">
      <c r="E38" s="15"/>
      <c r="F38" s="16"/>
      <c r="G38" s="32"/>
    </row>
    <row r="39" spans="1:9" s="7" customFormat="1" ht="15" customHeight="1" x14ac:dyDescent="0.25">
      <c r="A39" s="7">
        <v>16</v>
      </c>
      <c r="B39" s="7" t="s">
        <v>34</v>
      </c>
      <c r="C39" s="33"/>
      <c r="E39" s="27">
        <f>SUM(H27:H35)*0.2</f>
        <v>54.6</v>
      </c>
      <c r="F39" s="15"/>
      <c r="G39" s="30"/>
      <c r="H39" s="20">
        <f>15*4</f>
        <v>60</v>
      </c>
    </row>
    <row r="40" spans="1:9" s="7" customFormat="1" ht="15" customHeight="1" x14ac:dyDescent="0.25">
      <c r="A40" s="23"/>
      <c r="B40" s="23" t="s">
        <v>35</v>
      </c>
      <c r="C40" s="23"/>
      <c r="D40" s="23"/>
      <c r="E40" s="34"/>
      <c r="F40" s="14"/>
      <c r="G40" s="25"/>
      <c r="H40" s="35"/>
    </row>
    <row r="41" spans="1:9" s="7" customFormat="1" ht="15" customHeight="1" x14ac:dyDescent="0.25">
      <c r="A41" s="36"/>
      <c r="E41" s="7" t="s">
        <v>36</v>
      </c>
      <c r="F41" s="8"/>
      <c r="G41" s="9"/>
      <c r="H41" s="20">
        <f>SUM(H27:H40)</f>
        <v>493</v>
      </c>
      <c r="I41" s="20"/>
    </row>
    <row r="42" spans="1:9" s="7" customFormat="1" ht="15" customHeight="1" x14ac:dyDescent="0.25">
      <c r="E42" s="37" t="s">
        <v>37</v>
      </c>
      <c r="F42" s="8"/>
      <c r="G42" s="9"/>
      <c r="H42" s="20">
        <f>+H41*0.19</f>
        <v>93.67</v>
      </c>
    </row>
    <row r="43" spans="1:9" s="7" customFormat="1" thickBot="1" x14ac:dyDescent="0.3">
      <c r="D43" s="9"/>
      <c r="E43" s="38" t="s">
        <v>38</v>
      </c>
      <c r="F43" s="39"/>
      <c r="G43" s="40"/>
      <c r="H43" s="41">
        <f>SUM(H41:H42)</f>
        <v>586.66999999999996</v>
      </c>
    </row>
    <row r="44" spans="1:9" s="7" customFormat="1" thickTop="1" x14ac:dyDescent="0.25">
      <c r="A44" s="7" t="s">
        <v>39</v>
      </c>
      <c r="D44" s="9"/>
      <c r="E44" s="15"/>
      <c r="F44" s="9"/>
      <c r="G44" s="20"/>
    </row>
    <row r="45" spans="1:9" s="7" customFormat="1" ht="15" customHeight="1" x14ac:dyDescent="0.25">
      <c r="B45" s="8"/>
      <c r="D45" s="9"/>
      <c r="E45" s="15"/>
      <c r="F45" s="9"/>
      <c r="G45" s="20"/>
    </row>
    <row r="46" spans="1:9" s="7" customFormat="1" ht="15" customHeight="1" x14ac:dyDescent="0.25">
      <c r="D46" s="9"/>
      <c r="E46" s="15"/>
      <c r="F46" s="9"/>
      <c r="G46" s="20"/>
    </row>
    <row r="47" spans="1:9" s="7" customFormat="1" ht="15" customHeight="1" x14ac:dyDescent="0.25">
      <c r="D47" s="9"/>
      <c r="E47" s="15"/>
      <c r="F47" s="9"/>
      <c r="G47" s="20"/>
    </row>
    <row r="48" spans="1:9" x14ac:dyDescent="0.25">
      <c r="B48" s="23"/>
      <c r="F48" s="3"/>
      <c r="G48" s="42"/>
    </row>
    <row r="51" spans="1:8" x14ac:dyDescent="0.25">
      <c r="A51" s="73" t="s">
        <v>40</v>
      </c>
      <c r="B51" s="74"/>
      <c r="C51" s="74"/>
      <c r="D51" s="75"/>
      <c r="E51" s="76"/>
      <c r="F51" s="77"/>
      <c r="G51" s="74"/>
      <c r="H51" s="74"/>
    </row>
  </sheetData>
  <mergeCells count="11">
    <mergeCell ref="A51:H51"/>
    <mergeCell ref="F12:H12"/>
    <mergeCell ref="G8:H8"/>
    <mergeCell ref="G9:H9"/>
    <mergeCell ref="E9:F9"/>
    <mergeCell ref="E8:F8"/>
    <mergeCell ref="F11:H11"/>
    <mergeCell ref="G7:H7"/>
    <mergeCell ref="E7:F7"/>
    <mergeCell ref="G10:H10"/>
    <mergeCell ref="A16:H16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5:J49"/>
  <sheetViews>
    <sheetView zoomScaleNormal="100" workbookViewId="0">
      <selection activeCell="G32" sqref="G32"/>
    </sheetView>
  </sheetViews>
  <sheetFormatPr baseColWidth="10" defaultColWidth="11.5703125" defaultRowHeight="15.75" x14ac:dyDescent="0.25"/>
  <cols>
    <col min="1" max="1" width="3.5703125" style="6" customWidth="1"/>
    <col min="2" max="2" width="27.5703125" style="6" customWidth="1"/>
    <col min="3" max="3" width="9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45300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41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>
        <v>45240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/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25</v>
      </c>
      <c r="C25" s="26"/>
      <c r="D25" s="26"/>
      <c r="E25" s="27">
        <f>ROUND((18612.41+8729.72+6500*3)/1000,)*1000</f>
        <v>47000</v>
      </c>
      <c r="F25" s="10" t="s">
        <v>26</v>
      </c>
      <c r="G25" s="28">
        <v>0.8</v>
      </c>
      <c r="H25" s="20">
        <f>G25*130</f>
        <v>104</v>
      </c>
    </row>
    <row r="26" spans="1:8" s="7" customFormat="1" ht="15" customHeight="1" x14ac:dyDescent="0.25">
      <c r="B26" s="7" t="s">
        <v>42</v>
      </c>
      <c r="C26" s="29"/>
      <c r="D26" s="26"/>
      <c r="E26" s="27"/>
      <c r="F26" s="10"/>
      <c r="G26" s="30"/>
      <c r="H26" s="20"/>
    </row>
    <row r="27" spans="1:8" s="7" customFormat="1" ht="9" customHeight="1" x14ac:dyDescent="0.25">
      <c r="C27" s="10"/>
      <c r="E27" s="31"/>
      <c r="F27" s="15"/>
      <c r="G27" s="30"/>
      <c r="H27" s="20"/>
    </row>
    <row r="28" spans="1:8" s="7" customFormat="1" ht="15" customHeight="1" x14ac:dyDescent="0.25">
      <c r="A28" s="7">
        <v>33</v>
      </c>
      <c r="B28" s="7" t="s">
        <v>25</v>
      </c>
      <c r="C28" s="26"/>
      <c r="D28" s="26"/>
      <c r="E28" s="27">
        <f>+E25</f>
        <v>47000</v>
      </c>
      <c r="F28" s="10" t="s">
        <v>26</v>
      </c>
      <c r="G28" s="28">
        <v>0.8</v>
      </c>
      <c r="H28" s="20">
        <f>G28*130</f>
        <v>104</v>
      </c>
    </row>
    <row r="29" spans="1:8" s="7" customFormat="1" ht="15" customHeight="1" x14ac:dyDescent="0.25">
      <c r="B29" s="7" t="s">
        <v>43</v>
      </c>
      <c r="C29" s="29"/>
      <c r="D29" s="26"/>
      <c r="E29" s="27"/>
      <c r="F29" s="10"/>
      <c r="G29" s="30"/>
      <c r="H29" s="20"/>
    </row>
    <row r="30" spans="1:8" s="7" customFormat="1" ht="6.75" customHeight="1" x14ac:dyDescent="0.25">
      <c r="E30" s="15"/>
      <c r="F30" s="16"/>
      <c r="G30" s="32"/>
      <c r="H30" s="20"/>
    </row>
    <row r="31" spans="1:8" s="7" customFormat="1" ht="15" customHeight="1" x14ac:dyDescent="0.25">
      <c r="A31" s="7">
        <v>33</v>
      </c>
      <c r="B31" s="7" t="s">
        <v>25</v>
      </c>
      <c r="C31" s="26"/>
      <c r="D31" s="26"/>
      <c r="E31" s="27">
        <f>+E28</f>
        <v>47000</v>
      </c>
      <c r="F31" s="10" t="s">
        <v>26</v>
      </c>
      <c r="G31" s="28">
        <v>0.8</v>
      </c>
      <c r="H31" s="20">
        <f>G31*130</f>
        <v>104</v>
      </c>
    </row>
    <row r="32" spans="1:8" s="7" customFormat="1" ht="15" customHeight="1" x14ac:dyDescent="0.25">
      <c r="B32" s="7" t="s">
        <v>44</v>
      </c>
      <c r="C32" s="29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SUM(H25:H35)*0.2</f>
        <v>62.400000000000006</v>
      </c>
      <c r="F36" s="15"/>
      <c r="G36" s="30"/>
      <c r="H36" s="20">
        <f>SUM(H25:H31)*0.2</f>
        <v>62.400000000000006</v>
      </c>
    </row>
    <row r="37" spans="1:10" s="7" customFormat="1" ht="15" customHeight="1" x14ac:dyDescent="0.25">
      <c r="A37" s="23"/>
      <c r="B37" s="23" t="s">
        <v>35</v>
      </c>
      <c r="C37" s="23"/>
      <c r="D37" s="23"/>
      <c r="E37" s="34"/>
      <c r="F37" s="14"/>
      <c r="G37" s="25"/>
      <c r="H37" s="35"/>
    </row>
    <row r="38" spans="1:10" s="7" customFormat="1" ht="15" customHeight="1" x14ac:dyDescent="0.25">
      <c r="A38" s="36"/>
      <c r="E38" s="7" t="s">
        <v>36</v>
      </c>
      <c r="F38" s="8"/>
      <c r="G38" s="9"/>
      <c r="H38" s="20">
        <f>SUM(H25:H37)</f>
        <v>374.4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71.135999999999996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445.53599999999994</v>
      </c>
    </row>
    <row r="41" spans="1:10" s="7" customFormat="1" thickTop="1" x14ac:dyDescent="0.25">
      <c r="A41" s="7" t="s">
        <v>39</v>
      </c>
      <c r="D41" s="9"/>
      <c r="E41" s="15"/>
      <c r="F41" s="9"/>
      <c r="G41" s="20"/>
    </row>
    <row r="42" spans="1:10" s="7" customFormat="1" ht="15" customHeight="1" x14ac:dyDescent="0.25">
      <c r="B42" s="8"/>
      <c r="D42" s="9"/>
      <c r="E42" s="15"/>
      <c r="F42" s="9"/>
      <c r="G42" s="20"/>
    </row>
    <row r="43" spans="1:10" s="7" customFormat="1" ht="15" customHeight="1" x14ac:dyDescent="0.25"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x14ac:dyDescent="0.25">
      <c r="B45" s="23"/>
      <c r="F45" s="3"/>
      <c r="G45" s="42"/>
    </row>
    <row r="47" spans="1:10" ht="18.75" customHeight="1" x14ac:dyDescent="0.25"/>
    <row r="49" spans="1:8" x14ac:dyDescent="0.25">
      <c r="A49" s="73" t="s">
        <v>40</v>
      </c>
      <c r="B49" s="74"/>
      <c r="C49" s="74"/>
      <c r="D49" s="75"/>
      <c r="E49" s="76"/>
      <c r="F49" s="77"/>
      <c r="G49" s="74"/>
      <c r="H49" s="74"/>
    </row>
  </sheetData>
  <mergeCells count="11">
    <mergeCell ref="F11:H11"/>
    <mergeCell ref="G7:H7"/>
    <mergeCell ref="E7:F7"/>
    <mergeCell ref="G10:H10"/>
    <mergeCell ref="A49:H49"/>
    <mergeCell ref="F12:H12"/>
    <mergeCell ref="G8:H8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5:J50"/>
  <sheetViews>
    <sheetView zoomScaleNormal="100" workbookViewId="0">
      <selection activeCell="A44" sqref="A44:XFD44"/>
    </sheetView>
  </sheetViews>
  <sheetFormatPr baseColWidth="10" defaultColWidth="11.5703125" defaultRowHeight="15.75" x14ac:dyDescent="0.25"/>
  <cols>
    <col min="1" max="1" width="3.5703125" style="6" customWidth="1"/>
    <col min="2" max="2" width="27.5703125" style="6" customWidth="1"/>
    <col min="3" max="3" width="9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45391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45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>
        <v>45324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/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25</v>
      </c>
      <c r="C25" s="26"/>
      <c r="D25" s="26"/>
      <c r="E25" s="27">
        <f>ROUND((18612.41+8729.72+6500*3)/1000,)*1000</f>
        <v>47000</v>
      </c>
      <c r="F25" s="10" t="s">
        <v>26</v>
      </c>
      <c r="G25" s="28">
        <v>0.9</v>
      </c>
      <c r="H25" s="20">
        <f>G25*130</f>
        <v>117</v>
      </c>
    </row>
    <row r="26" spans="1:8" s="7" customFormat="1" ht="15" customHeight="1" x14ac:dyDescent="0.25">
      <c r="B26" s="7" t="s">
        <v>46</v>
      </c>
      <c r="C26" s="29"/>
      <c r="D26" s="26"/>
      <c r="E26" s="27"/>
      <c r="F26" s="10"/>
      <c r="G26" s="30"/>
      <c r="H26" s="20"/>
    </row>
    <row r="27" spans="1:8" s="7" customFormat="1" ht="9" customHeight="1" x14ac:dyDescent="0.25">
      <c r="C27" s="10"/>
      <c r="E27" s="31"/>
      <c r="F27" s="15"/>
      <c r="G27" s="30"/>
      <c r="H27" s="20"/>
    </row>
    <row r="28" spans="1:8" s="7" customFormat="1" ht="15" customHeight="1" x14ac:dyDescent="0.25">
      <c r="A28" s="7">
        <v>33</v>
      </c>
      <c r="B28" s="7" t="s">
        <v>25</v>
      </c>
      <c r="C28" s="26"/>
      <c r="D28" s="26"/>
      <c r="E28" s="27">
        <f>+E25</f>
        <v>47000</v>
      </c>
      <c r="F28" s="10" t="s">
        <v>26</v>
      </c>
      <c r="G28" s="28">
        <f>+G25</f>
        <v>0.9</v>
      </c>
      <c r="H28" s="20">
        <f>G28*130</f>
        <v>117</v>
      </c>
    </row>
    <row r="29" spans="1:8" s="7" customFormat="1" ht="15" customHeight="1" x14ac:dyDescent="0.25">
      <c r="B29" s="7" t="s">
        <v>47</v>
      </c>
      <c r="C29" s="29"/>
      <c r="D29" s="26"/>
      <c r="E29" s="27"/>
      <c r="F29" s="10"/>
      <c r="G29" s="30"/>
      <c r="H29" s="20"/>
    </row>
    <row r="30" spans="1:8" s="7" customFormat="1" ht="6.75" customHeight="1" x14ac:dyDescent="0.25">
      <c r="E30" s="15"/>
      <c r="F30" s="16"/>
      <c r="G30" s="32"/>
      <c r="H30" s="20"/>
    </row>
    <row r="31" spans="1:8" s="7" customFormat="1" ht="15" customHeight="1" x14ac:dyDescent="0.25">
      <c r="A31" s="7">
        <v>33</v>
      </c>
      <c r="B31" s="7" t="s">
        <v>25</v>
      </c>
      <c r="C31" s="26"/>
      <c r="D31" s="26"/>
      <c r="E31" s="27">
        <f>+E28</f>
        <v>47000</v>
      </c>
      <c r="F31" s="10" t="s">
        <v>26</v>
      </c>
      <c r="G31" s="28">
        <f>+G28</f>
        <v>0.9</v>
      </c>
      <c r="H31" s="20">
        <f>G31*130</f>
        <v>117</v>
      </c>
    </row>
    <row r="32" spans="1:8" s="7" customFormat="1" ht="15" customHeight="1" x14ac:dyDescent="0.25">
      <c r="B32" s="7" t="s">
        <v>48</v>
      </c>
      <c r="C32" s="29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SUM(H25:H35)*0.2</f>
        <v>70.2</v>
      </c>
      <c r="F36" s="15"/>
      <c r="G36" s="30"/>
      <c r="H36" s="20">
        <v>60</v>
      </c>
    </row>
    <row r="37" spans="1:10" s="7" customFormat="1" ht="15" customHeight="1" x14ac:dyDescent="0.25">
      <c r="A37" s="23"/>
      <c r="B37" s="23" t="s">
        <v>35</v>
      </c>
      <c r="C37" s="23"/>
      <c r="D37" s="23"/>
      <c r="E37" s="34"/>
      <c r="F37" s="14"/>
      <c r="G37" s="25"/>
      <c r="H37" s="35"/>
    </row>
    <row r="38" spans="1:10" s="7" customFormat="1" ht="15" customHeight="1" x14ac:dyDescent="0.25">
      <c r="A38" s="36"/>
      <c r="E38" s="7" t="s">
        <v>36</v>
      </c>
      <c r="F38" s="8"/>
      <c r="G38" s="9"/>
      <c r="H38" s="20">
        <f>SUM(H25:H37)</f>
        <v>411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78.09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489.09000000000003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8" spans="1:10" ht="18.75" customHeight="1" x14ac:dyDescent="0.25"/>
    <row r="50" spans="1:8" x14ac:dyDescent="0.25">
      <c r="A50" s="73" t="s">
        <v>40</v>
      </c>
      <c r="B50" s="74"/>
      <c r="C50" s="74"/>
      <c r="D50" s="75"/>
      <c r="E50" s="76"/>
      <c r="F50" s="77"/>
      <c r="G50" s="74"/>
      <c r="H50" s="74"/>
    </row>
  </sheetData>
  <mergeCells count="11">
    <mergeCell ref="A50:H50"/>
    <mergeCell ref="G7:H7"/>
    <mergeCell ref="E7:F7"/>
    <mergeCell ref="G10:H10"/>
    <mergeCell ref="E8:F8"/>
    <mergeCell ref="F12:H12"/>
    <mergeCell ref="G8:H8"/>
    <mergeCell ref="G9:H9"/>
    <mergeCell ref="E9:F9"/>
    <mergeCell ref="F11:H11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5:J49"/>
  <sheetViews>
    <sheetView zoomScaleNormal="100" workbookViewId="0">
      <selection activeCell="C26" sqref="C26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45540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49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 t="s">
        <v>50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 t="s">
        <v>51</v>
      </c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52</v>
      </c>
      <c r="C25" s="26"/>
      <c r="D25" s="26"/>
    </row>
    <row r="26" spans="1:8" s="7" customFormat="1" ht="15" customHeight="1" x14ac:dyDescent="0.25">
      <c r="B26" s="46">
        <v>45292</v>
      </c>
      <c r="C26" s="33">
        <v>45404</v>
      </c>
      <c r="D26" s="26"/>
      <c r="E26" s="27">
        <f t="shared" ref="E26:E31" si="0">ROUND(40085.75*2/500,)*500</f>
        <v>80000</v>
      </c>
      <c r="F26" s="10" t="s">
        <v>26</v>
      </c>
      <c r="G26" s="28">
        <v>0.9</v>
      </c>
      <c r="H26" s="20">
        <f>G26*177</f>
        <v>159.30000000000001</v>
      </c>
    </row>
    <row r="27" spans="1:8" s="7" customFormat="1" ht="15" customHeight="1" x14ac:dyDescent="0.25">
      <c r="B27" s="46">
        <v>45323</v>
      </c>
      <c r="C27" s="33">
        <f>+C26</f>
        <v>45404</v>
      </c>
      <c r="E27" s="27">
        <f t="shared" si="0"/>
        <v>80000</v>
      </c>
      <c r="F27" s="10" t="s">
        <v>26</v>
      </c>
      <c r="G27" s="30">
        <f t="shared" ref="G27:H31" si="1">+G26</f>
        <v>0.9</v>
      </c>
      <c r="H27" s="20">
        <f t="shared" si="1"/>
        <v>159.30000000000001</v>
      </c>
    </row>
    <row r="28" spans="1:8" s="7" customFormat="1" ht="15" customHeight="1" x14ac:dyDescent="0.25">
      <c r="B28" s="46">
        <v>45352</v>
      </c>
      <c r="C28" s="33">
        <f>+C27</f>
        <v>45404</v>
      </c>
      <c r="D28" s="26"/>
      <c r="E28" s="27">
        <f t="shared" si="0"/>
        <v>80000</v>
      </c>
      <c r="F28" s="10" t="s">
        <v>26</v>
      </c>
      <c r="G28" s="30">
        <f t="shared" si="1"/>
        <v>0.9</v>
      </c>
      <c r="H28" s="20">
        <f t="shared" si="1"/>
        <v>159.30000000000001</v>
      </c>
    </row>
    <row r="29" spans="1:8" s="7" customFormat="1" ht="15" customHeight="1" x14ac:dyDescent="0.25">
      <c r="B29" s="46">
        <v>45383</v>
      </c>
      <c r="C29" s="33">
        <v>45513</v>
      </c>
      <c r="D29" s="26"/>
      <c r="E29" s="27">
        <f t="shared" si="0"/>
        <v>80000</v>
      </c>
      <c r="F29" s="10" t="s">
        <v>26</v>
      </c>
      <c r="G29" s="30">
        <f t="shared" si="1"/>
        <v>0.9</v>
      </c>
      <c r="H29" s="20">
        <f t="shared" si="1"/>
        <v>159.30000000000001</v>
      </c>
    </row>
    <row r="30" spans="1:8" s="7" customFormat="1" ht="15" customHeight="1" x14ac:dyDescent="0.25">
      <c r="B30" s="46">
        <v>45413</v>
      </c>
      <c r="C30" s="33">
        <f>+C29</f>
        <v>45513</v>
      </c>
      <c r="E30" s="27">
        <f t="shared" si="0"/>
        <v>80000</v>
      </c>
      <c r="F30" s="10" t="s">
        <v>26</v>
      </c>
      <c r="G30" s="30">
        <f t="shared" si="1"/>
        <v>0.9</v>
      </c>
      <c r="H30" s="20">
        <f t="shared" si="1"/>
        <v>159.30000000000001</v>
      </c>
    </row>
    <row r="31" spans="1:8" s="7" customFormat="1" ht="15" customHeight="1" x14ac:dyDescent="0.25">
      <c r="B31" s="46">
        <v>45444</v>
      </c>
      <c r="C31" s="33">
        <f>+C30</f>
        <v>45513</v>
      </c>
      <c r="D31" s="26"/>
      <c r="E31" s="27">
        <f t="shared" si="0"/>
        <v>80000</v>
      </c>
      <c r="F31" s="10" t="s">
        <v>26</v>
      </c>
      <c r="G31" s="30">
        <f t="shared" si="1"/>
        <v>0.9</v>
      </c>
      <c r="H31" s="20">
        <f t="shared" si="1"/>
        <v>159.30000000000001</v>
      </c>
    </row>
    <row r="32" spans="1:8" s="7" customFormat="1" ht="15" customHeight="1" x14ac:dyDescent="0.25">
      <c r="C32" s="33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SUM(H26:H35)*0.2</f>
        <v>191.16</v>
      </c>
      <c r="F36" s="15"/>
      <c r="G36" s="30"/>
      <c r="H36" s="20">
        <v>120</v>
      </c>
    </row>
    <row r="37" spans="1:10" s="7" customFormat="1" ht="15" customHeight="1" x14ac:dyDescent="0.25">
      <c r="A37" s="23"/>
      <c r="B37" s="23" t="s">
        <v>35</v>
      </c>
      <c r="C37" s="23" t="s">
        <v>53</v>
      </c>
      <c r="D37" s="23"/>
      <c r="E37" s="34"/>
      <c r="F37" s="14"/>
      <c r="G37" s="25"/>
      <c r="H37" s="35"/>
    </row>
    <row r="38" spans="1:10" s="7" customFormat="1" ht="15" customHeight="1" x14ac:dyDescent="0.25">
      <c r="A38" s="36"/>
      <c r="E38" s="7" t="s">
        <v>36</v>
      </c>
      <c r="F38" s="8"/>
      <c r="G38" s="9"/>
      <c r="H38" s="20">
        <f>SUM(H26:H37)</f>
        <v>1075.8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204.40199999999999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1280.202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9" spans="1:8" x14ac:dyDescent="0.25">
      <c r="A49" s="73" t="s">
        <v>54</v>
      </c>
      <c r="B49" s="74"/>
      <c r="C49" s="74"/>
      <c r="D49" s="75"/>
      <c r="E49" s="76"/>
      <c r="F49" s="77"/>
      <c r="G49" s="74"/>
      <c r="H49" s="74"/>
    </row>
  </sheetData>
  <mergeCells count="11">
    <mergeCell ref="F11:H11"/>
    <mergeCell ref="G7:H7"/>
    <mergeCell ref="E7:F7"/>
    <mergeCell ref="G10:H10"/>
    <mergeCell ref="A49:H49"/>
    <mergeCell ref="F12:H12"/>
    <mergeCell ref="G8:H8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5:J49"/>
  <sheetViews>
    <sheetView topLeftCell="A16" zoomScaleNormal="100" workbookViewId="0">
      <selection activeCell="C37" sqref="C37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45716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55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 t="s">
        <v>50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 t="s">
        <v>51</v>
      </c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52</v>
      </c>
      <c r="C25" s="26"/>
      <c r="D25" s="26"/>
    </row>
    <row r="26" spans="1:8" s="7" customFormat="1" ht="15" customHeight="1" x14ac:dyDescent="0.25">
      <c r="B26" s="47">
        <v>45474</v>
      </c>
      <c r="C26" s="33">
        <v>45699</v>
      </c>
      <c r="D26" s="33"/>
      <c r="E26" s="27">
        <v>104000</v>
      </c>
      <c r="F26" s="10" t="s">
        <v>26</v>
      </c>
      <c r="G26" s="28">
        <v>1</v>
      </c>
      <c r="H26" s="20">
        <f>G26*177</f>
        <v>177</v>
      </c>
    </row>
    <row r="27" spans="1:8" s="7" customFormat="1" ht="15" customHeight="1" x14ac:dyDescent="0.25">
      <c r="B27" s="47">
        <v>45505</v>
      </c>
      <c r="C27" s="33">
        <f>+C26</f>
        <v>45699</v>
      </c>
      <c r="D27" s="33"/>
      <c r="E27" s="27">
        <f>+E26</f>
        <v>104000</v>
      </c>
      <c r="F27" s="10" t="s">
        <v>26</v>
      </c>
      <c r="G27" s="30">
        <f t="shared" ref="G27:H31" si="0">+G26</f>
        <v>1</v>
      </c>
      <c r="H27" s="20">
        <f t="shared" si="0"/>
        <v>177</v>
      </c>
    </row>
    <row r="28" spans="1:8" s="7" customFormat="1" ht="15" customHeight="1" x14ac:dyDescent="0.25">
      <c r="B28" s="47">
        <v>45536</v>
      </c>
      <c r="C28" s="33">
        <f>+C27</f>
        <v>45699</v>
      </c>
      <c r="D28" s="33"/>
      <c r="E28" s="27">
        <f>+E27</f>
        <v>104000</v>
      </c>
      <c r="F28" s="10" t="s">
        <v>26</v>
      </c>
      <c r="G28" s="30">
        <f t="shared" si="0"/>
        <v>1</v>
      </c>
      <c r="H28" s="20">
        <f t="shared" si="0"/>
        <v>177</v>
      </c>
    </row>
    <row r="29" spans="1:8" s="7" customFormat="1" ht="15" customHeight="1" x14ac:dyDescent="0.25">
      <c r="B29" s="47">
        <v>45566</v>
      </c>
      <c r="C29" s="33">
        <f>+C28</f>
        <v>45699</v>
      </c>
      <c r="D29" s="33"/>
      <c r="E29" s="27">
        <f>+E28</f>
        <v>104000</v>
      </c>
      <c r="F29" s="10" t="s">
        <v>26</v>
      </c>
      <c r="G29" s="30">
        <f t="shared" si="0"/>
        <v>1</v>
      </c>
      <c r="H29" s="20">
        <f t="shared" si="0"/>
        <v>177</v>
      </c>
    </row>
    <row r="30" spans="1:8" s="7" customFormat="1" ht="15" customHeight="1" x14ac:dyDescent="0.25">
      <c r="B30" s="47">
        <v>45597</v>
      </c>
      <c r="C30" s="33">
        <f>+C29</f>
        <v>45699</v>
      </c>
      <c r="D30" s="33"/>
      <c r="E30" s="27">
        <f>+E29</f>
        <v>104000</v>
      </c>
      <c r="F30" s="10" t="s">
        <v>26</v>
      </c>
      <c r="G30" s="30">
        <f t="shared" si="0"/>
        <v>1</v>
      </c>
      <c r="H30" s="20">
        <f t="shared" si="0"/>
        <v>177</v>
      </c>
    </row>
    <row r="31" spans="1:8" s="7" customFormat="1" ht="15" customHeight="1" x14ac:dyDescent="0.25">
      <c r="B31" s="47">
        <v>45627</v>
      </c>
      <c r="C31" s="33">
        <f>+C30</f>
        <v>45699</v>
      </c>
      <c r="D31" s="33"/>
      <c r="E31" s="27">
        <f>+E30</f>
        <v>104000</v>
      </c>
      <c r="F31" s="10" t="s">
        <v>26</v>
      </c>
      <c r="G31" s="30">
        <f t="shared" si="0"/>
        <v>1</v>
      </c>
      <c r="H31" s="20">
        <f t="shared" si="0"/>
        <v>177</v>
      </c>
    </row>
    <row r="32" spans="1:8" s="7" customFormat="1" ht="15" customHeight="1" x14ac:dyDescent="0.25">
      <c r="C32" s="33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SUM(H26:H35)*0.2</f>
        <v>212.4</v>
      </c>
      <c r="F36" s="15"/>
      <c r="G36" s="30"/>
      <c r="H36" s="20">
        <v>120</v>
      </c>
    </row>
    <row r="37" spans="1:10" s="7" customFormat="1" ht="15" customHeight="1" x14ac:dyDescent="0.25">
      <c r="A37" s="23"/>
      <c r="B37" s="23" t="s">
        <v>35</v>
      </c>
      <c r="C37" s="23" t="s">
        <v>53</v>
      </c>
      <c r="D37" s="23"/>
      <c r="E37" s="34"/>
      <c r="F37" s="14"/>
      <c r="G37" s="25"/>
      <c r="H37" s="35"/>
    </row>
    <row r="38" spans="1:10" s="7" customFormat="1" ht="15" customHeight="1" x14ac:dyDescent="0.25">
      <c r="A38" s="36"/>
      <c r="E38" s="7" t="s">
        <v>36</v>
      </c>
      <c r="F38" s="8"/>
      <c r="G38" s="9"/>
      <c r="H38" s="20">
        <f>SUM(H26:H37)</f>
        <v>1182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224.58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1406.58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9" spans="1:8" x14ac:dyDescent="0.25">
      <c r="A49" s="73" t="s">
        <v>54</v>
      </c>
      <c r="B49" s="74"/>
      <c r="C49" s="74"/>
      <c r="D49" s="75"/>
      <c r="E49" s="76"/>
      <c r="F49" s="77"/>
      <c r="G49" s="74"/>
      <c r="H49" s="74"/>
    </row>
  </sheetData>
  <mergeCells count="11">
    <mergeCell ref="G7:H7"/>
    <mergeCell ref="E7:F7"/>
    <mergeCell ref="G10:H10"/>
    <mergeCell ref="E8:F8"/>
    <mergeCell ref="A49:H49"/>
    <mergeCell ref="F12:H12"/>
    <mergeCell ref="G8:H8"/>
    <mergeCell ref="G9:H9"/>
    <mergeCell ref="E9:F9"/>
    <mergeCell ref="F11:H11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workbookViewId="0">
      <selection activeCell="C15" sqref="C15:C24"/>
    </sheetView>
  </sheetViews>
  <sheetFormatPr baseColWidth="10" defaultColWidth="9.140625" defaultRowHeight="12.75" x14ac:dyDescent="0.2"/>
  <cols>
    <col min="2" max="2" width="17.7109375" customWidth="1"/>
    <col min="3" max="3" width="41.28515625" customWidth="1"/>
    <col min="6" max="6" width="14" customWidth="1"/>
  </cols>
  <sheetData>
    <row r="1" spans="1:7" x14ac:dyDescent="0.2">
      <c r="A1" t="s">
        <v>56</v>
      </c>
    </row>
    <row r="2" spans="1:7" x14ac:dyDescent="0.2">
      <c r="A2" t="s">
        <v>1</v>
      </c>
    </row>
    <row r="3" spans="1:7" x14ac:dyDescent="0.2">
      <c r="A3" t="s">
        <v>3</v>
      </c>
    </row>
    <row r="4" spans="1:7" x14ac:dyDescent="0.2">
      <c r="A4" t="s">
        <v>5</v>
      </c>
    </row>
    <row r="5" spans="1:7" x14ac:dyDescent="0.2">
      <c r="A5" t="s">
        <v>8</v>
      </c>
    </row>
    <row r="7" spans="1:7" x14ac:dyDescent="0.2">
      <c r="A7" t="s">
        <v>57</v>
      </c>
      <c r="B7" t="s">
        <v>55</v>
      </c>
    </row>
    <row r="8" spans="1:7" x14ac:dyDescent="0.2">
      <c r="A8" t="s">
        <v>58</v>
      </c>
      <c r="B8">
        <v>10427</v>
      </c>
    </row>
    <row r="9" spans="1:7" x14ac:dyDescent="0.2">
      <c r="A9" t="s">
        <v>59</v>
      </c>
      <c r="B9" s="61">
        <v>45716</v>
      </c>
    </row>
    <row r="11" spans="1:7" x14ac:dyDescent="0.2">
      <c r="C11" t="s">
        <v>60</v>
      </c>
    </row>
    <row r="12" spans="1:7" x14ac:dyDescent="0.2">
      <c r="A12" t="s">
        <v>61</v>
      </c>
    </row>
    <row r="14" spans="1:7" x14ac:dyDescent="0.2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21</v>
      </c>
    </row>
    <row r="15" spans="1:7" ht="25.5" x14ac:dyDescent="0.2">
      <c r="A15">
        <v>1</v>
      </c>
      <c r="B15" s="62">
        <v>45699</v>
      </c>
      <c r="C15" s="84" t="s">
        <v>68</v>
      </c>
      <c r="D15">
        <v>1</v>
      </c>
      <c r="E15" t="s">
        <v>69</v>
      </c>
      <c r="F15" s="63">
        <v>104000</v>
      </c>
      <c r="G15" s="63">
        <v>177</v>
      </c>
    </row>
    <row r="16" spans="1:7" ht="25.5" x14ac:dyDescent="0.2">
      <c r="A16">
        <v>2</v>
      </c>
      <c r="B16" s="62">
        <v>45699</v>
      </c>
      <c r="C16" s="84" t="s">
        <v>70</v>
      </c>
      <c r="D16">
        <v>1</v>
      </c>
      <c r="E16" t="s">
        <v>69</v>
      </c>
      <c r="F16" s="63">
        <v>104000</v>
      </c>
      <c r="G16" s="63">
        <v>177</v>
      </c>
    </row>
    <row r="17" spans="1:7" ht="25.5" x14ac:dyDescent="0.2">
      <c r="A17">
        <v>3</v>
      </c>
      <c r="B17" s="62">
        <v>45699</v>
      </c>
      <c r="C17" s="84" t="s">
        <v>71</v>
      </c>
      <c r="D17">
        <v>1</v>
      </c>
      <c r="E17" t="s">
        <v>69</v>
      </c>
      <c r="F17" s="63">
        <v>104000</v>
      </c>
      <c r="G17" s="63">
        <v>177</v>
      </c>
    </row>
    <row r="18" spans="1:7" ht="25.5" x14ac:dyDescent="0.2">
      <c r="A18">
        <v>4</v>
      </c>
      <c r="B18" s="62">
        <v>45699</v>
      </c>
      <c r="C18" s="84" t="s">
        <v>72</v>
      </c>
      <c r="D18">
        <v>1</v>
      </c>
      <c r="E18" t="s">
        <v>69</v>
      </c>
      <c r="F18" s="63">
        <v>104000</v>
      </c>
      <c r="G18" s="63">
        <v>177</v>
      </c>
    </row>
    <row r="19" spans="1:7" ht="25.5" x14ac:dyDescent="0.2">
      <c r="A19">
        <v>5</v>
      </c>
      <c r="B19" s="62">
        <v>45699</v>
      </c>
      <c r="C19" s="84" t="s">
        <v>73</v>
      </c>
      <c r="D19">
        <v>1</v>
      </c>
      <c r="E19" t="s">
        <v>69</v>
      </c>
      <c r="F19" s="63">
        <v>104000</v>
      </c>
      <c r="G19" s="63">
        <v>177</v>
      </c>
    </row>
    <row r="20" spans="1:7" ht="25.5" x14ac:dyDescent="0.2">
      <c r="A20">
        <v>6</v>
      </c>
      <c r="B20" s="62">
        <v>45699</v>
      </c>
      <c r="C20" s="84" t="s">
        <v>74</v>
      </c>
      <c r="D20">
        <v>1</v>
      </c>
      <c r="E20" t="s">
        <v>69</v>
      </c>
      <c r="F20" s="63">
        <v>104000</v>
      </c>
      <c r="G20" s="63">
        <v>177</v>
      </c>
    </row>
    <row r="21" spans="1:7" ht="25.5" x14ac:dyDescent="0.2">
      <c r="A21">
        <v>7</v>
      </c>
      <c r="B21" s="62">
        <v>45716</v>
      </c>
      <c r="C21" s="84" t="s">
        <v>75</v>
      </c>
      <c r="D21">
        <v>1</v>
      </c>
      <c r="E21" t="s">
        <v>69</v>
      </c>
      <c r="F21" s="63">
        <v>120</v>
      </c>
      <c r="G21" s="63">
        <v>120</v>
      </c>
    </row>
    <row r="22" spans="1:7" x14ac:dyDescent="0.2">
      <c r="C22" s="84"/>
      <c r="F22" t="s">
        <v>76</v>
      </c>
      <c r="G22" s="63">
        <v>1182</v>
      </c>
    </row>
    <row r="23" spans="1:7" x14ac:dyDescent="0.2">
      <c r="C23" s="84"/>
      <c r="F23" t="s">
        <v>77</v>
      </c>
      <c r="G23" s="63">
        <v>224.58</v>
      </c>
    </row>
    <row r="24" spans="1:7" x14ac:dyDescent="0.2">
      <c r="C24" s="84"/>
      <c r="F24" t="s">
        <v>78</v>
      </c>
      <c r="G24" s="63">
        <v>1406.58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5:J49"/>
  <sheetViews>
    <sheetView zoomScaleNormal="100" workbookViewId="0">
      <selection activeCell="G27" sqref="G27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45798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79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>
        <v>45782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/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52</v>
      </c>
      <c r="C25" s="26"/>
      <c r="D25" s="26"/>
    </row>
    <row r="26" spans="1:8" s="7" customFormat="1" ht="15" customHeight="1" x14ac:dyDescent="0.25">
      <c r="B26" s="47">
        <v>45658</v>
      </c>
      <c r="C26" s="33"/>
      <c r="D26" s="33"/>
      <c r="E26" s="27">
        <v>104000</v>
      </c>
      <c r="F26" s="10" t="s">
        <v>26</v>
      </c>
      <c r="G26" s="28">
        <v>1.1000000000000001</v>
      </c>
      <c r="H26" s="20">
        <f>G26*177</f>
        <v>194.70000000000002</v>
      </c>
    </row>
    <row r="27" spans="1:8" s="7" customFormat="1" ht="15" customHeight="1" x14ac:dyDescent="0.25">
      <c r="B27" s="47">
        <v>45689</v>
      </c>
      <c r="C27" s="33"/>
      <c r="D27" s="33"/>
      <c r="E27" s="27">
        <f>+E26</f>
        <v>104000</v>
      </c>
      <c r="F27" s="10" t="s">
        <v>26</v>
      </c>
      <c r="G27" s="28">
        <f>+G26</f>
        <v>1.1000000000000001</v>
      </c>
      <c r="H27" s="20">
        <f>+H26</f>
        <v>194.70000000000002</v>
      </c>
    </row>
    <row r="28" spans="1:8" s="7" customFormat="1" ht="15" customHeight="1" x14ac:dyDescent="0.25">
      <c r="B28" s="47">
        <v>45717</v>
      </c>
      <c r="C28" s="33"/>
      <c r="D28" s="33"/>
      <c r="E28" s="27">
        <f>+E27</f>
        <v>104000</v>
      </c>
      <c r="F28" s="10" t="s">
        <v>26</v>
      </c>
      <c r="G28" s="28">
        <f>+G27</f>
        <v>1.1000000000000001</v>
      </c>
      <c r="H28" s="20">
        <f>+H27</f>
        <v>194.70000000000002</v>
      </c>
    </row>
    <row r="29" spans="1:8" s="7" customFormat="1" ht="15" customHeight="1" x14ac:dyDescent="0.25">
      <c r="B29" s="47"/>
      <c r="C29" s="33"/>
      <c r="D29" s="33"/>
      <c r="E29" s="27"/>
      <c r="F29" s="10"/>
      <c r="G29" s="30"/>
      <c r="H29" s="20"/>
    </row>
    <row r="30" spans="1:8" s="7" customFormat="1" ht="15" customHeight="1" x14ac:dyDescent="0.25">
      <c r="B30" s="47"/>
      <c r="C30" s="33"/>
      <c r="D30" s="33"/>
      <c r="E30" s="27"/>
      <c r="F30" s="10"/>
      <c r="G30" s="30"/>
      <c r="H30" s="20"/>
    </row>
    <row r="31" spans="1:8" s="7" customFormat="1" ht="15" customHeight="1" x14ac:dyDescent="0.25">
      <c r="B31" s="47"/>
      <c r="C31" s="33"/>
      <c r="D31" s="33"/>
      <c r="E31" s="27"/>
      <c r="F31" s="10"/>
      <c r="G31" s="30"/>
      <c r="H31" s="20"/>
    </row>
    <row r="32" spans="1:8" s="7" customFormat="1" ht="15" customHeight="1" x14ac:dyDescent="0.25">
      <c r="C32" s="33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SUM(H26:H35)*0.2</f>
        <v>116.82000000000001</v>
      </c>
      <c r="F36" s="15"/>
      <c r="G36" s="30"/>
      <c r="H36" s="20">
        <v>20</v>
      </c>
    </row>
    <row r="37" spans="1:10" s="7" customFormat="1" ht="15" customHeight="1" x14ac:dyDescent="0.25">
      <c r="A37" s="23"/>
      <c r="B37" s="23" t="s">
        <v>35</v>
      </c>
      <c r="C37" s="23"/>
      <c r="D37" s="23"/>
      <c r="E37" s="34"/>
      <c r="F37" s="14"/>
      <c r="G37" s="25"/>
      <c r="H37" s="35"/>
    </row>
    <row r="38" spans="1:10" s="7" customFormat="1" ht="15" customHeight="1" x14ac:dyDescent="0.25">
      <c r="A38" s="36"/>
      <c r="E38" s="7" t="s">
        <v>36</v>
      </c>
      <c r="F38" s="8"/>
      <c r="G38" s="9"/>
      <c r="H38" s="20">
        <f>SUM(H26:H37)</f>
        <v>604.1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114.77900000000001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718.87900000000002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9" spans="1:8" x14ac:dyDescent="0.25">
      <c r="A49" s="73" t="s">
        <v>54</v>
      </c>
      <c r="B49" s="74"/>
      <c r="C49" s="74"/>
      <c r="D49" s="75"/>
      <c r="E49" s="76"/>
      <c r="F49" s="77"/>
      <c r="G49" s="74"/>
      <c r="H49" s="74"/>
    </row>
  </sheetData>
  <mergeCells count="11">
    <mergeCell ref="F11:H11"/>
    <mergeCell ref="G7:H7"/>
    <mergeCell ref="E7:F7"/>
    <mergeCell ref="G10:H10"/>
    <mergeCell ref="A49:H49"/>
    <mergeCell ref="F12:H12"/>
    <mergeCell ref="G8:H8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5:J50"/>
  <sheetViews>
    <sheetView topLeftCell="A4" zoomScaleNormal="100" workbookViewId="0">
      <selection activeCell="F11" sqref="F11:H11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45798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80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</v>
      </c>
      <c r="F10" s="12"/>
      <c r="G10" s="69">
        <f>+G7</f>
        <v>45798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D23" s="9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 t="s">
        <v>81</v>
      </c>
      <c r="D24" s="25"/>
      <c r="E24" s="14" t="s">
        <v>82</v>
      </c>
      <c r="F24" s="14"/>
      <c r="G24" s="48" t="s">
        <v>83</v>
      </c>
      <c r="H24" s="24"/>
    </row>
    <row r="25" spans="1:8" s="7" customFormat="1" ht="15" customHeight="1" x14ac:dyDescent="0.25">
      <c r="A25" s="49">
        <v>24</v>
      </c>
      <c r="B25" s="49" t="s">
        <v>84</v>
      </c>
      <c r="C25" s="50">
        <v>2023</v>
      </c>
      <c r="D25" s="51"/>
      <c r="E25" s="52">
        <v>8000</v>
      </c>
      <c r="F25" s="53" t="s">
        <v>85</v>
      </c>
      <c r="G25" s="53">
        <v>3</v>
      </c>
      <c r="H25" s="54">
        <f>+G25/10*485</f>
        <v>145.5</v>
      </c>
    </row>
    <row r="26" spans="1:8" s="7" customFormat="1" ht="8.25" customHeight="1" x14ac:dyDescent="0.25">
      <c r="A26" s="49"/>
      <c r="B26" s="49"/>
      <c r="C26" s="49"/>
      <c r="D26" s="49"/>
      <c r="E26" s="51"/>
      <c r="F26" s="53"/>
      <c r="G26" s="53"/>
      <c r="H26" s="54"/>
    </row>
    <row r="27" spans="1:8" s="7" customFormat="1" ht="15" customHeight="1" x14ac:dyDescent="0.25">
      <c r="A27" s="49">
        <v>24</v>
      </c>
      <c r="B27" s="49" t="s">
        <v>86</v>
      </c>
      <c r="C27" s="50">
        <f>+C25</f>
        <v>2023</v>
      </c>
      <c r="D27" s="51"/>
      <c r="E27" s="52">
        <v>8000</v>
      </c>
      <c r="F27" s="53" t="s">
        <v>85</v>
      </c>
      <c r="G27" s="53">
        <v>2</v>
      </c>
      <c r="H27" s="54">
        <f>+G27/10*485</f>
        <v>97</v>
      </c>
    </row>
    <row r="28" spans="1:8" s="7" customFormat="1" ht="8.25" customHeight="1" x14ac:dyDescent="0.25">
      <c r="A28" s="49"/>
      <c r="B28" s="49"/>
      <c r="C28" s="49"/>
      <c r="D28" s="49"/>
      <c r="E28" s="51"/>
      <c r="F28" s="53"/>
      <c r="G28" s="53"/>
      <c r="H28" s="54"/>
    </row>
    <row r="29" spans="1:8" s="7" customFormat="1" ht="15" customHeight="1" x14ac:dyDescent="0.25">
      <c r="A29" s="49">
        <v>24</v>
      </c>
      <c r="B29" s="49" t="s">
        <v>87</v>
      </c>
      <c r="C29" s="49"/>
      <c r="D29" s="51"/>
      <c r="E29" s="52">
        <v>8000</v>
      </c>
      <c r="F29" s="53" t="s">
        <v>85</v>
      </c>
      <c r="G29" s="53">
        <v>1</v>
      </c>
      <c r="H29" s="54">
        <f>+G29/10*485</f>
        <v>48.5</v>
      </c>
    </row>
    <row r="30" spans="1:8" s="7" customFormat="1" ht="15" customHeight="1" x14ac:dyDescent="0.25">
      <c r="A30" s="49"/>
      <c r="B30" s="49" t="s">
        <v>88</v>
      </c>
      <c r="C30" s="49"/>
      <c r="D30" s="51"/>
      <c r="E30" s="51"/>
      <c r="F30" s="53"/>
      <c r="G30" s="55"/>
      <c r="H30" s="54"/>
    </row>
    <row r="31" spans="1:8" s="7" customFormat="1" ht="8.25" customHeight="1" x14ac:dyDescent="0.25">
      <c r="A31" s="49"/>
      <c r="B31" s="49"/>
      <c r="C31" s="49"/>
      <c r="D31" s="49"/>
      <c r="E31" s="51"/>
      <c r="F31" s="53"/>
      <c r="G31" s="55"/>
      <c r="H31" s="54"/>
    </row>
    <row r="32" spans="1:8" s="7" customFormat="1" ht="15" customHeight="1" x14ac:dyDescent="0.25">
      <c r="A32" s="49">
        <v>25</v>
      </c>
      <c r="B32" s="49" t="s">
        <v>89</v>
      </c>
      <c r="C32" s="49"/>
      <c r="D32" s="49"/>
      <c r="E32" s="52">
        <v>57796.85</v>
      </c>
      <c r="F32" s="53" t="s">
        <v>85</v>
      </c>
      <c r="G32" s="55">
        <v>30</v>
      </c>
      <c r="H32" s="54">
        <f>+G32/10*286</f>
        <v>858</v>
      </c>
    </row>
    <row r="33" spans="1:10" s="7" customFormat="1" ht="15" customHeight="1" x14ac:dyDescent="0.25">
      <c r="A33" s="49"/>
      <c r="B33" s="49" t="s">
        <v>90</v>
      </c>
      <c r="C33" s="49"/>
      <c r="D33" s="49"/>
      <c r="E33" s="52"/>
      <c r="F33" s="53"/>
      <c r="G33" s="55"/>
      <c r="H33" s="54"/>
    </row>
    <row r="34" spans="1:10" s="7" customFormat="1" ht="15" customHeight="1" x14ac:dyDescent="0.25">
      <c r="A34" s="49"/>
      <c r="B34" s="49" t="s">
        <v>91</v>
      </c>
      <c r="C34" s="50">
        <f>+C27</f>
        <v>2023</v>
      </c>
      <c r="D34" s="49"/>
      <c r="E34" s="52"/>
      <c r="F34" s="53"/>
      <c r="G34" s="55"/>
      <c r="H34" s="54"/>
    </row>
    <row r="35" spans="1:10" s="7" customFormat="1" ht="6.75" customHeight="1" x14ac:dyDescent="0.25">
      <c r="A35" s="49"/>
      <c r="B35" s="49"/>
      <c r="C35" s="50"/>
      <c r="D35" s="51"/>
      <c r="E35" s="52"/>
      <c r="F35" s="53"/>
      <c r="G35" s="55"/>
      <c r="H35" s="54"/>
    </row>
    <row r="36" spans="1:10" s="7" customFormat="1" ht="15" customHeight="1" x14ac:dyDescent="0.25">
      <c r="A36" s="49"/>
      <c r="B36" s="49"/>
      <c r="C36" s="50"/>
      <c r="D36" s="49"/>
      <c r="E36" s="52"/>
      <c r="F36" s="53"/>
      <c r="G36" s="55"/>
      <c r="H36" s="54"/>
    </row>
    <row r="37" spans="1:10" s="7" customFormat="1" ht="15" customHeight="1" x14ac:dyDescent="0.25">
      <c r="A37" s="7">
        <v>16</v>
      </c>
      <c r="B37" s="7" t="s">
        <v>34</v>
      </c>
      <c r="E37" s="9">
        <f>SUM(H31:H33)*0.2</f>
        <v>171.60000000000002</v>
      </c>
      <c r="F37" s="27"/>
      <c r="G37" s="15">
        <v>0</v>
      </c>
      <c r="H37" s="56">
        <v>10</v>
      </c>
    </row>
    <row r="38" spans="1:10" s="7" customFormat="1" ht="15" customHeight="1" x14ac:dyDescent="0.25">
      <c r="A38" s="23"/>
      <c r="B38" s="23" t="s">
        <v>35</v>
      </c>
      <c r="C38" s="57"/>
      <c r="D38" s="23"/>
      <c r="E38" s="25"/>
      <c r="F38" s="14"/>
      <c r="G38" s="58"/>
      <c r="H38" s="59"/>
      <c r="I38" s="20"/>
      <c r="J38" s="20"/>
    </row>
    <row r="39" spans="1:10" s="7" customFormat="1" ht="15" customHeight="1" x14ac:dyDescent="0.25">
      <c r="A39" s="36" t="s">
        <v>92</v>
      </c>
      <c r="B39" s="8"/>
      <c r="E39" s="7" t="s">
        <v>36</v>
      </c>
      <c r="F39" s="8"/>
      <c r="G39" s="9"/>
      <c r="H39" s="20">
        <f>SUM(H25:H38)</f>
        <v>1159</v>
      </c>
    </row>
    <row r="40" spans="1:10" s="7" customFormat="1" ht="15" customHeight="1" x14ac:dyDescent="0.25">
      <c r="E40" s="37" t="s">
        <v>37</v>
      </c>
      <c r="F40" s="8"/>
      <c r="G40" s="9"/>
      <c r="H40" s="20">
        <f>+H39*0.19</f>
        <v>220.21</v>
      </c>
    </row>
    <row r="41" spans="1:10" s="7" customFormat="1" thickBot="1" x14ac:dyDescent="0.3">
      <c r="E41" s="38" t="s">
        <v>38</v>
      </c>
      <c r="F41" s="39"/>
      <c r="G41" s="40"/>
      <c r="H41" s="41">
        <f>SUM(H39:H40)</f>
        <v>1379.21</v>
      </c>
    </row>
    <row r="42" spans="1:10" s="7" customFormat="1" thickTop="1" x14ac:dyDescent="0.25">
      <c r="D42" s="45"/>
      <c r="E42" s="15"/>
      <c r="F42" s="16"/>
    </row>
    <row r="43" spans="1:10" s="7" customFormat="1" ht="15" customHeight="1" x14ac:dyDescent="0.25">
      <c r="A43" s="7" t="s">
        <v>93</v>
      </c>
      <c r="B43" s="8"/>
      <c r="D43" s="9"/>
      <c r="E43" s="15"/>
      <c r="F43" s="16"/>
    </row>
    <row r="44" spans="1:10" s="7" customFormat="1" ht="15" customHeight="1" x14ac:dyDescent="0.25">
      <c r="D44" s="9"/>
      <c r="E44" s="15"/>
      <c r="F44" s="16"/>
    </row>
    <row r="45" spans="1:10" s="7" customFormat="1" ht="15" customHeight="1" x14ac:dyDescent="0.25">
      <c r="D45" s="9"/>
      <c r="E45" s="15"/>
      <c r="F45" s="16"/>
    </row>
    <row r="46" spans="1:10" x14ac:dyDescent="0.25">
      <c r="B46" s="23"/>
      <c r="F46" s="3"/>
      <c r="G46" s="42"/>
    </row>
    <row r="50" spans="1:8" x14ac:dyDescent="0.25">
      <c r="A50" s="73" t="s">
        <v>54</v>
      </c>
      <c r="B50" s="74"/>
      <c r="C50" s="74"/>
      <c r="D50" s="75"/>
      <c r="E50" s="76"/>
      <c r="F50" s="77"/>
      <c r="G50" s="74"/>
      <c r="H50" s="74"/>
    </row>
  </sheetData>
  <mergeCells count="11">
    <mergeCell ref="A50:H50"/>
    <mergeCell ref="F11:H11"/>
    <mergeCell ref="G7:H7"/>
    <mergeCell ref="E7:F7"/>
    <mergeCell ref="G10:H10"/>
    <mergeCell ref="F12:H12"/>
    <mergeCell ref="G8:H8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J49"/>
  <sheetViews>
    <sheetView zoomScaleNormal="100" workbookViewId="0">
      <selection activeCell="G10" sqref="G10:H10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45876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94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95</v>
      </c>
      <c r="F10" s="12"/>
      <c r="G10" s="69">
        <f>+C28</f>
        <v>45869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/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52</v>
      </c>
      <c r="C25" s="26"/>
      <c r="D25" s="26"/>
    </row>
    <row r="26" spans="1:8" s="7" customFormat="1" ht="15" customHeight="1" x14ac:dyDescent="0.25">
      <c r="B26" s="60">
        <v>45748</v>
      </c>
      <c r="C26" s="33">
        <v>45818</v>
      </c>
      <c r="D26" s="33"/>
      <c r="E26" s="27">
        <v>104000</v>
      </c>
      <c r="F26" s="10" t="s">
        <v>26</v>
      </c>
      <c r="G26" s="28">
        <v>1.1000000000000001</v>
      </c>
      <c r="H26" s="20">
        <f>G26*177</f>
        <v>194.70000000000002</v>
      </c>
    </row>
    <row r="27" spans="1:8" s="7" customFormat="1" ht="15" customHeight="1" x14ac:dyDescent="0.25">
      <c r="B27" s="60">
        <v>45778</v>
      </c>
      <c r="C27" s="33">
        <v>45835</v>
      </c>
      <c r="D27" s="33"/>
      <c r="E27" s="27">
        <f>+E26</f>
        <v>104000</v>
      </c>
      <c r="F27" s="10" t="s">
        <v>26</v>
      </c>
      <c r="G27" s="28">
        <f>+G26</f>
        <v>1.1000000000000001</v>
      </c>
      <c r="H27" s="20">
        <f>+H26</f>
        <v>194.70000000000002</v>
      </c>
    </row>
    <row r="28" spans="1:8" s="7" customFormat="1" ht="15" customHeight="1" x14ac:dyDescent="0.25">
      <c r="B28" s="60">
        <v>45809</v>
      </c>
      <c r="C28" s="33">
        <v>45869</v>
      </c>
      <c r="D28" s="33"/>
      <c r="E28" s="27">
        <f>+E27</f>
        <v>104000</v>
      </c>
      <c r="F28" s="10" t="s">
        <v>26</v>
      </c>
      <c r="G28" s="28">
        <f>+G27</f>
        <v>1.1000000000000001</v>
      </c>
      <c r="H28" s="20">
        <f>+H27</f>
        <v>194.70000000000002</v>
      </c>
    </row>
    <row r="29" spans="1:8" s="7" customFormat="1" ht="15" customHeight="1" x14ac:dyDescent="0.25">
      <c r="C29" s="33"/>
      <c r="D29" s="33"/>
      <c r="E29" s="27"/>
      <c r="F29" s="10"/>
      <c r="G29" s="30"/>
      <c r="H29" s="20"/>
    </row>
    <row r="30" spans="1:8" s="7" customFormat="1" ht="15" customHeight="1" x14ac:dyDescent="0.25">
      <c r="C30" s="33"/>
      <c r="D30" s="33"/>
      <c r="E30" s="27"/>
      <c r="F30" s="10"/>
      <c r="G30" s="30"/>
      <c r="H30" s="20"/>
    </row>
    <row r="31" spans="1:8" s="7" customFormat="1" ht="15" customHeight="1" x14ac:dyDescent="0.25">
      <c r="C31" s="33"/>
      <c r="D31" s="33"/>
      <c r="E31" s="27"/>
      <c r="F31" s="10"/>
      <c r="G31" s="30"/>
      <c r="H31" s="20"/>
    </row>
    <row r="32" spans="1:8" s="7" customFormat="1" ht="15" customHeight="1" x14ac:dyDescent="0.25">
      <c r="C32" s="33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SUM(H26:H35)*0.2</f>
        <v>116.82000000000001</v>
      </c>
      <c r="F36" s="15"/>
      <c r="G36" s="30"/>
      <c r="H36" s="20">
        <v>30</v>
      </c>
    </row>
    <row r="37" spans="1:10" s="7" customFormat="1" ht="15" customHeight="1" x14ac:dyDescent="0.25">
      <c r="A37" s="23"/>
      <c r="B37" s="23" t="s">
        <v>35</v>
      </c>
      <c r="C37" s="23"/>
      <c r="D37" s="23"/>
      <c r="E37" s="34"/>
      <c r="F37" s="14"/>
      <c r="G37" s="25"/>
      <c r="H37" s="35"/>
    </row>
    <row r="38" spans="1:10" s="7" customFormat="1" ht="15" customHeight="1" x14ac:dyDescent="0.25">
      <c r="A38" s="36" t="s">
        <v>92</v>
      </c>
      <c r="E38" s="7" t="s">
        <v>36</v>
      </c>
      <c r="F38" s="8"/>
      <c r="G38" s="9"/>
      <c r="H38" s="20">
        <f>SUM(H26:H37)</f>
        <v>614.1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116.679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730.779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9" spans="1:8" x14ac:dyDescent="0.25">
      <c r="A49" s="73" t="s">
        <v>54</v>
      </c>
      <c r="B49" s="74"/>
      <c r="C49" s="74"/>
      <c r="D49" s="75"/>
      <c r="E49" s="76"/>
      <c r="F49" s="77"/>
      <c r="G49" s="74"/>
      <c r="H49" s="74"/>
    </row>
  </sheetData>
  <mergeCells count="11">
    <mergeCell ref="G7:H7"/>
    <mergeCell ref="E7:F7"/>
    <mergeCell ref="G10:H10"/>
    <mergeCell ref="E8:F8"/>
    <mergeCell ref="A49:H49"/>
    <mergeCell ref="F12:H12"/>
    <mergeCell ref="G8:H8"/>
    <mergeCell ref="G9:H9"/>
    <mergeCell ref="E9:F9"/>
    <mergeCell ref="F11:H11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J49"/>
  <sheetViews>
    <sheetView topLeftCell="A4" zoomScaleNormal="100" workbookViewId="0">
      <selection activeCell="G10" sqref="G10:H10"/>
    </sheetView>
  </sheetViews>
  <sheetFormatPr baseColWidth="10" defaultColWidth="11.5703125" defaultRowHeight="15.75" x14ac:dyDescent="0.25"/>
  <cols>
    <col min="1" max="1" width="3.5703125" style="6" customWidth="1"/>
    <col min="2" max="2" width="25.5703125" style="6" customWidth="1"/>
    <col min="3" max="3" width="11" style="6" customWidth="1"/>
    <col min="4" max="4" width="3.42578125" style="3" customWidth="1"/>
    <col min="5" max="5" width="12.28515625" style="4" customWidth="1"/>
    <col min="6" max="6" width="9.140625" style="5" customWidth="1"/>
    <col min="7" max="7" width="9.85546875" style="6" customWidth="1"/>
    <col min="8" max="8" width="11.140625" style="6" customWidth="1"/>
    <col min="9" max="9" width="1.28515625" style="6" customWidth="1"/>
    <col min="10" max="256" width="11.5703125" style="6" customWidth="1"/>
    <col min="257" max="257" width="3.5703125" style="6" customWidth="1"/>
    <col min="258" max="258" width="27.5703125" style="6" customWidth="1"/>
    <col min="259" max="259" width="9.85546875" style="6" customWidth="1"/>
    <col min="260" max="260" width="3.42578125" style="6" customWidth="1"/>
    <col min="261" max="261" width="12.28515625" style="6" customWidth="1"/>
    <col min="262" max="262" width="9.140625" style="6" customWidth="1"/>
    <col min="263" max="263" width="9.85546875" style="6" customWidth="1"/>
    <col min="264" max="264" width="11.140625" style="6" customWidth="1"/>
    <col min="265" max="265" width="1.28515625" style="6" customWidth="1"/>
    <col min="266" max="512" width="11.5703125" style="6" customWidth="1"/>
    <col min="513" max="513" width="3.5703125" style="6" customWidth="1"/>
    <col min="514" max="514" width="27.5703125" style="6" customWidth="1"/>
    <col min="515" max="515" width="9.85546875" style="6" customWidth="1"/>
    <col min="516" max="516" width="3.42578125" style="6" customWidth="1"/>
    <col min="517" max="517" width="12.28515625" style="6" customWidth="1"/>
    <col min="518" max="518" width="9.140625" style="6" customWidth="1"/>
    <col min="519" max="519" width="9.85546875" style="6" customWidth="1"/>
    <col min="520" max="520" width="11.140625" style="6" customWidth="1"/>
    <col min="521" max="521" width="1.28515625" style="6" customWidth="1"/>
    <col min="522" max="768" width="11.5703125" style="6" customWidth="1"/>
    <col min="769" max="769" width="3.5703125" style="6" customWidth="1"/>
    <col min="770" max="770" width="27.5703125" style="6" customWidth="1"/>
    <col min="771" max="771" width="9.85546875" style="6" customWidth="1"/>
    <col min="772" max="772" width="3.42578125" style="6" customWidth="1"/>
    <col min="773" max="773" width="12.28515625" style="6" customWidth="1"/>
    <col min="774" max="774" width="9.140625" style="6" customWidth="1"/>
    <col min="775" max="775" width="9.85546875" style="6" customWidth="1"/>
    <col min="776" max="776" width="11.140625" style="6" customWidth="1"/>
    <col min="777" max="777" width="1.28515625" style="6" customWidth="1"/>
    <col min="778" max="1024" width="11.5703125" style="6" customWidth="1"/>
    <col min="1025" max="1025" width="3.5703125" style="6" customWidth="1"/>
    <col min="1026" max="1026" width="27.5703125" style="6" customWidth="1"/>
    <col min="1027" max="1027" width="9.85546875" style="6" customWidth="1"/>
    <col min="1028" max="1028" width="3.42578125" style="6" customWidth="1"/>
    <col min="1029" max="1029" width="12.28515625" style="6" customWidth="1"/>
    <col min="1030" max="1030" width="9.140625" style="6" customWidth="1"/>
    <col min="1031" max="1031" width="9.85546875" style="6" customWidth="1"/>
    <col min="1032" max="1032" width="11.140625" style="6" customWidth="1"/>
    <col min="1033" max="1033" width="1.28515625" style="6" customWidth="1"/>
    <col min="1034" max="1280" width="11.5703125" style="6" customWidth="1"/>
    <col min="1281" max="1281" width="3.5703125" style="6" customWidth="1"/>
    <col min="1282" max="1282" width="27.5703125" style="6" customWidth="1"/>
    <col min="1283" max="1283" width="9.85546875" style="6" customWidth="1"/>
    <col min="1284" max="1284" width="3.42578125" style="6" customWidth="1"/>
    <col min="1285" max="1285" width="12.28515625" style="6" customWidth="1"/>
    <col min="1286" max="1286" width="9.140625" style="6" customWidth="1"/>
    <col min="1287" max="1287" width="9.85546875" style="6" customWidth="1"/>
    <col min="1288" max="1288" width="11.140625" style="6" customWidth="1"/>
    <col min="1289" max="1289" width="1.28515625" style="6" customWidth="1"/>
    <col min="1290" max="1536" width="11.5703125" style="6" customWidth="1"/>
    <col min="1537" max="1537" width="3.5703125" style="6" customWidth="1"/>
    <col min="1538" max="1538" width="27.5703125" style="6" customWidth="1"/>
    <col min="1539" max="1539" width="9.85546875" style="6" customWidth="1"/>
    <col min="1540" max="1540" width="3.42578125" style="6" customWidth="1"/>
    <col min="1541" max="1541" width="12.28515625" style="6" customWidth="1"/>
    <col min="1542" max="1542" width="9.140625" style="6" customWidth="1"/>
    <col min="1543" max="1543" width="9.85546875" style="6" customWidth="1"/>
    <col min="1544" max="1544" width="11.140625" style="6" customWidth="1"/>
    <col min="1545" max="1545" width="1.28515625" style="6" customWidth="1"/>
    <col min="1546" max="1792" width="11.5703125" style="6" customWidth="1"/>
    <col min="1793" max="1793" width="3.5703125" style="6" customWidth="1"/>
    <col min="1794" max="1794" width="27.5703125" style="6" customWidth="1"/>
    <col min="1795" max="1795" width="9.85546875" style="6" customWidth="1"/>
    <col min="1796" max="1796" width="3.42578125" style="6" customWidth="1"/>
    <col min="1797" max="1797" width="12.28515625" style="6" customWidth="1"/>
    <col min="1798" max="1798" width="9.140625" style="6" customWidth="1"/>
    <col min="1799" max="1799" width="9.85546875" style="6" customWidth="1"/>
    <col min="1800" max="1800" width="11.140625" style="6" customWidth="1"/>
    <col min="1801" max="1801" width="1.28515625" style="6" customWidth="1"/>
    <col min="1802" max="2048" width="11.5703125" style="6" customWidth="1"/>
    <col min="2049" max="2049" width="3.5703125" style="6" customWidth="1"/>
    <col min="2050" max="2050" width="27.5703125" style="6" customWidth="1"/>
    <col min="2051" max="2051" width="9.85546875" style="6" customWidth="1"/>
    <col min="2052" max="2052" width="3.42578125" style="6" customWidth="1"/>
    <col min="2053" max="2053" width="12.28515625" style="6" customWidth="1"/>
    <col min="2054" max="2054" width="9.140625" style="6" customWidth="1"/>
    <col min="2055" max="2055" width="9.85546875" style="6" customWidth="1"/>
    <col min="2056" max="2056" width="11.140625" style="6" customWidth="1"/>
    <col min="2057" max="2057" width="1.28515625" style="6" customWidth="1"/>
    <col min="2058" max="2304" width="11.5703125" style="6" customWidth="1"/>
    <col min="2305" max="2305" width="3.5703125" style="6" customWidth="1"/>
    <col min="2306" max="2306" width="27.5703125" style="6" customWidth="1"/>
    <col min="2307" max="2307" width="9.85546875" style="6" customWidth="1"/>
    <col min="2308" max="2308" width="3.42578125" style="6" customWidth="1"/>
    <col min="2309" max="2309" width="12.28515625" style="6" customWidth="1"/>
    <col min="2310" max="2310" width="9.140625" style="6" customWidth="1"/>
    <col min="2311" max="2311" width="9.85546875" style="6" customWidth="1"/>
    <col min="2312" max="2312" width="11.140625" style="6" customWidth="1"/>
    <col min="2313" max="2313" width="1.28515625" style="6" customWidth="1"/>
    <col min="2314" max="2560" width="11.5703125" style="6" customWidth="1"/>
    <col min="2561" max="2561" width="3.5703125" style="6" customWidth="1"/>
    <col min="2562" max="2562" width="27.5703125" style="6" customWidth="1"/>
    <col min="2563" max="2563" width="9.85546875" style="6" customWidth="1"/>
    <col min="2564" max="2564" width="3.42578125" style="6" customWidth="1"/>
    <col min="2565" max="2565" width="12.28515625" style="6" customWidth="1"/>
    <col min="2566" max="2566" width="9.140625" style="6" customWidth="1"/>
    <col min="2567" max="2567" width="9.85546875" style="6" customWidth="1"/>
    <col min="2568" max="2568" width="11.140625" style="6" customWidth="1"/>
    <col min="2569" max="2569" width="1.28515625" style="6" customWidth="1"/>
    <col min="2570" max="2816" width="11.5703125" style="6" customWidth="1"/>
    <col min="2817" max="2817" width="3.5703125" style="6" customWidth="1"/>
    <col min="2818" max="2818" width="27.5703125" style="6" customWidth="1"/>
    <col min="2819" max="2819" width="9.85546875" style="6" customWidth="1"/>
    <col min="2820" max="2820" width="3.42578125" style="6" customWidth="1"/>
    <col min="2821" max="2821" width="12.28515625" style="6" customWidth="1"/>
    <col min="2822" max="2822" width="9.140625" style="6" customWidth="1"/>
    <col min="2823" max="2823" width="9.85546875" style="6" customWidth="1"/>
    <col min="2824" max="2824" width="11.140625" style="6" customWidth="1"/>
    <col min="2825" max="2825" width="1.28515625" style="6" customWidth="1"/>
    <col min="2826" max="3072" width="11.5703125" style="6" customWidth="1"/>
    <col min="3073" max="3073" width="3.5703125" style="6" customWidth="1"/>
    <col min="3074" max="3074" width="27.5703125" style="6" customWidth="1"/>
    <col min="3075" max="3075" width="9.85546875" style="6" customWidth="1"/>
    <col min="3076" max="3076" width="3.42578125" style="6" customWidth="1"/>
    <col min="3077" max="3077" width="12.28515625" style="6" customWidth="1"/>
    <col min="3078" max="3078" width="9.140625" style="6" customWidth="1"/>
    <col min="3079" max="3079" width="9.85546875" style="6" customWidth="1"/>
    <col min="3080" max="3080" width="11.140625" style="6" customWidth="1"/>
    <col min="3081" max="3081" width="1.28515625" style="6" customWidth="1"/>
    <col min="3082" max="3328" width="11.5703125" style="6" customWidth="1"/>
    <col min="3329" max="3329" width="3.5703125" style="6" customWidth="1"/>
    <col min="3330" max="3330" width="27.5703125" style="6" customWidth="1"/>
    <col min="3331" max="3331" width="9.85546875" style="6" customWidth="1"/>
    <col min="3332" max="3332" width="3.42578125" style="6" customWidth="1"/>
    <col min="3333" max="3333" width="12.28515625" style="6" customWidth="1"/>
    <col min="3334" max="3334" width="9.140625" style="6" customWidth="1"/>
    <col min="3335" max="3335" width="9.85546875" style="6" customWidth="1"/>
    <col min="3336" max="3336" width="11.140625" style="6" customWidth="1"/>
    <col min="3337" max="3337" width="1.28515625" style="6" customWidth="1"/>
    <col min="3338" max="3584" width="11.5703125" style="6" customWidth="1"/>
    <col min="3585" max="3585" width="3.5703125" style="6" customWidth="1"/>
    <col min="3586" max="3586" width="27.5703125" style="6" customWidth="1"/>
    <col min="3587" max="3587" width="9.85546875" style="6" customWidth="1"/>
    <col min="3588" max="3588" width="3.42578125" style="6" customWidth="1"/>
    <col min="3589" max="3589" width="12.28515625" style="6" customWidth="1"/>
    <col min="3590" max="3590" width="9.140625" style="6" customWidth="1"/>
    <col min="3591" max="3591" width="9.85546875" style="6" customWidth="1"/>
    <col min="3592" max="3592" width="11.140625" style="6" customWidth="1"/>
    <col min="3593" max="3593" width="1.28515625" style="6" customWidth="1"/>
    <col min="3594" max="3840" width="11.5703125" style="6" customWidth="1"/>
    <col min="3841" max="3841" width="3.5703125" style="6" customWidth="1"/>
    <col min="3842" max="3842" width="27.5703125" style="6" customWidth="1"/>
    <col min="3843" max="3843" width="9.85546875" style="6" customWidth="1"/>
    <col min="3844" max="3844" width="3.42578125" style="6" customWidth="1"/>
    <col min="3845" max="3845" width="12.28515625" style="6" customWidth="1"/>
    <col min="3846" max="3846" width="9.140625" style="6" customWidth="1"/>
    <col min="3847" max="3847" width="9.85546875" style="6" customWidth="1"/>
    <col min="3848" max="3848" width="11.140625" style="6" customWidth="1"/>
    <col min="3849" max="3849" width="1.28515625" style="6" customWidth="1"/>
    <col min="3850" max="4096" width="11.5703125" style="6" customWidth="1"/>
    <col min="4097" max="4097" width="3.5703125" style="6" customWidth="1"/>
    <col min="4098" max="4098" width="27.5703125" style="6" customWidth="1"/>
    <col min="4099" max="4099" width="9.85546875" style="6" customWidth="1"/>
    <col min="4100" max="4100" width="3.42578125" style="6" customWidth="1"/>
    <col min="4101" max="4101" width="12.28515625" style="6" customWidth="1"/>
    <col min="4102" max="4102" width="9.140625" style="6" customWidth="1"/>
    <col min="4103" max="4103" width="9.85546875" style="6" customWidth="1"/>
    <col min="4104" max="4104" width="11.140625" style="6" customWidth="1"/>
    <col min="4105" max="4105" width="1.28515625" style="6" customWidth="1"/>
    <col min="4106" max="4352" width="11.5703125" style="6" customWidth="1"/>
    <col min="4353" max="4353" width="3.5703125" style="6" customWidth="1"/>
    <col min="4354" max="4354" width="27.5703125" style="6" customWidth="1"/>
    <col min="4355" max="4355" width="9.85546875" style="6" customWidth="1"/>
    <col min="4356" max="4356" width="3.42578125" style="6" customWidth="1"/>
    <col min="4357" max="4357" width="12.28515625" style="6" customWidth="1"/>
    <col min="4358" max="4358" width="9.140625" style="6" customWidth="1"/>
    <col min="4359" max="4359" width="9.85546875" style="6" customWidth="1"/>
    <col min="4360" max="4360" width="11.140625" style="6" customWidth="1"/>
    <col min="4361" max="4361" width="1.28515625" style="6" customWidth="1"/>
    <col min="4362" max="4608" width="11.5703125" style="6" customWidth="1"/>
    <col min="4609" max="4609" width="3.5703125" style="6" customWidth="1"/>
    <col min="4610" max="4610" width="27.5703125" style="6" customWidth="1"/>
    <col min="4611" max="4611" width="9.85546875" style="6" customWidth="1"/>
    <col min="4612" max="4612" width="3.42578125" style="6" customWidth="1"/>
    <col min="4613" max="4613" width="12.28515625" style="6" customWidth="1"/>
    <col min="4614" max="4614" width="9.140625" style="6" customWidth="1"/>
    <col min="4615" max="4615" width="9.85546875" style="6" customWidth="1"/>
    <col min="4616" max="4616" width="11.140625" style="6" customWidth="1"/>
    <col min="4617" max="4617" width="1.28515625" style="6" customWidth="1"/>
    <col min="4618" max="4864" width="11.5703125" style="6" customWidth="1"/>
    <col min="4865" max="4865" width="3.5703125" style="6" customWidth="1"/>
    <col min="4866" max="4866" width="27.5703125" style="6" customWidth="1"/>
    <col min="4867" max="4867" width="9.85546875" style="6" customWidth="1"/>
    <col min="4868" max="4868" width="3.42578125" style="6" customWidth="1"/>
    <col min="4869" max="4869" width="12.28515625" style="6" customWidth="1"/>
    <col min="4870" max="4870" width="9.140625" style="6" customWidth="1"/>
    <col min="4871" max="4871" width="9.85546875" style="6" customWidth="1"/>
    <col min="4872" max="4872" width="11.140625" style="6" customWidth="1"/>
    <col min="4873" max="4873" width="1.28515625" style="6" customWidth="1"/>
    <col min="4874" max="5120" width="11.5703125" style="6" customWidth="1"/>
    <col min="5121" max="5121" width="3.5703125" style="6" customWidth="1"/>
    <col min="5122" max="5122" width="27.5703125" style="6" customWidth="1"/>
    <col min="5123" max="5123" width="9.85546875" style="6" customWidth="1"/>
    <col min="5124" max="5124" width="3.42578125" style="6" customWidth="1"/>
    <col min="5125" max="5125" width="12.28515625" style="6" customWidth="1"/>
    <col min="5126" max="5126" width="9.140625" style="6" customWidth="1"/>
    <col min="5127" max="5127" width="9.85546875" style="6" customWidth="1"/>
    <col min="5128" max="5128" width="11.140625" style="6" customWidth="1"/>
    <col min="5129" max="5129" width="1.28515625" style="6" customWidth="1"/>
    <col min="5130" max="5376" width="11.5703125" style="6" customWidth="1"/>
    <col min="5377" max="5377" width="3.5703125" style="6" customWidth="1"/>
    <col min="5378" max="5378" width="27.5703125" style="6" customWidth="1"/>
    <col min="5379" max="5379" width="9.85546875" style="6" customWidth="1"/>
    <col min="5380" max="5380" width="3.42578125" style="6" customWidth="1"/>
    <col min="5381" max="5381" width="12.28515625" style="6" customWidth="1"/>
    <col min="5382" max="5382" width="9.140625" style="6" customWidth="1"/>
    <col min="5383" max="5383" width="9.85546875" style="6" customWidth="1"/>
    <col min="5384" max="5384" width="11.140625" style="6" customWidth="1"/>
    <col min="5385" max="5385" width="1.28515625" style="6" customWidth="1"/>
    <col min="5386" max="5632" width="11.5703125" style="6" customWidth="1"/>
    <col min="5633" max="5633" width="3.5703125" style="6" customWidth="1"/>
    <col min="5634" max="5634" width="27.5703125" style="6" customWidth="1"/>
    <col min="5635" max="5635" width="9.85546875" style="6" customWidth="1"/>
    <col min="5636" max="5636" width="3.42578125" style="6" customWidth="1"/>
    <col min="5637" max="5637" width="12.28515625" style="6" customWidth="1"/>
    <col min="5638" max="5638" width="9.140625" style="6" customWidth="1"/>
    <col min="5639" max="5639" width="9.85546875" style="6" customWidth="1"/>
    <col min="5640" max="5640" width="11.140625" style="6" customWidth="1"/>
    <col min="5641" max="5641" width="1.28515625" style="6" customWidth="1"/>
    <col min="5642" max="5888" width="11.5703125" style="6" customWidth="1"/>
    <col min="5889" max="5889" width="3.5703125" style="6" customWidth="1"/>
    <col min="5890" max="5890" width="27.5703125" style="6" customWidth="1"/>
    <col min="5891" max="5891" width="9.85546875" style="6" customWidth="1"/>
    <col min="5892" max="5892" width="3.42578125" style="6" customWidth="1"/>
    <col min="5893" max="5893" width="12.28515625" style="6" customWidth="1"/>
    <col min="5894" max="5894" width="9.140625" style="6" customWidth="1"/>
    <col min="5895" max="5895" width="9.85546875" style="6" customWidth="1"/>
    <col min="5896" max="5896" width="11.140625" style="6" customWidth="1"/>
    <col min="5897" max="5897" width="1.28515625" style="6" customWidth="1"/>
    <col min="5898" max="6144" width="11.5703125" style="6" customWidth="1"/>
    <col min="6145" max="6145" width="3.5703125" style="6" customWidth="1"/>
    <col min="6146" max="6146" width="27.5703125" style="6" customWidth="1"/>
    <col min="6147" max="6147" width="9.85546875" style="6" customWidth="1"/>
    <col min="6148" max="6148" width="3.42578125" style="6" customWidth="1"/>
    <col min="6149" max="6149" width="12.28515625" style="6" customWidth="1"/>
    <col min="6150" max="6150" width="9.140625" style="6" customWidth="1"/>
    <col min="6151" max="6151" width="9.85546875" style="6" customWidth="1"/>
    <col min="6152" max="6152" width="11.140625" style="6" customWidth="1"/>
    <col min="6153" max="6153" width="1.28515625" style="6" customWidth="1"/>
    <col min="6154" max="6400" width="11.5703125" style="6" customWidth="1"/>
    <col min="6401" max="6401" width="3.5703125" style="6" customWidth="1"/>
    <col min="6402" max="6402" width="27.5703125" style="6" customWidth="1"/>
    <col min="6403" max="6403" width="9.85546875" style="6" customWidth="1"/>
    <col min="6404" max="6404" width="3.42578125" style="6" customWidth="1"/>
    <col min="6405" max="6405" width="12.28515625" style="6" customWidth="1"/>
    <col min="6406" max="6406" width="9.140625" style="6" customWidth="1"/>
    <col min="6407" max="6407" width="9.85546875" style="6" customWidth="1"/>
    <col min="6408" max="6408" width="11.140625" style="6" customWidth="1"/>
    <col min="6409" max="6409" width="1.28515625" style="6" customWidth="1"/>
    <col min="6410" max="6656" width="11.5703125" style="6" customWidth="1"/>
    <col min="6657" max="6657" width="3.5703125" style="6" customWidth="1"/>
    <col min="6658" max="6658" width="27.5703125" style="6" customWidth="1"/>
    <col min="6659" max="6659" width="9.85546875" style="6" customWidth="1"/>
    <col min="6660" max="6660" width="3.42578125" style="6" customWidth="1"/>
    <col min="6661" max="6661" width="12.28515625" style="6" customWidth="1"/>
    <col min="6662" max="6662" width="9.140625" style="6" customWidth="1"/>
    <col min="6663" max="6663" width="9.85546875" style="6" customWidth="1"/>
    <col min="6664" max="6664" width="11.140625" style="6" customWidth="1"/>
    <col min="6665" max="6665" width="1.28515625" style="6" customWidth="1"/>
    <col min="6666" max="6912" width="11.5703125" style="6" customWidth="1"/>
    <col min="6913" max="6913" width="3.5703125" style="6" customWidth="1"/>
    <col min="6914" max="6914" width="27.5703125" style="6" customWidth="1"/>
    <col min="6915" max="6915" width="9.85546875" style="6" customWidth="1"/>
    <col min="6916" max="6916" width="3.42578125" style="6" customWidth="1"/>
    <col min="6917" max="6917" width="12.28515625" style="6" customWidth="1"/>
    <col min="6918" max="6918" width="9.140625" style="6" customWidth="1"/>
    <col min="6919" max="6919" width="9.85546875" style="6" customWidth="1"/>
    <col min="6920" max="6920" width="11.140625" style="6" customWidth="1"/>
    <col min="6921" max="6921" width="1.28515625" style="6" customWidth="1"/>
    <col min="6922" max="7168" width="11.5703125" style="6" customWidth="1"/>
    <col min="7169" max="7169" width="3.5703125" style="6" customWidth="1"/>
    <col min="7170" max="7170" width="27.5703125" style="6" customWidth="1"/>
    <col min="7171" max="7171" width="9.85546875" style="6" customWidth="1"/>
    <col min="7172" max="7172" width="3.42578125" style="6" customWidth="1"/>
    <col min="7173" max="7173" width="12.28515625" style="6" customWidth="1"/>
    <col min="7174" max="7174" width="9.140625" style="6" customWidth="1"/>
    <col min="7175" max="7175" width="9.85546875" style="6" customWidth="1"/>
    <col min="7176" max="7176" width="11.140625" style="6" customWidth="1"/>
    <col min="7177" max="7177" width="1.28515625" style="6" customWidth="1"/>
    <col min="7178" max="7424" width="11.5703125" style="6" customWidth="1"/>
    <col min="7425" max="7425" width="3.5703125" style="6" customWidth="1"/>
    <col min="7426" max="7426" width="27.5703125" style="6" customWidth="1"/>
    <col min="7427" max="7427" width="9.85546875" style="6" customWidth="1"/>
    <col min="7428" max="7428" width="3.42578125" style="6" customWidth="1"/>
    <col min="7429" max="7429" width="12.28515625" style="6" customWidth="1"/>
    <col min="7430" max="7430" width="9.140625" style="6" customWidth="1"/>
    <col min="7431" max="7431" width="9.85546875" style="6" customWidth="1"/>
    <col min="7432" max="7432" width="11.140625" style="6" customWidth="1"/>
    <col min="7433" max="7433" width="1.28515625" style="6" customWidth="1"/>
    <col min="7434" max="7680" width="11.5703125" style="6" customWidth="1"/>
    <col min="7681" max="7681" width="3.5703125" style="6" customWidth="1"/>
    <col min="7682" max="7682" width="27.5703125" style="6" customWidth="1"/>
    <col min="7683" max="7683" width="9.85546875" style="6" customWidth="1"/>
    <col min="7684" max="7684" width="3.42578125" style="6" customWidth="1"/>
    <col min="7685" max="7685" width="12.28515625" style="6" customWidth="1"/>
    <col min="7686" max="7686" width="9.140625" style="6" customWidth="1"/>
    <col min="7687" max="7687" width="9.85546875" style="6" customWidth="1"/>
    <col min="7688" max="7688" width="11.140625" style="6" customWidth="1"/>
    <col min="7689" max="7689" width="1.28515625" style="6" customWidth="1"/>
    <col min="7690" max="7936" width="11.5703125" style="6" customWidth="1"/>
    <col min="7937" max="7937" width="3.5703125" style="6" customWidth="1"/>
    <col min="7938" max="7938" width="27.5703125" style="6" customWidth="1"/>
    <col min="7939" max="7939" width="9.85546875" style="6" customWidth="1"/>
    <col min="7940" max="7940" width="3.42578125" style="6" customWidth="1"/>
    <col min="7941" max="7941" width="12.28515625" style="6" customWidth="1"/>
    <col min="7942" max="7942" width="9.140625" style="6" customWidth="1"/>
    <col min="7943" max="7943" width="9.85546875" style="6" customWidth="1"/>
    <col min="7944" max="7944" width="11.140625" style="6" customWidth="1"/>
    <col min="7945" max="7945" width="1.28515625" style="6" customWidth="1"/>
    <col min="7946" max="8192" width="11.5703125" style="6" customWidth="1"/>
    <col min="8193" max="8193" width="3.5703125" style="6" customWidth="1"/>
    <col min="8194" max="8194" width="27.5703125" style="6" customWidth="1"/>
    <col min="8195" max="8195" width="9.85546875" style="6" customWidth="1"/>
    <col min="8196" max="8196" width="3.42578125" style="6" customWidth="1"/>
    <col min="8197" max="8197" width="12.28515625" style="6" customWidth="1"/>
    <col min="8198" max="8198" width="9.140625" style="6" customWidth="1"/>
    <col min="8199" max="8199" width="9.85546875" style="6" customWidth="1"/>
    <col min="8200" max="8200" width="11.140625" style="6" customWidth="1"/>
    <col min="8201" max="8201" width="1.28515625" style="6" customWidth="1"/>
    <col min="8202" max="8448" width="11.5703125" style="6" customWidth="1"/>
    <col min="8449" max="8449" width="3.5703125" style="6" customWidth="1"/>
    <col min="8450" max="8450" width="27.5703125" style="6" customWidth="1"/>
    <col min="8451" max="8451" width="9.85546875" style="6" customWidth="1"/>
    <col min="8452" max="8452" width="3.42578125" style="6" customWidth="1"/>
    <col min="8453" max="8453" width="12.28515625" style="6" customWidth="1"/>
    <col min="8454" max="8454" width="9.140625" style="6" customWidth="1"/>
    <col min="8455" max="8455" width="9.85546875" style="6" customWidth="1"/>
    <col min="8456" max="8456" width="11.140625" style="6" customWidth="1"/>
    <col min="8457" max="8457" width="1.28515625" style="6" customWidth="1"/>
    <col min="8458" max="8704" width="11.5703125" style="6" customWidth="1"/>
    <col min="8705" max="8705" width="3.5703125" style="6" customWidth="1"/>
    <col min="8706" max="8706" width="27.5703125" style="6" customWidth="1"/>
    <col min="8707" max="8707" width="9.85546875" style="6" customWidth="1"/>
    <col min="8708" max="8708" width="3.42578125" style="6" customWidth="1"/>
    <col min="8709" max="8709" width="12.28515625" style="6" customWidth="1"/>
    <col min="8710" max="8710" width="9.140625" style="6" customWidth="1"/>
    <col min="8711" max="8711" width="9.85546875" style="6" customWidth="1"/>
    <col min="8712" max="8712" width="11.140625" style="6" customWidth="1"/>
    <col min="8713" max="8713" width="1.28515625" style="6" customWidth="1"/>
    <col min="8714" max="8960" width="11.5703125" style="6" customWidth="1"/>
    <col min="8961" max="8961" width="3.5703125" style="6" customWidth="1"/>
    <col min="8962" max="8962" width="27.5703125" style="6" customWidth="1"/>
    <col min="8963" max="8963" width="9.85546875" style="6" customWidth="1"/>
    <col min="8964" max="8964" width="3.42578125" style="6" customWidth="1"/>
    <col min="8965" max="8965" width="12.28515625" style="6" customWidth="1"/>
    <col min="8966" max="8966" width="9.140625" style="6" customWidth="1"/>
    <col min="8967" max="8967" width="9.85546875" style="6" customWidth="1"/>
    <col min="8968" max="8968" width="11.140625" style="6" customWidth="1"/>
    <col min="8969" max="8969" width="1.28515625" style="6" customWidth="1"/>
    <col min="8970" max="9216" width="11.5703125" style="6" customWidth="1"/>
    <col min="9217" max="9217" width="3.5703125" style="6" customWidth="1"/>
    <col min="9218" max="9218" width="27.5703125" style="6" customWidth="1"/>
    <col min="9219" max="9219" width="9.85546875" style="6" customWidth="1"/>
    <col min="9220" max="9220" width="3.42578125" style="6" customWidth="1"/>
    <col min="9221" max="9221" width="12.28515625" style="6" customWidth="1"/>
    <col min="9222" max="9222" width="9.140625" style="6" customWidth="1"/>
    <col min="9223" max="9223" width="9.85546875" style="6" customWidth="1"/>
    <col min="9224" max="9224" width="11.140625" style="6" customWidth="1"/>
    <col min="9225" max="9225" width="1.28515625" style="6" customWidth="1"/>
    <col min="9226" max="9472" width="11.5703125" style="6" customWidth="1"/>
    <col min="9473" max="9473" width="3.5703125" style="6" customWidth="1"/>
    <col min="9474" max="9474" width="27.5703125" style="6" customWidth="1"/>
    <col min="9475" max="9475" width="9.85546875" style="6" customWidth="1"/>
    <col min="9476" max="9476" width="3.42578125" style="6" customWidth="1"/>
    <col min="9477" max="9477" width="12.28515625" style="6" customWidth="1"/>
    <col min="9478" max="9478" width="9.140625" style="6" customWidth="1"/>
    <col min="9479" max="9479" width="9.85546875" style="6" customWidth="1"/>
    <col min="9480" max="9480" width="11.140625" style="6" customWidth="1"/>
    <col min="9481" max="9481" width="1.28515625" style="6" customWidth="1"/>
    <col min="9482" max="9728" width="11.5703125" style="6" customWidth="1"/>
    <col min="9729" max="9729" width="3.5703125" style="6" customWidth="1"/>
    <col min="9730" max="9730" width="27.5703125" style="6" customWidth="1"/>
    <col min="9731" max="9731" width="9.85546875" style="6" customWidth="1"/>
    <col min="9732" max="9732" width="3.42578125" style="6" customWidth="1"/>
    <col min="9733" max="9733" width="12.28515625" style="6" customWidth="1"/>
    <col min="9734" max="9734" width="9.140625" style="6" customWidth="1"/>
    <col min="9735" max="9735" width="9.85546875" style="6" customWidth="1"/>
    <col min="9736" max="9736" width="11.140625" style="6" customWidth="1"/>
    <col min="9737" max="9737" width="1.28515625" style="6" customWidth="1"/>
    <col min="9738" max="9984" width="11.5703125" style="6" customWidth="1"/>
    <col min="9985" max="9985" width="3.5703125" style="6" customWidth="1"/>
    <col min="9986" max="9986" width="27.5703125" style="6" customWidth="1"/>
    <col min="9987" max="9987" width="9.85546875" style="6" customWidth="1"/>
    <col min="9988" max="9988" width="3.42578125" style="6" customWidth="1"/>
    <col min="9989" max="9989" width="12.28515625" style="6" customWidth="1"/>
    <col min="9990" max="9990" width="9.140625" style="6" customWidth="1"/>
    <col min="9991" max="9991" width="9.85546875" style="6" customWidth="1"/>
    <col min="9992" max="9992" width="11.140625" style="6" customWidth="1"/>
    <col min="9993" max="9993" width="1.28515625" style="6" customWidth="1"/>
    <col min="9994" max="10240" width="11.5703125" style="6" customWidth="1"/>
    <col min="10241" max="10241" width="3.5703125" style="6" customWidth="1"/>
    <col min="10242" max="10242" width="27.5703125" style="6" customWidth="1"/>
    <col min="10243" max="10243" width="9.85546875" style="6" customWidth="1"/>
    <col min="10244" max="10244" width="3.42578125" style="6" customWidth="1"/>
    <col min="10245" max="10245" width="12.28515625" style="6" customWidth="1"/>
    <col min="10246" max="10246" width="9.140625" style="6" customWidth="1"/>
    <col min="10247" max="10247" width="9.85546875" style="6" customWidth="1"/>
    <col min="10248" max="10248" width="11.140625" style="6" customWidth="1"/>
    <col min="10249" max="10249" width="1.28515625" style="6" customWidth="1"/>
    <col min="10250" max="10496" width="11.5703125" style="6" customWidth="1"/>
    <col min="10497" max="10497" width="3.5703125" style="6" customWidth="1"/>
    <col min="10498" max="10498" width="27.5703125" style="6" customWidth="1"/>
    <col min="10499" max="10499" width="9.85546875" style="6" customWidth="1"/>
    <col min="10500" max="10500" width="3.42578125" style="6" customWidth="1"/>
    <col min="10501" max="10501" width="12.28515625" style="6" customWidth="1"/>
    <col min="10502" max="10502" width="9.140625" style="6" customWidth="1"/>
    <col min="10503" max="10503" width="9.85546875" style="6" customWidth="1"/>
    <col min="10504" max="10504" width="11.140625" style="6" customWidth="1"/>
    <col min="10505" max="10505" width="1.28515625" style="6" customWidth="1"/>
    <col min="10506" max="10752" width="11.5703125" style="6" customWidth="1"/>
    <col min="10753" max="10753" width="3.5703125" style="6" customWidth="1"/>
    <col min="10754" max="10754" width="27.5703125" style="6" customWidth="1"/>
    <col min="10755" max="10755" width="9.85546875" style="6" customWidth="1"/>
    <col min="10756" max="10756" width="3.42578125" style="6" customWidth="1"/>
    <col min="10757" max="10757" width="12.28515625" style="6" customWidth="1"/>
    <col min="10758" max="10758" width="9.140625" style="6" customWidth="1"/>
    <col min="10759" max="10759" width="9.85546875" style="6" customWidth="1"/>
    <col min="10760" max="10760" width="11.140625" style="6" customWidth="1"/>
    <col min="10761" max="10761" width="1.28515625" style="6" customWidth="1"/>
    <col min="10762" max="11008" width="11.5703125" style="6" customWidth="1"/>
    <col min="11009" max="11009" width="3.5703125" style="6" customWidth="1"/>
    <col min="11010" max="11010" width="27.5703125" style="6" customWidth="1"/>
    <col min="11011" max="11011" width="9.85546875" style="6" customWidth="1"/>
    <col min="11012" max="11012" width="3.42578125" style="6" customWidth="1"/>
    <col min="11013" max="11013" width="12.28515625" style="6" customWidth="1"/>
    <col min="11014" max="11014" width="9.140625" style="6" customWidth="1"/>
    <col min="11015" max="11015" width="9.85546875" style="6" customWidth="1"/>
    <col min="11016" max="11016" width="11.140625" style="6" customWidth="1"/>
    <col min="11017" max="11017" width="1.28515625" style="6" customWidth="1"/>
    <col min="11018" max="11264" width="11.5703125" style="6" customWidth="1"/>
    <col min="11265" max="11265" width="3.5703125" style="6" customWidth="1"/>
    <col min="11266" max="11266" width="27.5703125" style="6" customWidth="1"/>
    <col min="11267" max="11267" width="9.85546875" style="6" customWidth="1"/>
    <col min="11268" max="11268" width="3.42578125" style="6" customWidth="1"/>
    <col min="11269" max="11269" width="12.28515625" style="6" customWidth="1"/>
    <col min="11270" max="11270" width="9.140625" style="6" customWidth="1"/>
    <col min="11271" max="11271" width="9.85546875" style="6" customWidth="1"/>
    <col min="11272" max="11272" width="11.140625" style="6" customWidth="1"/>
    <col min="11273" max="11273" width="1.28515625" style="6" customWidth="1"/>
    <col min="11274" max="11520" width="11.5703125" style="6" customWidth="1"/>
    <col min="11521" max="11521" width="3.5703125" style="6" customWidth="1"/>
    <col min="11522" max="11522" width="27.5703125" style="6" customWidth="1"/>
    <col min="11523" max="11523" width="9.85546875" style="6" customWidth="1"/>
    <col min="11524" max="11524" width="3.42578125" style="6" customWidth="1"/>
    <col min="11525" max="11525" width="12.28515625" style="6" customWidth="1"/>
    <col min="11526" max="11526" width="9.140625" style="6" customWidth="1"/>
    <col min="11527" max="11527" width="9.85546875" style="6" customWidth="1"/>
    <col min="11528" max="11528" width="11.140625" style="6" customWidth="1"/>
    <col min="11529" max="11529" width="1.28515625" style="6" customWidth="1"/>
    <col min="11530" max="11776" width="11.5703125" style="6" customWidth="1"/>
    <col min="11777" max="11777" width="3.5703125" style="6" customWidth="1"/>
    <col min="11778" max="11778" width="27.5703125" style="6" customWidth="1"/>
    <col min="11779" max="11779" width="9.85546875" style="6" customWidth="1"/>
    <col min="11780" max="11780" width="3.42578125" style="6" customWidth="1"/>
    <col min="11781" max="11781" width="12.28515625" style="6" customWidth="1"/>
    <col min="11782" max="11782" width="9.140625" style="6" customWidth="1"/>
    <col min="11783" max="11783" width="9.85546875" style="6" customWidth="1"/>
    <col min="11784" max="11784" width="11.140625" style="6" customWidth="1"/>
    <col min="11785" max="11785" width="1.28515625" style="6" customWidth="1"/>
    <col min="11786" max="12032" width="11.5703125" style="6" customWidth="1"/>
    <col min="12033" max="12033" width="3.5703125" style="6" customWidth="1"/>
    <col min="12034" max="12034" width="27.5703125" style="6" customWidth="1"/>
    <col min="12035" max="12035" width="9.85546875" style="6" customWidth="1"/>
    <col min="12036" max="12036" width="3.42578125" style="6" customWidth="1"/>
    <col min="12037" max="12037" width="12.28515625" style="6" customWidth="1"/>
    <col min="12038" max="12038" width="9.140625" style="6" customWidth="1"/>
    <col min="12039" max="12039" width="9.85546875" style="6" customWidth="1"/>
    <col min="12040" max="12040" width="11.140625" style="6" customWidth="1"/>
    <col min="12041" max="12041" width="1.28515625" style="6" customWidth="1"/>
    <col min="12042" max="12288" width="11.5703125" style="6" customWidth="1"/>
    <col min="12289" max="12289" width="3.5703125" style="6" customWidth="1"/>
    <col min="12290" max="12290" width="27.5703125" style="6" customWidth="1"/>
    <col min="12291" max="12291" width="9.85546875" style="6" customWidth="1"/>
    <col min="12292" max="12292" width="3.42578125" style="6" customWidth="1"/>
    <col min="12293" max="12293" width="12.28515625" style="6" customWidth="1"/>
    <col min="12294" max="12294" width="9.140625" style="6" customWidth="1"/>
    <col min="12295" max="12295" width="9.85546875" style="6" customWidth="1"/>
    <col min="12296" max="12296" width="11.140625" style="6" customWidth="1"/>
    <col min="12297" max="12297" width="1.28515625" style="6" customWidth="1"/>
    <col min="12298" max="12544" width="11.5703125" style="6" customWidth="1"/>
    <col min="12545" max="12545" width="3.5703125" style="6" customWidth="1"/>
    <col min="12546" max="12546" width="27.5703125" style="6" customWidth="1"/>
    <col min="12547" max="12547" width="9.85546875" style="6" customWidth="1"/>
    <col min="12548" max="12548" width="3.42578125" style="6" customWidth="1"/>
    <col min="12549" max="12549" width="12.28515625" style="6" customWidth="1"/>
    <col min="12550" max="12550" width="9.140625" style="6" customWidth="1"/>
    <col min="12551" max="12551" width="9.85546875" style="6" customWidth="1"/>
    <col min="12552" max="12552" width="11.140625" style="6" customWidth="1"/>
    <col min="12553" max="12553" width="1.28515625" style="6" customWidth="1"/>
    <col min="12554" max="12800" width="11.5703125" style="6" customWidth="1"/>
    <col min="12801" max="12801" width="3.5703125" style="6" customWidth="1"/>
    <col min="12802" max="12802" width="27.5703125" style="6" customWidth="1"/>
    <col min="12803" max="12803" width="9.85546875" style="6" customWidth="1"/>
    <col min="12804" max="12804" width="3.42578125" style="6" customWidth="1"/>
    <col min="12805" max="12805" width="12.28515625" style="6" customWidth="1"/>
    <col min="12806" max="12806" width="9.140625" style="6" customWidth="1"/>
    <col min="12807" max="12807" width="9.85546875" style="6" customWidth="1"/>
    <col min="12808" max="12808" width="11.140625" style="6" customWidth="1"/>
    <col min="12809" max="12809" width="1.28515625" style="6" customWidth="1"/>
    <col min="12810" max="13056" width="11.5703125" style="6" customWidth="1"/>
    <col min="13057" max="13057" width="3.5703125" style="6" customWidth="1"/>
    <col min="13058" max="13058" width="27.5703125" style="6" customWidth="1"/>
    <col min="13059" max="13059" width="9.85546875" style="6" customWidth="1"/>
    <col min="13060" max="13060" width="3.42578125" style="6" customWidth="1"/>
    <col min="13061" max="13061" width="12.28515625" style="6" customWidth="1"/>
    <col min="13062" max="13062" width="9.140625" style="6" customWidth="1"/>
    <col min="13063" max="13063" width="9.85546875" style="6" customWidth="1"/>
    <col min="13064" max="13064" width="11.140625" style="6" customWidth="1"/>
    <col min="13065" max="13065" width="1.28515625" style="6" customWidth="1"/>
    <col min="13066" max="13312" width="11.5703125" style="6" customWidth="1"/>
    <col min="13313" max="13313" width="3.5703125" style="6" customWidth="1"/>
    <col min="13314" max="13314" width="27.5703125" style="6" customWidth="1"/>
    <col min="13315" max="13315" width="9.85546875" style="6" customWidth="1"/>
    <col min="13316" max="13316" width="3.42578125" style="6" customWidth="1"/>
    <col min="13317" max="13317" width="12.28515625" style="6" customWidth="1"/>
    <col min="13318" max="13318" width="9.140625" style="6" customWidth="1"/>
    <col min="13319" max="13319" width="9.85546875" style="6" customWidth="1"/>
    <col min="13320" max="13320" width="11.140625" style="6" customWidth="1"/>
    <col min="13321" max="13321" width="1.28515625" style="6" customWidth="1"/>
    <col min="13322" max="13568" width="11.5703125" style="6" customWidth="1"/>
    <col min="13569" max="13569" width="3.5703125" style="6" customWidth="1"/>
    <col min="13570" max="13570" width="27.5703125" style="6" customWidth="1"/>
    <col min="13571" max="13571" width="9.85546875" style="6" customWidth="1"/>
    <col min="13572" max="13572" width="3.42578125" style="6" customWidth="1"/>
    <col min="13573" max="13573" width="12.28515625" style="6" customWidth="1"/>
    <col min="13574" max="13574" width="9.140625" style="6" customWidth="1"/>
    <col min="13575" max="13575" width="9.85546875" style="6" customWidth="1"/>
    <col min="13576" max="13576" width="11.140625" style="6" customWidth="1"/>
    <col min="13577" max="13577" width="1.28515625" style="6" customWidth="1"/>
    <col min="13578" max="13824" width="11.5703125" style="6" customWidth="1"/>
    <col min="13825" max="13825" width="3.5703125" style="6" customWidth="1"/>
    <col min="13826" max="13826" width="27.5703125" style="6" customWidth="1"/>
    <col min="13827" max="13827" width="9.85546875" style="6" customWidth="1"/>
    <col min="13828" max="13828" width="3.42578125" style="6" customWidth="1"/>
    <col min="13829" max="13829" width="12.28515625" style="6" customWidth="1"/>
    <col min="13830" max="13830" width="9.140625" style="6" customWidth="1"/>
    <col min="13831" max="13831" width="9.85546875" style="6" customWidth="1"/>
    <col min="13832" max="13832" width="11.140625" style="6" customWidth="1"/>
    <col min="13833" max="13833" width="1.28515625" style="6" customWidth="1"/>
    <col min="13834" max="14080" width="11.5703125" style="6" customWidth="1"/>
    <col min="14081" max="14081" width="3.5703125" style="6" customWidth="1"/>
    <col min="14082" max="14082" width="27.5703125" style="6" customWidth="1"/>
    <col min="14083" max="14083" width="9.85546875" style="6" customWidth="1"/>
    <col min="14084" max="14084" width="3.42578125" style="6" customWidth="1"/>
    <col min="14085" max="14085" width="12.28515625" style="6" customWidth="1"/>
    <col min="14086" max="14086" width="9.140625" style="6" customWidth="1"/>
    <col min="14087" max="14087" width="9.85546875" style="6" customWidth="1"/>
    <col min="14088" max="14088" width="11.140625" style="6" customWidth="1"/>
    <col min="14089" max="14089" width="1.28515625" style="6" customWidth="1"/>
    <col min="14090" max="14336" width="11.5703125" style="6" customWidth="1"/>
    <col min="14337" max="14337" width="3.5703125" style="6" customWidth="1"/>
    <col min="14338" max="14338" width="27.5703125" style="6" customWidth="1"/>
    <col min="14339" max="14339" width="9.85546875" style="6" customWidth="1"/>
    <col min="14340" max="14340" width="3.42578125" style="6" customWidth="1"/>
    <col min="14341" max="14341" width="12.28515625" style="6" customWidth="1"/>
    <col min="14342" max="14342" width="9.140625" style="6" customWidth="1"/>
    <col min="14343" max="14343" width="9.85546875" style="6" customWidth="1"/>
    <col min="14344" max="14344" width="11.140625" style="6" customWidth="1"/>
    <col min="14345" max="14345" width="1.28515625" style="6" customWidth="1"/>
    <col min="14346" max="14592" width="11.5703125" style="6" customWidth="1"/>
    <col min="14593" max="14593" width="3.5703125" style="6" customWidth="1"/>
    <col min="14594" max="14594" width="27.5703125" style="6" customWidth="1"/>
    <col min="14595" max="14595" width="9.85546875" style="6" customWidth="1"/>
    <col min="14596" max="14596" width="3.42578125" style="6" customWidth="1"/>
    <col min="14597" max="14597" width="12.28515625" style="6" customWidth="1"/>
    <col min="14598" max="14598" width="9.140625" style="6" customWidth="1"/>
    <col min="14599" max="14599" width="9.85546875" style="6" customWidth="1"/>
    <col min="14600" max="14600" width="11.140625" style="6" customWidth="1"/>
    <col min="14601" max="14601" width="1.28515625" style="6" customWidth="1"/>
    <col min="14602" max="14848" width="11.5703125" style="6" customWidth="1"/>
    <col min="14849" max="14849" width="3.5703125" style="6" customWidth="1"/>
    <col min="14850" max="14850" width="27.5703125" style="6" customWidth="1"/>
    <col min="14851" max="14851" width="9.85546875" style="6" customWidth="1"/>
    <col min="14852" max="14852" width="3.42578125" style="6" customWidth="1"/>
    <col min="14853" max="14853" width="12.28515625" style="6" customWidth="1"/>
    <col min="14854" max="14854" width="9.140625" style="6" customWidth="1"/>
    <col min="14855" max="14855" width="9.85546875" style="6" customWidth="1"/>
    <col min="14856" max="14856" width="11.140625" style="6" customWidth="1"/>
    <col min="14857" max="14857" width="1.28515625" style="6" customWidth="1"/>
    <col min="14858" max="15104" width="11.5703125" style="6" customWidth="1"/>
    <col min="15105" max="15105" width="3.5703125" style="6" customWidth="1"/>
    <col min="15106" max="15106" width="27.5703125" style="6" customWidth="1"/>
    <col min="15107" max="15107" width="9.85546875" style="6" customWidth="1"/>
    <col min="15108" max="15108" width="3.42578125" style="6" customWidth="1"/>
    <col min="15109" max="15109" width="12.28515625" style="6" customWidth="1"/>
    <col min="15110" max="15110" width="9.140625" style="6" customWidth="1"/>
    <col min="15111" max="15111" width="9.85546875" style="6" customWidth="1"/>
    <col min="15112" max="15112" width="11.140625" style="6" customWidth="1"/>
    <col min="15113" max="15113" width="1.28515625" style="6" customWidth="1"/>
    <col min="15114" max="15360" width="11.5703125" style="6" customWidth="1"/>
    <col min="15361" max="15361" width="3.5703125" style="6" customWidth="1"/>
    <col min="15362" max="15362" width="27.5703125" style="6" customWidth="1"/>
    <col min="15363" max="15363" width="9.85546875" style="6" customWidth="1"/>
    <col min="15364" max="15364" width="3.42578125" style="6" customWidth="1"/>
    <col min="15365" max="15365" width="12.28515625" style="6" customWidth="1"/>
    <col min="15366" max="15366" width="9.140625" style="6" customWidth="1"/>
    <col min="15367" max="15367" width="9.85546875" style="6" customWidth="1"/>
    <col min="15368" max="15368" width="11.140625" style="6" customWidth="1"/>
    <col min="15369" max="15369" width="1.28515625" style="6" customWidth="1"/>
    <col min="15370" max="15616" width="11.5703125" style="6" customWidth="1"/>
    <col min="15617" max="15617" width="3.5703125" style="6" customWidth="1"/>
    <col min="15618" max="15618" width="27.5703125" style="6" customWidth="1"/>
    <col min="15619" max="15619" width="9.85546875" style="6" customWidth="1"/>
    <col min="15620" max="15620" width="3.42578125" style="6" customWidth="1"/>
    <col min="15621" max="15621" width="12.28515625" style="6" customWidth="1"/>
    <col min="15622" max="15622" width="9.140625" style="6" customWidth="1"/>
    <col min="15623" max="15623" width="9.85546875" style="6" customWidth="1"/>
    <col min="15624" max="15624" width="11.140625" style="6" customWidth="1"/>
    <col min="15625" max="15625" width="1.28515625" style="6" customWidth="1"/>
    <col min="15626" max="15872" width="11.5703125" style="6" customWidth="1"/>
    <col min="15873" max="15873" width="3.5703125" style="6" customWidth="1"/>
    <col min="15874" max="15874" width="27.5703125" style="6" customWidth="1"/>
    <col min="15875" max="15875" width="9.85546875" style="6" customWidth="1"/>
    <col min="15876" max="15876" width="3.42578125" style="6" customWidth="1"/>
    <col min="15877" max="15877" width="12.28515625" style="6" customWidth="1"/>
    <col min="15878" max="15878" width="9.140625" style="6" customWidth="1"/>
    <col min="15879" max="15879" width="9.85546875" style="6" customWidth="1"/>
    <col min="15880" max="15880" width="11.140625" style="6" customWidth="1"/>
    <col min="15881" max="15881" width="1.28515625" style="6" customWidth="1"/>
    <col min="15882" max="16128" width="11.5703125" style="6" customWidth="1"/>
    <col min="16129" max="16129" width="3.5703125" style="6" customWidth="1"/>
    <col min="16130" max="16130" width="27.5703125" style="6" customWidth="1"/>
    <col min="16131" max="16131" width="9.85546875" style="6" customWidth="1"/>
    <col min="16132" max="16132" width="3.42578125" style="6" customWidth="1"/>
    <col min="16133" max="16133" width="12.28515625" style="6" customWidth="1"/>
    <col min="16134" max="16134" width="9.140625" style="6" customWidth="1"/>
    <col min="16135" max="16135" width="9.85546875" style="6" customWidth="1"/>
    <col min="16136" max="16136" width="11.140625" style="6" customWidth="1"/>
    <col min="16137" max="16137" width="1.28515625" style="6" customWidth="1"/>
    <col min="16138" max="16384" width="11.5703125" style="6" customWidth="1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customHeight="1" x14ac:dyDescent="0.25">
      <c r="A7" s="7" t="s">
        <v>1</v>
      </c>
      <c r="B7" s="8"/>
      <c r="D7" s="9"/>
      <c r="E7" s="68" t="s">
        <v>2</v>
      </c>
      <c r="F7" s="65"/>
      <c r="G7" s="67">
        <v>46091</v>
      </c>
      <c r="H7" s="66"/>
    </row>
    <row r="8" spans="1:8" s="7" customFormat="1" ht="15" customHeight="1" x14ac:dyDescent="0.25">
      <c r="A8" s="7" t="s">
        <v>3</v>
      </c>
      <c r="B8" s="8"/>
      <c r="D8" s="9"/>
      <c r="E8" s="82" t="s">
        <v>4</v>
      </c>
      <c r="F8" s="83"/>
      <c r="G8" s="80">
        <v>10427</v>
      </c>
      <c r="H8" s="81"/>
    </row>
    <row r="9" spans="1:8" s="7" customFormat="1" ht="15" customHeight="1" x14ac:dyDescent="0.25">
      <c r="A9" s="7" t="s">
        <v>5</v>
      </c>
      <c r="B9" s="8"/>
      <c r="D9" s="9"/>
      <c r="E9" s="82" t="s">
        <v>6</v>
      </c>
      <c r="F9" s="83"/>
      <c r="G9" s="80" t="s">
        <v>96</v>
      </c>
      <c r="H9" s="81"/>
    </row>
    <row r="10" spans="1:8" s="7" customFormat="1" ht="15" customHeight="1" x14ac:dyDescent="0.25">
      <c r="A10" s="7" t="s">
        <v>8</v>
      </c>
      <c r="B10" s="8"/>
      <c r="D10" s="9"/>
      <c r="E10" s="11" t="s">
        <v>97</v>
      </c>
      <c r="F10" s="12"/>
      <c r="G10" s="69" t="s">
        <v>98</v>
      </c>
      <c r="H10" s="70"/>
    </row>
    <row r="11" spans="1:8" s="7" customFormat="1" ht="15" customHeight="1" x14ac:dyDescent="0.25">
      <c r="B11" s="8"/>
      <c r="D11" s="9"/>
      <c r="E11" s="13" t="s">
        <v>10</v>
      </c>
      <c r="F11" s="64" t="s">
        <v>11</v>
      </c>
      <c r="G11" s="65"/>
      <c r="H11" s="66"/>
    </row>
    <row r="12" spans="1:8" s="7" customFormat="1" ht="15" customHeight="1" x14ac:dyDescent="0.25">
      <c r="D12" s="9"/>
      <c r="E12" s="11" t="s">
        <v>12</v>
      </c>
      <c r="F12" s="78" t="s">
        <v>13</v>
      </c>
      <c r="G12" s="79"/>
      <c r="H12" s="70"/>
    </row>
    <row r="13" spans="1:8" s="7" customFormat="1" ht="15" customHeight="1" x14ac:dyDescent="0.25">
      <c r="D13" s="9"/>
      <c r="E13" s="15"/>
      <c r="F13" s="16"/>
    </row>
    <row r="14" spans="1:8" s="7" customFormat="1" ht="15" customHeight="1" x14ac:dyDescent="0.25">
      <c r="D14" s="9"/>
      <c r="E14" s="15"/>
      <c r="F14" s="16"/>
    </row>
    <row r="15" spans="1:8" s="7" customFormat="1" ht="15" customHeight="1" x14ac:dyDescent="0.25">
      <c r="D15" s="9"/>
      <c r="E15" s="15"/>
      <c r="F15" s="16"/>
    </row>
    <row r="16" spans="1:8" s="7" customFormat="1" ht="15" customHeight="1" x14ac:dyDescent="0.25">
      <c r="D16" s="9"/>
      <c r="E16" s="15"/>
      <c r="F16" s="16"/>
    </row>
    <row r="17" spans="1:8" s="18" customFormat="1" ht="14.25" customHeight="1" x14ac:dyDescent="0.2">
      <c r="A17" s="71" t="s">
        <v>14</v>
      </c>
      <c r="B17" s="72"/>
      <c r="C17" s="72"/>
      <c r="D17" s="72"/>
      <c r="E17" s="72"/>
      <c r="F17" s="72"/>
      <c r="G17" s="72"/>
      <c r="H17" s="72"/>
    </row>
    <row r="18" spans="1:8" s="18" customFormat="1" ht="14.25" customHeight="1" x14ac:dyDescent="0.2">
      <c r="A18" s="17"/>
      <c r="B18" s="17"/>
      <c r="C18" s="17"/>
      <c r="D18" s="17"/>
      <c r="E18" s="17"/>
      <c r="F18" s="17"/>
      <c r="G18" s="17"/>
      <c r="H18" s="17"/>
    </row>
    <row r="19" spans="1:8" s="7" customFormat="1" ht="15.75" customHeight="1" x14ac:dyDescent="0.25">
      <c r="D19" s="9"/>
      <c r="E19" s="15"/>
      <c r="F19" s="16"/>
    </row>
    <row r="20" spans="1:8" s="7" customFormat="1" ht="15" customHeight="1" x14ac:dyDescent="0.25">
      <c r="A20" s="7" t="s">
        <v>15</v>
      </c>
      <c r="B20" s="8"/>
      <c r="D20" s="9"/>
      <c r="E20" s="15"/>
      <c r="F20" s="9"/>
      <c r="G20" s="19"/>
    </row>
    <row r="21" spans="1:8" s="7" customFormat="1" ht="15" customHeight="1" x14ac:dyDescent="0.25">
      <c r="A21" s="7" t="s">
        <v>16</v>
      </c>
      <c r="B21" s="8"/>
      <c r="D21" s="9"/>
      <c r="E21" s="15"/>
      <c r="F21" s="9"/>
      <c r="G21" s="19"/>
    </row>
    <row r="22" spans="1:8" s="7" customFormat="1" ht="10.5" customHeight="1" x14ac:dyDescent="0.25">
      <c r="B22" s="8"/>
      <c r="D22" s="9"/>
      <c r="E22" s="15"/>
      <c r="F22" s="9"/>
      <c r="G22" s="20"/>
    </row>
    <row r="23" spans="1:8" s="7" customFormat="1" ht="15" customHeight="1" x14ac:dyDescent="0.25">
      <c r="A23" s="21" t="s">
        <v>17</v>
      </c>
      <c r="B23" s="22"/>
      <c r="C23" s="21"/>
      <c r="E23" s="9" t="s">
        <v>18</v>
      </c>
      <c r="F23" s="15" t="s">
        <v>19</v>
      </c>
      <c r="G23" s="9" t="s">
        <v>20</v>
      </c>
      <c r="H23" s="15" t="s">
        <v>21</v>
      </c>
    </row>
    <row r="24" spans="1:8" s="7" customFormat="1" ht="15" customHeight="1" x14ac:dyDescent="0.25">
      <c r="A24" s="23" t="s">
        <v>22</v>
      </c>
      <c r="B24" s="23"/>
      <c r="C24" s="24"/>
      <c r="D24" s="23"/>
      <c r="E24" s="25" t="s">
        <v>23</v>
      </c>
      <c r="F24" s="14"/>
      <c r="G24" s="25" t="s">
        <v>24</v>
      </c>
      <c r="H24" s="12"/>
    </row>
    <row r="25" spans="1:8" s="7" customFormat="1" ht="15" customHeight="1" x14ac:dyDescent="0.25">
      <c r="A25" s="7">
        <v>33</v>
      </c>
      <c r="B25" s="7" t="s">
        <v>52</v>
      </c>
      <c r="C25" s="26"/>
      <c r="D25" s="26"/>
    </row>
    <row r="26" spans="1:8" s="7" customFormat="1" ht="15" customHeight="1" x14ac:dyDescent="0.25">
      <c r="B26" s="60">
        <v>45839</v>
      </c>
      <c r="C26" s="33"/>
      <c r="D26" s="33"/>
      <c r="E26" s="27">
        <v>93000</v>
      </c>
      <c r="F26" s="10" t="s">
        <v>26</v>
      </c>
      <c r="G26" s="28">
        <v>1.1000000000000001</v>
      </c>
      <c r="H26" s="20">
        <f>G26*188</f>
        <v>206.8</v>
      </c>
    </row>
    <row r="27" spans="1:8" s="7" customFormat="1" ht="15" customHeight="1" x14ac:dyDescent="0.25">
      <c r="B27" s="60">
        <v>45870</v>
      </c>
      <c r="C27" s="33"/>
      <c r="D27" s="33"/>
      <c r="E27" s="27">
        <f>+E26</f>
        <v>93000</v>
      </c>
      <c r="F27" s="10" t="s">
        <v>26</v>
      </c>
      <c r="G27" s="28">
        <f t="shared" ref="G27:H31" si="0">+G26</f>
        <v>1.1000000000000001</v>
      </c>
      <c r="H27" s="20">
        <f t="shared" si="0"/>
        <v>206.8</v>
      </c>
    </row>
    <row r="28" spans="1:8" s="7" customFormat="1" ht="15" customHeight="1" x14ac:dyDescent="0.25">
      <c r="B28" s="60">
        <v>45901</v>
      </c>
      <c r="C28" s="33"/>
      <c r="D28" s="33"/>
      <c r="E28" s="27">
        <f>+E27</f>
        <v>93000</v>
      </c>
      <c r="F28" s="10" t="s">
        <v>26</v>
      </c>
      <c r="G28" s="28">
        <f t="shared" si="0"/>
        <v>1.1000000000000001</v>
      </c>
      <c r="H28" s="20">
        <f t="shared" si="0"/>
        <v>206.8</v>
      </c>
    </row>
    <row r="29" spans="1:8" s="7" customFormat="1" ht="15" customHeight="1" x14ac:dyDescent="0.25">
      <c r="B29" s="60">
        <v>45931</v>
      </c>
      <c r="C29" s="33"/>
      <c r="D29" s="33"/>
      <c r="E29" s="27">
        <f>+E28</f>
        <v>93000</v>
      </c>
      <c r="F29" s="10" t="s">
        <v>26</v>
      </c>
      <c r="G29" s="28">
        <f t="shared" si="0"/>
        <v>1.1000000000000001</v>
      </c>
      <c r="H29" s="20">
        <f t="shared" si="0"/>
        <v>206.8</v>
      </c>
    </row>
    <row r="30" spans="1:8" s="7" customFormat="1" ht="15" customHeight="1" x14ac:dyDescent="0.25">
      <c r="B30" s="60">
        <v>45962</v>
      </c>
      <c r="C30" s="33"/>
      <c r="D30" s="33"/>
      <c r="E30" s="27">
        <f>+E29</f>
        <v>93000</v>
      </c>
      <c r="F30" s="10" t="s">
        <v>26</v>
      </c>
      <c r="G30" s="28">
        <f t="shared" si="0"/>
        <v>1.1000000000000001</v>
      </c>
      <c r="H30" s="20">
        <f t="shared" si="0"/>
        <v>206.8</v>
      </c>
    </row>
    <row r="31" spans="1:8" s="7" customFormat="1" ht="15" customHeight="1" x14ac:dyDescent="0.25">
      <c r="B31" s="60">
        <v>45992</v>
      </c>
      <c r="C31" s="33"/>
      <c r="D31" s="33"/>
      <c r="E31" s="27">
        <f>+E30</f>
        <v>93000</v>
      </c>
      <c r="F31" s="10" t="s">
        <v>26</v>
      </c>
      <c r="G31" s="28">
        <f t="shared" si="0"/>
        <v>1.1000000000000001</v>
      </c>
      <c r="H31" s="20">
        <f t="shared" si="0"/>
        <v>206.8</v>
      </c>
    </row>
    <row r="32" spans="1:8" s="7" customFormat="1" ht="15" customHeight="1" x14ac:dyDescent="0.25">
      <c r="C32" s="33"/>
      <c r="D32" s="26"/>
      <c r="E32" s="27"/>
      <c r="F32" s="10"/>
      <c r="G32" s="30"/>
      <c r="H32" s="20"/>
    </row>
    <row r="33" spans="1:10" s="7" customFormat="1" ht="15" customHeight="1" x14ac:dyDescent="0.25">
      <c r="C33" s="29"/>
      <c r="D33" s="26"/>
      <c r="E33" s="27"/>
      <c r="F33" s="10"/>
      <c r="G33" s="30"/>
      <c r="H33" s="20"/>
    </row>
    <row r="34" spans="1:10" s="7" customFormat="1" ht="15" customHeight="1" x14ac:dyDescent="0.25">
      <c r="C34" s="29"/>
      <c r="D34" s="26"/>
      <c r="E34" s="27"/>
      <c r="F34" s="10"/>
      <c r="G34" s="30"/>
      <c r="H34" s="20"/>
    </row>
    <row r="35" spans="1:10" s="7" customFormat="1" ht="6.75" customHeight="1" x14ac:dyDescent="0.25">
      <c r="E35" s="15"/>
      <c r="F35" s="16"/>
      <c r="G35" s="32"/>
    </row>
    <row r="36" spans="1:10" s="7" customFormat="1" ht="15" customHeight="1" x14ac:dyDescent="0.25">
      <c r="A36" s="7">
        <v>16</v>
      </c>
      <c r="B36" s="7" t="s">
        <v>34</v>
      </c>
      <c r="C36" s="33"/>
      <c r="E36" s="27">
        <f>SUM(H26:H35)*0.2</f>
        <v>248.16</v>
      </c>
      <c r="F36" s="15"/>
      <c r="G36" s="30"/>
      <c r="H36" s="20">
        <v>60</v>
      </c>
    </row>
    <row r="37" spans="1:10" s="7" customFormat="1" ht="15" customHeight="1" x14ac:dyDescent="0.25">
      <c r="A37" s="23"/>
      <c r="B37" s="23" t="s">
        <v>35</v>
      </c>
      <c r="C37" s="23"/>
      <c r="D37" s="23"/>
      <c r="E37" s="34"/>
      <c r="F37" s="14"/>
      <c r="G37" s="25"/>
      <c r="H37" s="35"/>
    </row>
    <row r="38" spans="1:10" s="7" customFormat="1" ht="15" customHeight="1" x14ac:dyDescent="0.25">
      <c r="A38" s="36" t="s">
        <v>92</v>
      </c>
      <c r="E38" s="7" t="s">
        <v>36</v>
      </c>
      <c r="F38" s="8"/>
      <c r="G38" s="9"/>
      <c r="H38" s="20">
        <f>SUM(H26:H37)</f>
        <v>1300.8</v>
      </c>
      <c r="I38" s="20"/>
      <c r="J38" s="20"/>
    </row>
    <row r="39" spans="1:10" s="7" customFormat="1" ht="15" customHeight="1" x14ac:dyDescent="0.25">
      <c r="E39" s="37" t="s">
        <v>37</v>
      </c>
      <c r="F39" s="8"/>
      <c r="G39" s="9"/>
      <c r="H39" s="20">
        <f>+H38*0.19</f>
        <v>247.15199999999999</v>
      </c>
    </row>
    <row r="40" spans="1:10" s="7" customFormat="1" thickBot="1" x14ac:dyDescent="0.3">
      <c r="D40" s="9"/>
      <c r="E40" s="38" t="s">
        <v>38</v>
      </c>
      <c r="F40" s="39"/>
      <c r="G40" s="40"/>
      <c r="H40" s="41">
        <f>SUM(H38:H39)</f>
        <v>1547.952</v>
      </c>
    </row>
    <row r="41" spans="1:10" s="7" customFormat="1" ht="6.75" customHeight="1" thickTop="1" x14ac:dyDescent="0.25">
      <c r="D41" s="9"/>
      <c r="E41" s="45"/>
      <c r="F41" s="15"/>
      <c r="G41" s="9"/>
      <c r="H41" s="20"/>
    </row>
    <row r="42" spans="1:10" s="7" customFormat="1" ht="15" customHeight="1" x14ac:dyDescent="0.25">
      <c r="A42" s="7" t="s">
        <v>39</v>
      </c>
      <c r="D42" s="9"/>
      <c r="E42" s="15"/>
      <c r="F42" s="9"/>
      <c r="G42" s="20"/>
    </row>
    <row r="43" spans="1:10" s="7" customFormat="1" ht="15" customHeight="1" x14ac:dyDescent="0.25">
      <c r="B43" s="8"/>
      <c r="D43" s="9"/>
      <c r="E43" s="15"/>
      <c r="F43" s="9"/>
      <c r="G43" s="20"/>
    </row>
    <row r="44" spans="1:10" s="7" customFormat="1" ht="15" customHeight="1" x14ac:dyDescent="0.25">
      <c r="D44" s="9"/>
      <c r="E44" s="15"/>
      <c r="F44" s="9"/>
      <c r="G44" s="20"/>
    </row>
    <row r="45" spans="1:10" s="7" customFormat="1" ht="15" customHeight="1" x14ac:dyDescent="0.25">
      <c r="D45" s="9"/>
      <c r="E45" s="15"/>
      <c r="F45" s="9"/>
      <c r="G45" s="20"/>
    </row>
    <row r="46" spans="1:10" x14ac:dyDescent="0.25">
      <c r="B46" s="23"/>
      <c r="F46" s="3"/>
      <c r="G46" s="42"/>
    </row>
    <row r="49" spans="1:8" x14ac:dyDescent="0.25">
      <c r="A49" s="73" t="s">
        <v>54</v>
      </c>
      <c r="B49" s="74"/>
      <c r="C49" s="74"/>
      <c r="D49" s="75"/>
      <c r="E49" s="76"/>
      <c r="F49" s="77"/>
      <c r="G49" s="74"/>
      <c r="H49" s="74"/>
    </row>
  </sheetData>
  <mergeCells count="11">
    <mergeCell ref="F11:H11"/>
    <mergeCell ref="G7:H7"/>
    <mergeCell ref="E7:F7"/>
    <mergeCell ref="G10:H10"/>
    <mergeCell ref="A49:H49"/>
    <mergeCell ref="F12:H12"/>
    <mergeCell ref="G8:H8"/>
    <mergeCell ref="G9:H9"/>
    <mergeCell ref="E9:F9"/>
    <mergeCell ref="E8:F8"/>
    <mergeCell ref="A17:H17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/>
  <headerFooter alignWithMargins="0">
    <oddHeader>&amp;C&amp;"Times New Roman,Standard"&amp;16 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Fibu II-2023</vt:lpstr>
      <vt:lpstr>Fibu III-2023</vt:lpstr>
      <vt:lpstr>Fibu IV-2023</vt:lpstr>
      <vt:lpstr>Fibu I+II-2024</vt:lpstr>
      <vt:lpstr>Fibu III+IV-2024</vt:lpstr>
      <vt:lpstr>Fibu III+IV-2024 ZF</vt:lpstr>
      <vt:lpstr>Fibu I-2025</vt:lpstr>
      <vt:lpstr>EÜR 2023</vt:lpstr>
      <vt:lpstr>Fibu II-2025</vt:lpstr>
      <vt:lpstr>Fibu III+IV-2025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Charis</cp:lastModifiedBy>
  <cp:lastPrinted>2026-03-10T15:49:07Z</cp:lastPrinted>
  <dcterms:created xsi:type="dcterms:W3CDTF">2024-01-09T14:45:04Z</dcterms:created>
  <dcterms:modified xsi:type="dcterms:W3CDTF">2026-04-20T19:44:44Z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