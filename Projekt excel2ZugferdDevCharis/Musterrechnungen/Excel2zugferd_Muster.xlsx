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haris\Projekte\excel2zugferd\Musterrechnungen\"/>
    </mc:Choice>
  </mc:AlternateContent>
  <xr:revisionPtr revIDLastSave="0" documentId="13_ncr:1_{4AD2F6F5-77D2-492C-8279-67BEA7EB982C}" xr6:coauthVersionLast="47" xr6:coauthVersionMax="47" xr10:uidLastSave="{00000000-0000-0000-0000-000000000000}"/>
  <bookViews>
    <workbookView xWindow="3150" yWindow="930" windowWidth="21600" windowHeight="13800" tabRatio="734" activeTab="4" xr2:uid="{00000000-000D-0000-FFFF-FFFF00000000}"/>
  </bookViews>
  <sheets>
    <sheet name="StBVV" sheetId="1" r:id="rId1"/>
    <sheet name="Löhne" sheetId="2" r:id="rId2"/>
    <sheet name="Fibu" sheetId="3" r:id="rId3"/>
    <sheet name="JA" sheetId="4" r:id="rId4"/>
    <sheet name="GrSt" sheetId="5" r:id="rId5"/>
    <sheet name="ESt Anlage V" sheetId="6" r:id="rId6"/>
    <sheet name="EÜR" sheetId="7" r:id="rId7"/>
    <sheet name="DRV-Prüfung" sheetId="8" r:id="rId8"/>
    <sheet name="ESt" sheetId="9" r:id="rId9"/>
    <sheet name="BP" sheetId="10" r:id="rId10"/>
  </sheets>
  <calcPr calcId="191029"/>
</workbook>
</file>

<file path=xl/calcChain.xml><?xml version="1.0" encoding="utf-8"?>
<calcChain xmlns="http://schemas.openxmlformats.org/spreadsheetml/2006/main">
  <c r="G17" i="9" l="1"/>
  <c r="G16" i="9"/>
  <c r="G15" i="9"/>
  <c r="G14" i="9"/>
  <c r="G19" i="9" s="1"/>
  <c r="G15" i="8"/>
  <c r="G14" i="8"/>
  <c r="G16" i="8" s="1"/>
  <c r="G17" i="7"/>
  <c r="G16" i="7"/>
  <c r="G15" i="7"/>
  <c r="G14" i="7"/>
  <c r="G18" i="7" s="1"/>
  <c r="G15" i="6"/>
  <c r="G14" i="6"/>
  <c r="G16" i="6" s="1"/>
  <c r="G15" i="5"/>
  <c r="G14" i="5"/>
  <c r="G16" i="5" s="1"/>
  <c r="G16" i="4"/>
  <c r="G15" i="4"/>
  <c r="G14" i="4"/>
  <c r="F15" i="3"/>
  <c r="G15" i="3" s="1"/>
  <c r="G14" i="3"/>
  <c r="F14" i="3"/>
  <c r="G18" i="2"/>
  <c r="G17" i="2"/>
  <c r="G16" i="2"/>
  <c r="G15" i="2"/>
  <c r="G14" i="2"/>
  <c r="F19" i="2" s="1"/>
  <c r="G19" i="7" l="1"/>
  <c r="G20" i="7" s="1"/>
  <c r="G17" i="8"/>
  <c r="G18" i="8" s="1"/>
  <c r="G17" i="5"/>
  <c r="G18" i="5" s="1"/>
  <c r="G17" i="6"/>
  <c r="G18" i="6"/>
  <c r="G19" i="4"/>
  <c r="G20" i="9"/>
  <c r="G21" i="9" s="1"/>
  <c r="F17" i="4"/>
  <c r="G17" i="4" s="1"/>
  <c r="F16" i="3"/>
  <c r="G16" i="3" s="1"/>
  <c r="G17" i="3" s="1"/>
  <c r="G20" i="2"/>
  <c r="G18" i="3" l="1"/>
  <c r="G19" i="3" s="1"/>
  <c r="G21" i="2"/>
  <c r="G22" i="2"/>
  <c r="G20" i="4"/>
  <c r="G21" i="4"/>
</calcChain>
</file>

<file path=xl/sharedStrings.xml><?xml version="1.0" encoding="utf-8"?>
<sst xmlns="http://schemas.openxmlformats.org/spreadsheetml/2006/main" count="261" uniqueCount="84">
  <si>
    <t>StBVV — Gebührentabellen A, B und C (Anlage 1–3)</t>
  </si>
  <si>
    <t>Gültig ab 01.07.2025 · 5. Verordnung zur Änderung der StBVV v. 31.03.2025 (BGBl. 2025 I Nr. 105)</t>
  </si>
  <si>
    <t>Gegenstandswert ab €</t>
  </si>
  <si>
    <t>A</t>
  </si>
  <si>
    <t>B</t>
  </si>
  <si>
    <t>C</t>
  </si>
  <si>
    <t>(Untergrenze des Tiers für SVERWEIS)</t>
  </si>
  <si>
    <t>Beratungstabelle</t>
  </si>
  <si>
    <t>Abschlusstabelle</t>
  </si>
  <si>
    <t>Buchführung (monatl.)</t>
  </si>
  <si>
    <t>Spalte H im Positionsbereich: A = Beratung/Steuererklärung, B = Abschluss/EÜR, C = Buchführung (§ 33 StBVV) · Werte &gt; Tabellenmax: individuelle Berechnung erforderlich</t>
  </si>
  <si>
    <t>An:</t>
  </si>
  <si>
    <t>Franz Pfaff Innenausbau GmbH</t>
  </si>
  <si>
    <t>Donnersbergstraße 25</t>
  </si>
  <si>
    <t>60528 Frankfurt</t>
  </si>
  <si>
    <t>Rechnungs-Nr:</t>
  </si>
  <si>
    <t>10113-2025-004</t>
  </si>
  <si>
    <t>Kunden-Nr:</t>
  </si>
  <si>
    <t>Rechnungsdatum:</t>
  </si>
  <si>
    <t xml:space="preserve">Rechnung über Honorare </t>
  </si>
  <si>
    <t xml:space="preserve">Für die nachfolgend aufgeführten Leistungen erlaube ich mir nach der Steuerberatervergütungsverordnung wie folgt abzurechnen: </t>
  </si>
  <si>
    <t>Pos.</t>
  </si>
  <si>
    <t>Datum</t>
  </si>
  <si>
    <t>§§ / Leistung</t>
  </si>
  <si>
    <t>Arbeitnehmer</t>
  </si>
  <si>
    <t>Einheit</t>
  </si>
  <si>
    <t>Wert</t>
  </si>
  <si>
    <t>Gebühr</t>
  </si>
  <si>
    <t>Tabelle
(A/B/C)</t>
  </si>
  <si>
    <t>§34 / Löhne/Gehälter 01/2025 - Einrichten v. Lohnkonten (Vasile)</t>
  </si>
  <si>
    <t>Stk.</t>
  </si>
  <si>
    <t>§34 /- Lohnabrechnungen inkl. Sozialvers.-meldungen</t>
  </si>
  <si>
    <t>§34 / Löhne/Gehälter 02/2025  - Einrichten v. Lohnkonten (Bajiric)</t>
  </si>
  <si>
    <t>§34 / -Lohnabrechnungen inkl. Sozialvers.-meldungen</t>
  </si>
  <si>
    <t>§34 / Löhne/Gehälter 03/2025  - Lohnabrechnungen inkl. Sozialvers.-meldungen</t>
  </si>
  <si>
    <t xml:space="preserve">§16 / Auslagenersatz für Post- und Telekommunikation </t>
  </si>
  <si>
    <t>Summe</t>
  </si>
  <si>
    <t>Umsatzsteuer 19%</t>
  </si>
  <si>
    <t>Bruttobetrag</t>
  </si>
  <si>
    <t>10113-2025-005</t>
  </si>
  <si>
    <t>Gebühren-satz</t>
  </si>
  <si>
    <t>§33 / Buchführung einschl. Kontieren der Belege für 01/2025 - Tabelle C</t>
  </si>
  <si>
    <t>4/10</t>
  </si>
  <si>
    <t>§33 / Buchführung einschl. Kontieren der Belege für 02/2025 - Tabelle C</t>
  </si>
  <si>
    <t>4,5/10</t>
  </si>
  <si>
    <t>§33 / Buchführung einschl. Kontieren der Belege für 03/2025 - Tabelle C</t>
  </si>
  <si>
    <t>3/10</t>
  </si>
  <si>
    <t>Klaus Walter</t>
  </si>
  <si>
    <t>Neuer Weg 72</t>
  </si>
  <si>
    <t>60388 Frankfurt</t>
  </si>
  <si>
    <t>10117-2024-004</t>
  </si>
  <si>
    <t>§25 / Einnahmenüberschußrechnung 2022 - Tabelle B</t>
  </si>
  <si>
    <t>25/10</t>
  </si>
  <si>
    <t>§25 / Vorarbeiten bei der Ermittlung des Überschusses der Betriebseinnahmen über die Betriebsausgaben 2022 (Ermittlung fehlender Unterlagen, Einarbeitung nachgereichter Belege)</t>
  </si>
  <si>
    <t>§24 / Umsatzsteuerjahreserklärung für 2022 - Tabelle A</t>
  </si>
  <si>
    <t>6/10</t>
  </si>
  <si>
    <t>§16 / Auslagenersatz für Post- und Telekommunikation</t>
  </si>
  <si>
    <t>10117-2023-002</t>
  </si>
  <si>
    <t>Rechnung über Honorare</t>
  </si>
  <si>
    <t>Für die nachfolgend aufgeführten Leistungen erlaube ich mir nach der Steuerberatervergütungsverordnung wie folgt abzurechnen:</t>
  </si>
  <si>
    <t>§24 / Erklärung zur Feststellung der Grundsteuer auf den 01.01.2022 - Neuer Weg 72, Frankfurt - Tabelle A</t>
  </si>
  <si>
    <t>4/20</t>
  </si>
  <si>
    <t>10117-2019-005</t>
  </si>
  <si>
    <t>§27 / Ermittlung des Überschusses der Einnahmen über die Werbungskosten bei Vermietung - Oelsberg 2017 - Tabelle A</t>
  </si>
  <si>
    <t>10/10</t>
  </si>
  <si>
    <t>10117-2025-004</t>
  </si>
  <si>
    <t>§25 / Einnahmenüberschussrechnung 2023 - Tabelle B</t>
  </si>
  <si>
    <t>28/10</t>
  </si>
  <si>
    <t>§25 / Vorarbeiten bei der Ermittlung des Überschusses der Betriebseinnahmen über die Betriebsausgaben 2023 (Ermittlung fehlender Unterlagen, Einarbeitung nachgereichter Belege)</t>
  </si>
  <si>
    <t>§24 / Umsatzsteuerjahreserklärung für 2023 - Tabelle A</t>
  </si>
  <si>
    <t>Roger Detroy</t>
  </si>
  <si>
    <t>Heerstraße 60</t>
  </si>
  <si>
    <t>60488 Frankfurt</t>
  </si>
  <si>
    <t>60431-2024-005</t>
  </si>
  <si>
    <t>§29 / Teilnahme an der Sozialversicherungsprüfung durch die DRV für 2020-2023 (Vorbereitung der Prüfung und Zusammenstellung von Unterlagen/Bereitstellung von DATEV-Lohnarchiv-CD-Daten am 08.05.2024 und am 20.06.2024; Abschluss der Prüfung durch Prüfung der Prüfungsschlussmitteilung am 01.07.2024)</t>
  </si>
  <si>
    <t>h</t>
  </si>
  <si>
    <t>10117-2024-005</t>
  </si>
  <si>
    <t>§24 / Einkommensteuererklärung ohne Ermittlung der einzelnen Einkünfte für 2022 - Tabelle A</t>
  </si>
  <si>
    <t>§27 / Ermittlung des Überschusses der Einnahmen über die Werbungskosten bei Vermietung Neuer Weg 72 für 2022 - Tabelle A</t>
  </si>
  <si>
    <t>8/10</t>
  </si>
  <si>
    <t>§27 / Ermittlung des Überschusses der Einnahmen über die Werbungskosten bei Kapitalerträgen - Hr. Walter für 2022 - Tabelle A</t>
  </si>
  <si>
    <t>3,5/10</t>
  </si>
  <si>
    <t>§27 / Ermittlung des Überschusses der Einnahmen über die Werbungskosten bei Kapitalerträgen - Fr. Nikulka für 2022 - Tabelle A</t>
  </si>
  <si>
    <t>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</si>
</sst>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d/\ mmmm\ yyyy"/>
    <numFmt numFmtId="165" formatCode="#,##0.00\ [$€-1]"/>
    <numFmt numFmtId="166" formatCode="dd/mm/yy;@"/>
    <numFmt numFmtId="167" formatCode="#,##0.00\ &quot;€&quot;"/>
    <numFmt numFmtId="168" formatCode="dd\.mm\.yyyy"/>
    <numFmt numFmtId="169" formatCode="dd\.mm\.yy"/>
    <numFmt numFmtId="170" formatCode="#,##0.00\ \€"/>
    <numFmt numFmtId="171" formatCode="#,##0.00\ &quot;€/AN&quot;"/>
    <numFmt numFmtId="172" formatCode="0.00\ &quot;Std&quot;"/>
    <numFmt numFmtId="173" formatCode="#,##0.00\ &quot;€/Std.&quot;"/>
  </numFmts>
  <fonts count="20" x14ac:knownFonts="1">
    <font>
      <sz val="10"/>
      <name val="Arial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0"/>
      <name val="Times New Roman"/>
      <family val="1"/>
    </font>
    <font>
      <sz val="11.5"/>
      <name val="Times New Roman"/>
      <family val="1"/>
    </font>
    <font>
      <sz val="11.5"/>
      <name val="Arial"/>
      <family val="2"/>
    </font>
    <font>
      <b/>
      <sz val="11.5"/>
      <name val="Times New Roman"/>
      <family val="1"/>
    </font>
    <font>
      <sz val="10.5"/>
      <name val="Times New Roman"/>
      <family val="1"/>
    </font>
    <font>
      <sz val="10.5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b/>
      <sz val="9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i/>
      <sz val="8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</patternFill>
    </fill>
    <fill>
      <patternFill patternType="solid">
        <fgColor rgb="FF2E5596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2F7FC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2" fillId="0" borderId="0"/>
    <xf numFmtId="44" fontId="12" fillId="0" borderId="0"/>
    <xf numFmtId="44" fontId="12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left"/>
    </xf>
    <xf numFmtId="0" fontId="7" fillId="0" borderId="0" xfId="0" applyFont="1"/>
    <xf numFmtId="3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quotePrefix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165" fontId="10" fillId="0" borderId="0" xfId="0" applyNumberFormat="1" applyFont="1" applyAlignment="1">
      <alignment horizontal="right" vertical="top"/>
    </xf>
    <xf numFmtId="4" fontId="10" fillId="0" borderId="0" xfId="0" applyNumberFormat="1" applyFont="1" applyAlignment="1">
      <alignment horizontal="left" vertical="top"/>
    </xf>
    <xf numFmtId="44" fontId="13" fillId="0" borderId="0" xfId="2" applyFont="1" applyAlignment="1">
      <alignment horizontal="right"/>
    </xf>
    <xf numFmtId="1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3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horizontal="center"/>
    </xf>
    <xf numFmtId="3" fontId="9" fillId="2" borderId="0" xfId="0" applyNumberFormat="1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right"/>
    </xf>
    <xf numFmtId="3" fontId="9" fillId="2" borderId="0" xfId="0" applyNumberFormat="1" applyFont="1" applyFill="1" applyAlignment="1">
      <alignment horizontal="right" wrapText="1"/>
    </xf>
    <xf numFmtId="4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8" fillId="2" borderId="0" xfId="0" applyFont="1" applyFill="1"/>
    <xf numFmtId="3" fontId="7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7" fillId="2" borderId="0" xfId="0" applyNumberFormat="1" applyFont="1" applyFill="1"/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center" wrapText="1"/>
    </xf>
    <xf numFmtId="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4" fontId="0" fillId="0" borderId="0" xfId="0" applyNumberFormat="1"/>
    <xf numFmtId="49" fontId="12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 vertical="top"/>
    </xf>
    <xf numFmtId="4" fontId="10" fillId="0" borderId="0" xfId="0" applyNumberFormat="1" applyFont="1" applyAlignment="1">
      <alignment horizontal="right" vertical="top"/>
    </xf>
    <xf numFmtId="4" fontId="10" fillId="0" borderId="1" xfId="0" applyNumberFormat="1" applyFont="1" applyBorder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center"/>
    </xf>
    <xf numFmtId="0" fontId="8" fillId="0" borderId="0" xfId="0" applyFont="1"/>
    <xf numFmtId="4" fontId="7" fillId="0" borderId="0" xfId="0" applyNumberFormat="1" applyFont="1"/>
    <xf numFmtId="14" fontId="10" fillId="0" borderId="0" xfId="0" applyNumberFormat="1" applyFont="1" applyAlignment="1">
      <alignment horizontal="center"/>
    </xf>
    <xf numFmtId="17" fontId="10" fillId="0" borderId="0" xfId="0" applyNumberFormat="1" applyFont="1" applyAlignment="1">
      <alignment horizontal="center"/>
    </xf>
    <xf numFmtId="0" fontId="10" fillId="0" borderId="0" xfId="0" quotePrefix="1" applyFont="1"/>
    <xf numFmtId="171" fontId="10" fillId="0" borderId="0" xfId="0" applyNumberFormat="1" applyFont="1" applyAlignment="1">
      <alignment horizontal="center"/>
    </xf>
    <xf numFmtId="165" fontId="10" fillId="0" borderId="0" xfId="0" applyNumberFormat="1" applyFont="1"/>
    <xf numFmtId="172" fontId="10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4" fontId="13" fillId="0" borderId="0" xfId="3" applyFont="1" applyAlignment="1">
      <alignment horizontal="right"/>
    </xf>
    <xf numFmtId="1" fontId="10" fillId="0" borderId="0" xfId="0" applyNumberFormat="1" applyFont="1" applyAlignment="1">
      <alignment horizontal="center" vertical="top"/>
    </xf>
    <xf numFmtId="167" fontId="10" fillId="0" borderId="0" xfId="0" applyNumberFormat="1" applyFont="1" applyAlignment="1">
      <alignment horizontal="right" vertical="top"/>
    </xf>
    <xf numFmtId="1" fontId="10" fillId="0" borderId="0" xfId="0" applyNumberFormat="1" applyFont="1" applyAlignment="1">
      <alignment vertical="top"/>
    </xf>
    <xf numFmtId="1" fontId="10" fillId="0" borderId="0" xfId="0" quotePrefix="1" applyNumberFormat="1" applyFont="1" applyAlignment="1">
      <alignment vertical="top" wrapText="1"/>
    </xf>
    <xf numFmtId="166" fontId="10" fillId="0" borderId="0" xfId="0" quotePrefix="1" applyNumberFormat="1" applyFont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0" fontId="0" fillId="2" borderId="0" xfId="0" applyFill="1"/>
    <xf numFmtId="0" fontId="14" fillId="2" borderId="0" xfId="0" applyFont="1" applyFill="1"/>
    <xf numFmtId="0" fontId="1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18" fillId="4" borderId="2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wrapText="1"/>
    </xf>
    <xf numFmtId="3" fontId="0" fillId="7" borderId="3" xfId="0" applyNumberFormat="1" applyFill="1" applyBorder="1" applyAlignment="1">
      <alignment horizontal="right"/>
    </xf>
    <xf numFmtId="3" fontId="0" fillId="8" borderId="3" xfId="0" applyNumberFormat="1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8" borderId="3" xfId="0" applyFill="1" applyBorder="1" applyAlignment="1">
      <alignment horizontal="right"/>
    </xf>
    <xf numFmtId="49" fontId="4" fillId="0" borderId="0" xfId="0" applyNumberFormat="1" applyFont="1" applyAlignment="1">
      <alignment vertical="top"/>
    </xf>
    <xf numFmtId="49" fontId="0" fillId="0" borderId="0" xfId="0" applyNumberFormat="1"/>
    <xf numFmtId="0" fontId="16" fillId="4" borderId="0" xfId="0" applyFont="1" applyFill="1" applyAlignment="1">
      <alignment horizontal="center" vertical="center"/>
    </xf>
    <xf numFmtId="0" fontId="0" fillId="0" borderId="0" xfId="0"/>
    <xf numFmtId="0" fontId="17" fillId="9" borderId="0" xfId="0" applyFont="1" applyFill="1" applyAlignment="1">
      <alignment horizontal="left" wrapText="1" indent="1"/>
    </xf>
    <xf numFmtId="0" fontId="17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/>
    <xf numFmtId="4" fontId="4" fillId="0" borderId="0" xfId="0" applyNumberFormat="1" applyFont="1" applyAlignment="1">
      <alignment horizontal="center"/>
    </xf>
    <xf numFmtId="0" fontId="7" fillId="0" borderId="0" xfId="0" applyFont="1"/>
    <xf numFmtId="4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</cellXfs>
  <cellStyles count="4">
    <cellStyle name="Standard" xfId="0" builtinId="0"/>
    <cellStyle name="Standard 2" xfId="1" xr:uid="{00000000-0005-0000-0000-000001000000}"/>
    <cellStyle name="Währung" xfId="2" builtinId="4"/>
    <cellStyle name="Währung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workbookViewId="0">
      <selection sqref="A1:D1"/>
    </sheetView>
  </sheetViews>
  <sheetFormatPr baseColWidth="10" defaultColWidth="9.140625" defaultRowHeight="12.75" x14ac:dyDescent="0.2"/>
  <cols>
    <col min="1" max="1" width="24" customWidth="1"/>
    <col min="2" max="4" width="13" customWidth="1"/>
    <col min="5" max="5" width="3" customWidth="1"/>
    <col min="6" max="6" width="26" customWidth="1"/>
    <col min="7" max="7" width="16" customWidth="1"/>
    <col min="8" max="8" width="2" customWidth="1"/>
    <col min="9" max="9" width="26" customWidth="1"/>
    <col min="10" max="10" width="16" customWidth="1"/>
  </cols>
  <sheetData>
    <row r="1" spans="1:4" ht="21.95" customHeight="1" x14ac:dyDescent="0.2">
      <c r="A1" s="98" t="s">
        <v>0</v>
      </c>
      <c r="B1" s="99"/>
      <c r="C1" s="99"/>
      <c r="D1" s="99"/>
    </row>
    <row r="2" spans="1:4" ht="14.1" customHeight="1" x14ac:dyDescent="0.2">
      <c r="A2" s="101" t="s">
        <v>1</v>
      </c>
      <c r="B2" s="99"/>
      <c r="C2" s="99"/>
      <c r="D2" s="99"/>
    </row>
    <row r="3" spans="1:4" ht="18" customHeight="1" x14ac:dyDescent="0.2">
      <c r="A3" s="89" t="s">
        <v>2</v>
      </c>
      <c r="B3" s="90" t="s">
        <v>3</v>
      </c>
      <c r="C3" s="90" t="s">
        <v>4</v>
      </c>
      <c r="D3" s="90" t="s">
        <v>5</v>
      </c>
    </row>
    <row r="4" spans="1:4" ht="27.95" customHeight="1" x14ac:dyDescent="0.2">
      <c r="A4" s="91" t="s">
        <v>6</v>
      </c>
      <c r="B4" s="91" t="s">
        <v>7</v>
      </c>
      <c r="C4" s="91" t="s">
        <v>8</v>
      </c>
      <c r="D4" s="91" t="s">
        <v>9</v>
      </c>
    </row>
    <row r="5" spans="1:4" x14ac:dyDescent="0.2">
      <c r="A5" s="92">
        <v>1</v>
      </c>
      <c r="B5" s="92">
        <v>31</v>
      </c>
      <c r="C5" s="92">
        <v>49</v>
      </c>
      <c r="D5" s="92">
        <v>72</v>
      </c>
    </row>
    <row r="6" spans="1:4" x14ac:dyDescent="0.2">
      <c r="A6" s="93">
        <v>301</v>
      </c>
      <c r="B6" s="93">
        <v>56</v>
      </c>
      <c r="C6" s="93">
        <v>49</v>
      </c>
      <c r="D6" s="93">
        <v>72</v>
      </c>
    </row>
    <row r="7" spans="1:4" x14ac:dyDescent="0.2">
      <c r="A7" s="92">
        <v>601</v>
      </c>
      <c r="B7" s="92">
        <v>81</v>
      </c>
      <c r="C7" s="92">
        <v>49</v>
      </c>
      <c r="D7" s="92">
        <v>72</v>
      </c>
    </row>
    <row r="8" spans="1:4" x14ac:dyDescent="0.2">
      <c r="A8" s="93">
        <v>901</v>
      </c>
      <c r="B8" s="93">
        <v>106</v>
      </c>
      <c r="C8" s="93">
        <v>49</v>
      </c>
      <c r="D8" s="93">
        <v>72</v>
      </c>
    </row>
    <row r="9" spans="1:4" x14ac:dyDescent="0.2">
      <c r="A9" s="92">
        <v>1201</v>
      </c>
      <c r="B9" s="92">
        <v>130</v>
      </c>
      <c r="C9" s="92">
        <v>49</v>
      </c>
      <c r="D9" s="92">
        <v>72</v>
      </c>
    </row>
    <row r="10" spans="1:4" x14ac:dyDescent="0.2">
      <c r="A10" s="93">
        <v>1501</v>
      </c>
      <c r="B10" s="93">
        <v>166</v>
      </c>
      <c r="C10" s="93">
        <v>49</v>
      </c>
      <c r="D10" s="93">
        <v>72</v>
      </c>
    </row>
    <row r="11" spans="1:4" x14ac:dyDescent="0.2">
      <c r="A11" s="92">
        <v>2001</v>
      </c>
      <c r="B11" s="92">
        <v>200</v>
      </c>
      <c r="C11" s="92">
        <v>49</v>
      </c>
      <c r="D11" s="92">
        <v>72</v>
      </c>
    </row>
    <row r="12" spans="1:4" x14ac:dyDescent="0.2">
      <c r="A12" s="93">
        <v>2501</v>
      </c>
      <c r="B12" s="93">
        <v>235</v>
      </c>
      <c r="C12" s="93">
        <v>49</v>
      </c>
      <c r="D12" s="93">
        <v>72</v>
      </c>
    </row>
    <row r="13" spans="1:4" x14ac:dyDescent="0.2">
      <c r="A13" s="92">
        <v>3001</v>
      </c>
      <c r="B13" s="92">
        <v>270</v>
      </c>
      <c r="C13" s="92">
        <v>57</v>
      </c>
      <c r="D13" s="92">
        <v>72</v>
      </c>
    </row>
    <row r="14" spans="1:4" x14ac:dyDescent="0.2">
      <c r="A14" s="93">
        <v>3501</v>
      </c>
      <c r="B14" s="93">
        <v>305</v>
      </c>
      <c r="C14" s="93">
        <v>68</v>
      </c>
      <c r="D14" s="93">
        <v>72</v>
      </c>
    </row>
    <row r="15" spans="1:4" x14ac:dyDescent="0.2">
      <c r="A15" s="92">
        <v>4001</v>
      </c>
      <c r="B15" s="92">
        <v>340</v>
      </c>
      <c r="C15" s="92">
        <v>76</v>
      </c>
      <c r="D15" s="92">
        <v>72</v>
      </c>
    </row>
    <row r="16" spans="1:4" x14ac:dyDescent="0.2">
      <c r="A16" s="93">
        <v>4501</v>
      </c>
      <c r="B16" s="93">
        <v>375</v>
      </c>
      <c r="C16" s="93">
        <v>86</v>
      </c>
      <c r="D16" s="93">
        <v>72</v>
      </c>
    </row>
    <row r="17" spans="1:4" x14ac:dyDescent="0.2">
      <c r="A17" s="92">
        <v>5001</v>
      </c>
      <c r="B17" s="92">
        <v>422</v>
      </c>
      <c r="C17" s="92">
        <v>96</v>
      </c>
      <c r="D17" s="92">
        <v>72</v>
      </c>
    </row>
    <row r="18" spans="1:4" x14ac:dyDescent="0.2">
      <c r="A18" s="93">
        <v>6001</v>
      </c>
      <c r="B18" s="93">
        <v>467</v>
      </c>
      <c r="C18" s="93">
        <v>105</v>
      </c>
      <c r="D18" s="93">
        <v>72</v>
      </c>
    </row>
    <row r="19" spans="1:4" x14ac:dyDescent="0.2">
      <c r="A19" s="92">
        <v>7001</v>
      </c>
      <c r="B19" s="92">
        <v>514</v>
      </c>
      <c r="C19" s="92">
        <v>116</v>
      </c>
      <c r="D19" s="92">
        <v>72</v>
      </c>
    </row>
    <row r="20" spans="1:4" x14ac:dyDescent="0.2">
      <c r="A20" s="93">
        <v>8001</v>
      </c>
      <c r="B20" s="93">
        <v>560</v>
      </c>
      <c r="C20" s="93">
        <v>121</v>
      </c>
      <c r="D20" s="93">
        <v>72</v>
      </c>
    </row>
    <row r="21" spans="1:4" x14ac:dyDescent="0.2">
      <c r="A21" s="92">
        <v>9001</v>
      </c>
      <c r="B21" s="92">
        <v>605</v>
      </c>
      <c r="C21" s="92">
        <v>127</v>
      </c>
      <c r="D21" s="92">
        <v>72</v>
      </c>
    </row>
    <row r="22" spans="1:4" x14ac:dyDescent="0.2">
      <c r="A22" s="93">
        <v>10001</v>
      </c>
      <c r="B22" s="93">
        <v>655</v>
      </c>
      <c r="C22" s="93">
        <v>134</v>
      </c>
      <c r="D22" s="93">
        <v>72</v>
      </c>
    </row>
    <row r="23" spans="1:4" x14ac:dyDescent="0.2">
      <c r="A23" s="92">
        <v>12501</v>
      </c>
      <c r="B23" s="92">
        <v>655</v>
      </c>
      <c r="C23" s="92">
        <v>151</v>
      </c>
      <c r="D23" s="92">
        <v>72</v>
      </c>
    </row>
    <row r="24" spans="1:4" x14ac:dyDescent="0.2">
      <c r="A24" s="93">
        <v>13001</v>
      </c>
      <c r="B24" s="93">
        <v>705</v>
      </c>
      <c r="C24" s="93">
        <v>151</v>
      </c>
      <c r="D24" s="93">
        <v>72</v>
      </c>
    </row>
    <row r="25" spans="1:4" x14ac:dyDescent="0.2">
      <c r="A25" s="92">
        <v>15001</v>
      </c>
      <c r="B25" s="92">
        <v>705</v>
      </c>
      <c r="C25" s="92">
        <v>166</v>
      </c>
      <c r="D25" s="92">
        <v>80</v>
      </c>
    </row>
    <row r="26" spans="1:4" x14ac:dyDescent="0.2">
      <c r="A26" s="93">
        <v>16001</v>
      </c>
      <c r="B26" s="93">
        <v>755</v>
      </c>
      <c r="C26" s="93">
        <v>166</v>
      </c>
      <c r="D26" s="93">
        <v>80</v>
      </c>
    </row>
    <row r="27" spans="1:4" x14ac:dyDescent="0.2">
      <c r="A27" s="92">
        <v>17501</v>
      </c>
      <c r="B27" s="92">
        <v>755</v>
      </c>
      <c r="C27" s="92">
        <v>178</v>
      </c>
      <c r="D27" s="92">
        <v>88</v>
      </c>
    </row>
    <row r="28" spans="1:4" x14ac:dyDescent="0.2">
      <c r="A28" s="93">
        <v>19001</v>
      </c>
      <c r="B28" s="93">
        <v>805</v>
      </c>
      <c r="C28" s="93">
        <v>178</v>
      </c>
      <c r="D28" s="93">
        <v>88</v>
      </c>
    </row>
    <row r="29" spans="1:4" x14ac:dyDescent="0.2">
      <c r="A29" s="92">
        <v>20001</v>
      </c>
      <c r="B29" s="92">
        <v>805</v>
      </c>
      <c r="C29" s="92">
        <v>191</v>
      </c>
      <c r="D29" s="92">
        <v>93</v>
      </c>
    </row>
    <row r="30" spans="1:4" x14ac:dyDescent="0.2">
      <c r="A30" s="93">
        <v>22001</v>
      </c>
      <c r="B30" s="93">
        <v>854</v>
      </c>
      <c r="C30" s="93">
        <v>191</v>
      </c>
      <c r="D30" s="93">
        <v>93</v>
      </c>
    </row>
    <row r="31" spans="1:4" x14ac:dyDescent="0.2">
      <c r="A31" s="92">
        <v>22501</v>
      </c>
      <c r="B31" s="92">
        <v>854</v>
      </c>
      <c r="C31" s="92">
        <v>201</v>
      </c>
      <c r="D31" s="92">
        <v>101</v>
      </c>
    </row>
    <row r="32" spans="1:4" x14ac:dyDescent="0.2">
      <c r="A32" s="93">
        <v>25001</v>
      </c>
      <c r="B32" s="93">
        <v>946</v>
      </c>
      <c r="C32" s="93">
        <v>215</v>
      </c>
      <c r="D32" s="93">
        <v>108</v>
      </c>
    </row>
    <row r="33" spans="1:4" x14ac:dyDescent="0.2">
      <c r="A33" s="92">
        <v>30001</v>
      </c>
      <c r="B33" s="92">
        <v>1036</v>
      </c>
      <c r="C33" s="92">
        <v>215</v>
      </c>
      <c r="D33" s="92">
        <v>117</v>
      </c>
    </row>
    <row r="34" spans="1:4" x14ac:dyDescent="0.2">
      <c r="A34" s="93">
        <v>35001</v>
      </c>
      <c r="B34" s="93">
        <v>1125</v>
      </c>
      <c r="C34" s="93">
        <v>215</v>
      </c>
      <c r="D34" s="93">
        <v>122</v>
      </c>
    </row>
    <row r="35" spans="1:4" x14ac:dyDescent="0.2">
      <c r="A35" s="92">
        <v>37501</v>
      </c>
      <c r="B35" s="92">
        <v>1125</v>
      </c>
      <c r="C35" s="92">
        <v>263</v>
      </c>
      <c r="D35" s="92">
        <v>122</v>
      </c>
    </row>
    <row r="36" spans="1:4" x14ac:dyDescent="0.2">
      <c r="A36" s="93">
        <v>40001</v>
      </c>
      <c r="B36" s="93">
        <v>1215</v>
      </c>
      <c r="C36" s="93">
        <v>263</v>
      </c>
      <c r="D36" s="93">
        <v>129</v>
      </c>
    </row>
    <row r="37" spans="1:4" x14ac:dyDescent="0.2">
      <c r="A37" s="92">
        <v>45001</v>
      </c>
      <c r="B37" s="92">
        <v>1304</v>
      </c>
      <c r="C37" s="92">
        <v>263</v>
      </c>
      <c r="D37" s="92">
        <v>138</v>
      </c>
    </row>
    <row r="38" spans="1:4" x14ac:dyDescent="0.2">
      <c r="A38" s="93">
        <v>50001</v>
      </c>
      <c r="B38" s="93">
        <v>1399</v>
      </c>
      <c r="C38" s="93">
        <v>303</v>
      </c>
      <c r="D38" s="93">
        <v>145</v>
      </c>
    </row>
    <row r="39" spans="1:4" x14ac:dyDescent="0.2">
      <c r="A39" s="92">
        <v>62501</v>
      </c>
      <c r="B39" s="92">
        <v>1399</v>
      </c>
      <c r="C39" s="92">
        <v>338</v>
      </c>
      <c r="D39" s="92">
        <v>158</v>
      </c>
    </row>
    <row r="40" spans="1:4" x14ac:dyDescent="0.2">
      <c r="A40" s="93">
        <v>65001</v>
      </c>
      <c r="B40" s="93">
        <v>1496</v>
      </c>
      <c r="C40" s="93">
        <v>338</v>
      </c>
      <c r="D40" s="93">
        <v>158</v>
      </c>
    </row>
    <row r="41" spans="1:4" x14ac:dyDescent="0.2">
      <c r="A41" s="92">
        <v>75001</v>
      </c>
      <c r="B41" s="92">
        <v>1496</v>
      </c>
      <c r="C41" s="92">
        <v>353</v>
      </c>
      <c r="D41" s="92">
        <v>174</v>
      </c>
    </row>
    <row r="42" spans="1:4" x14ac:dyDescent="0.2">
      <c r="A42" s="93">
        <v>80001</v>
      </c>
      <c r="B42" s="93">
        <v>1592</v>
      </c>
      <c r="C42" s="93">
        <v>353</v>
      </c>
      <c r="D42" s="93">
        <v>174</v>
      </c>
    </row>
    <row r="43" spans="1:4" x14ac:dyDescent="0.2">
      <c r="A43" s="92">
        <v>87501</v>
      </c>
      <c r="B43" s="92">
        <v>1592</v>
      </c>
      <c r="C43" s="92">
        <v>369</v>
      </c>
      <c r="D43" s="92">
        <v>188</v>
      </c>
    </row>
    <row r="44" spans="1:4" x14ac:dyDescent="0.2">
      <c r="A44" s="93">
        <v>95001</v>
      </c>
      <c r="B44" s="93">
        <v>1689</v>
      </c>
      <c r="C44" s="93">
        <v>369</v>
      </c>
      <c r="D44" s="93">
        <v>188</v>
      </c>
    </row>
    <row r="45" spans="1:4" x14ac:dyDescent="0.2">
      <c r="A45" s="92">
        <v>100001</v>
      </c>
      <c r="B45" s="92">
        <v>1689</v>
      </c>
      <c r="C45" s="92">
        <v>423</v>
      </c>
      <c r="D45" s="92">
        <v>209</v>
      </c>
    </row>
    <row r="46" spans="1:4" x14ac:dyDescent="0.2">
      <c r="A46" s="93">
        <v>110001</v>
      </c>
      <c r="B46" s="93">
        <v>1784</v>
      </c>
      <c r="C46" s="93">
        <v>423</v>
      </c>
      <c r="D46" s="93">
        <v>209</v>
      </c>
    </row>
    <row r="47" spans="1:4" x14ac:dyDescent="0.2">
      <c r="A47" s="92">
        <v>125001</v>
      </c>
      <c r="B47" s="92">
        <v>1879</v>
      </c>
      <c r="C47" s="92">
        <v>471</v>
      </c>
      <c r="D47" s="92">
        <v>230</v>
      </c>
    </row>
    <row r="48" spans="1:4" x14ac:dyDescent="0.2">
      <c r="A48" s="93">
        <v>140001</v>
      </c>
      <c r="B48" s="93">
        <v>1976</v>
      </c>
      <c r="C48" s="93">
        <v>471</v>
      </c>
      <c r="D48" s="93">
        <v>230</v>
      </c>
    </row>
    <row r="49" spans="1:4" x14ac:dyDescent="0.2">
      <c r="A49" s="92">
        <v>150001</v>
      </c>
      <c r="B49" s="92">
        <v>1976</v>
      </c>
      <c r="C49" s="92">
        <v>512</v>
      </c>
      <c r="D49" s="92">
        <v>275</v>
      </c>
    </row>
    <row r="50" spans="1:4" x14ac:dyDescent="0.2">
      <c r="A50" s="93">
        <v>155001</v>
      </c>
      <c r="B50" s="93">
        <v>2071</v>
      </c>
      <c r="C50" s="93">
        <v>512</v>
      </c>
      <c r="D50" s="93">
        <v>275</v>
      </c>
    </row>
    <row r="51" spans="1:4" x14ac:dyDescent="0.2">
      <c r="A51" s="92">
        <v>170001</v>
      </c>
      <c r="B51" s="92">
        <v>2168</v>
      </c>
      <c r="C51" s="92">
        <v>512</v>
      </c>
      <c r="D51" s="92">
        <v>275</v>
      </c>
    </row>
    <row r="52" spans="1:4" x14ac:dyDescent="0.2">
      <c r="A52" s="93">
        <v>175001</v>
      </c>
      <c r="B52" s="93">
        <v>2168</v>
      </c>
      <c r="C52" s="93">
        <v>548</v>
      </c>
      <c r="D52" s="93">
        <v>275</v>
      </c>
    </row>
    <row r="53" spans="1:4" x14ac:dyDescent="0.2">
      <c r="A53" s="92">
        <v>185001</v>
      </c>
      <c r="B53" s="92">
        <v>2264</v>
      </c>
      <c r="C53" s="92">
        <v>548</v>
      </c>
      <c r="D53" s="92">
        <v>275</v>
      </c>
    </row>
    <row r="54" spans="1:4" x14ac:dyDescent="0.2">
      <c r="A54" s="93">
        <v>200001</v>
      </c>
      <c r="B54" s="93">
        <v>2412</v>
      </c>
      <c r="C54" s="93">
        <v>582</v>
      </c>
      <c r="D54" s="93">
        <v>317</v>
      </c>
    </row>
    <row r="55" spans="1:4" x14ac:dyDescent="0.2">
      <c r="A55" s="92">
        <v>225001</v>
      </c>
      <c r="B55" s="92">
        <v>2412</v>
      </c>
      <c r="C55" s="92">
        <v>613</v>
      </c>
      <c r="D55" s="92">
        <v>317</v>
      </c>
    </row>
    <row r="56" spans="1:4" x14ac:dyDescent="0.2">
      <c r="A56" s="93">
        <v>230001</v>
      </c>
      <c r="B56" s="93">
        <v>2559</v>
      </c>
      <c r="C56" s="93">
        <v>613</v>
      </c>
      <c r="D56" s="93">
        <v>317</v>
      </c>
    </row>
    <row r="57" spans="1:4" x14ac:dyDescent="0.2">
      <c r="A57" s="92">
        <v>250001</v>
      </c>
      <c r="B57" s="92">
        <v>2559</v>
      </c>
      <c r="C57" s="92">
        <v>641</v>
      </c>
      <c r="D57" s="92">
        <v>359</v>
      </c>
    </row>
    <row r="58" spans="1:4" x14ac:dyDescent="0.2">
      <c r="A58" s="93">
        <v>260001</v>
      </c>
      <c r="B58" s="93">
        <v>2705</v>
      </c>
      <c r="C58" s="93">
        <v>641</v>
      </c>
      <c r="D58" s="93">
        <v>359</v>
      </c>
    </row>
    <row r="59" spans="1:4" x14ac:dyDescent="0.2">
      <c r="A59" s="92">
        <v>290001</v>
      </c>
      <c r="B59" s="92">
        <v>2859</v>
      </c>
      <c r="C59" s="92">
        <v>641</v>
      </c>
      <c r="D59" s="92">
        <v>359</v>
      </c>
    </row>
    <row r="60" spans="1:4" x14ac:dyDescent="0.2">
      <c r="A60" s="93">
        <v>300001</v>
      </c>
      <c r="B60" s="93">
        <v>2859</v>
      </c>
      <c r="C60" s="93">
        <v>696</v>
      </c>
      <c r="D60" s="93">
        <v>404</v>
      </c>
    </row>
    <row r="61" spans="1:4" x14ac:dyDescent="0.2">
      <c r="A61" s="92">
        <v>320001</v>
      </c>
      <c r="B61" s="92">
        <v>2926</v>
      </c>
      <c r="C61" s="92">
        <v>696</v>
      </c>
      <c r="D61" s="92">
        <v>404</v>
      </c>
    </row>
    <row r="62" spans="1:4" x14ac:dyDescent="0.2">
      <c r="A62" s="93">
        <v>350001</v>
      </c>
      <c r="B62" s="93">
        <v>2990</v>
      </c>
      <c r="C62" s="93">
        <v>746</v>
      </c>
      <c r="D62" s="93">
        <v>441</v>
      </c>
    </row>
    <row r="63" spans="1:4" x14ac:dyDescent="0.2">
      <c r="A63" s="92">
        <v>380001</v>
      </c>
      <c r="B63" s="92">
        <v>3055</v>
      </c>
      <c r="C63" s="92">
        <v>746</v>
      </c>
      <c r="D63" s="92">
        <v>441</v>
      </c>
    </row>
    <row r="64" spans="1:4" x14ac:dyDescent="0.2">
      <c r="A64" s="93">
        <v>400001</v>
      </c>
      <c r="B64" s="93">
        <v>3055</v>
      </c>
      <c r="C64" s="93">
        <v>791</v>
      </c>
      <c r="D64" s="93">
        <v>475</v>
      </c>
    </row>
    <row r="65" spans="1:4" x14ac:dyDescent="0.2">
      <c r="A65" s="92">
        <v>410001</v>
      </c>
      <c r="B65" s="92">
        <v>3115</v>
      </c>
      <c r="C65" s="92">
        <v>791</v>
      </c>
      <c r="D65" s="92">
        <v>475</v>
      </c>
    </row>
    <row r="66" spans="1:4" x14ac:dyDescent="0.2">
      <c r="A66" s="93">
        <v>440001</v>
      </c>
      <c r="B66" s="93">
        <v>3175</v>
      </c>
      <c r="C66" s="93">
        <v>791</v>
      </c>
      <c r="D66" s="93">
        <v>475</v>
      </c>
    </row>
    <row r="67" spans="1:4" x14ac:dyDescent="0.2">
      <c r="A67" s="92">
        <v>450001</v>
      </c>
      <c r="B67" s="92">
        <v>3175</v>
      </c>
      <c r="C67" s="92">
        <v>832</v>
      </c>
      <c r="D67" s="92">
        <v>512</v>
      </c>
    </row>
    <row r="68" spans="1:4" x14ac:dyDescent="0.2">
      <c r="A68" s="93">
        <v>470001</v>
      </c>
      <c r="B68" s="93">
        <v>3234</v>
      </c>
      <c r="C68" s="93">
        <v>832</v>
      </c>
      <c r="D68" s="93">
        <v>512</v>
      </c>
    </row>
    <row r="69" spans="1:4" x14ac:dyDescent="0.2">
      <c r="A69" s="92">
        <v>500001</v>
      </c>
      <c r="B69" s="92">
        <v>3320</v>
      </c>
      <c r="C69" s="92">
        <v>871</v>
      </c>
      <c r="D69" s="92">
        <v>548</v>
      </c>
    </row>
    <row r="70" spans="1:4" x14ac:dyDescent="0.2">
      <c r="A70" s="93">
        <v>550001</v>
      </c>
      <c r="B70" s="93">
        <v>3404</v>
      </c>
      <c r="C70" s="93">
        <v>871</v>
      </c>
      <c r="D70" s="93">
        <v>584</v>
      </c>
    </row>
    <row r="71" spans="1:4" x14ac:dyDescent="0.2">
      <c r="A71" s="92">
        <v>600001</v>
      </c>
      <c r="B71" s="94"/>
      <c r="C71" s="92">
        <v>871</v>
      </c>
      <c r="D71" s="92">
        <v>620</v>
      </c>
    </row>
    <row r="72" spans="1:4" x14ac:dyDescent="0.2">
      <c r="A72" s="93">
        <v>625001</v>
      </c>
      <c r="B72" s="95"/>
      <c r="C72" s="93">
        <v>968</v>
      </c>
      <c r="D72" s="93">
        <v>620</v>
      </c>
    </row>
    <row r="73" spans="1:4" x14ac:dyDescent="0.2">
      <c r="A73" s="92">
        <v>650001</v>
      </c>
      <c r="B73" s="94"/>
      <c r="C73" s="92">
        <v>968</v>
      </c>
      <c r="D73" s="92">
        <v>656</v>
      </c>
    </row>
    <row r="74" spans="1:4" x14ac:dyDescent="0.2">
      <c r="A74" s="93">
        <v>700001</v>
      </c>
      <c r="B74" s="95"/>
      <c r="C74" s="93">
        <v>968</v>
      </c>
      <c r="D74" s="93">
        <v>692</v>
      </c>
    </row>
    <row r="75" spans="1:4" x14ac:dyDescent="0.2">
      <c r="A75" s="92">
        <v>750001</v>
      </c>
      <c r="B75" s="94"/>
      <c r="C75" s="92">
        <v>1050</v>
      </c>
      <c r="D75" s="92">
        <v>728</v>
      </c>
    </row>
    <row r="76" spans="1:4" x14ac:dyDescent="0.2">
      <c r="A76" s="93">
        <v>800001</v>
      </c>
      <c r="B76" s="95"/>
      <c r="C76" s="93">
        <v>1050</v>
      </c>
      <c r="D76" s="93">
        <v>764</v>
      </c>
    </row>
    <row r="77" spans="1:4" x14ac:dyDescent="0.2">
      <c r="A77" s="92">
        <v>850001</v>
      </c>
      <c r="B77" s="94"/>
      <c r="C77" s="92">
        <v>1050</v>
      </c>
      <c r="D77" s="92">
        <v>800</v>
      </c>
    </row>
    <row r="78" spans="1:4" x14ac:dyDescent="0.2">
      <c r="A78" s="93">
        <v>875001</v>
      </c>
      <c r="B78" s="95"/>
      <c r="C78" s="93">
        <v>1126</v>
      </c>
      <c r="D78" s="93">
        <v>800</v>
      </c>
    </row>
    <row r="79" spans="1:4" x14ac:dyDescent="0.2">
      <c r="A79" s="92">
        <v>900001</v>
      </c>
      <c r="B79" s="94"/>
      <c r="C79" s="92">
        <v>1126</v>
      </c>
      <c r="D79" s="92">
        <v>836</v>
      </c>
    </row>
    <row r="80" spans="1:4" ht="27.95" customHeight="1" x14ac:dyDescent="0.2">
      <c r="A80" s="93">
        <v>950001</v>
      </c>
      <c r="B80" s="95"/>
      <c r="C80" s="93">
        <v>1126</v>
      </c>
      <c r="D80" s="93">
        <v>872</v>
      </c>
    </row>
    <row r="81" spans="1:4" x14ac:dyDescent="0.2">
      <c r="A81" s="92">
        <v>1000001</v>
      </c>
      <c r="B81" s="94"/>
      <c r="C81" s="92">
        <v>1194</v>
      </c>
      <c r="D81" s="92">
        <v>908</v>
      </c>
    </row>
    <row r="82" spans="1:4" x14ac:dyDescent="0.2">
      <c r="A82" s="93">
        <v>1050001</v>
      </c>
      <c r="B82" s="95"/>
      <c r="C82" s="93">
        <v>1194</v>
      </c>
      <c r="D82" s="93">
        <v>944</v>
      </c>
    </row>
    <row r="83" spans="1:4" x14ac:dyDescent="0.2">
      <c r="A83" s="92">
        <v>1100001</v>
      </c>
      <c r="B83" s="94"/>
      <c r="C83" s="92">
        <v>1194</v>
      </c>
      <c r="D83" s="92">
        <v>980</v>
      </c>
    </row>
    <row r="84" spans="1:4" x14ac:dyDescent="0.2">
      <c r="A84" s="93">
        <v>1150001</v>
      </c>
      <c r="B84" s="95"/>
      <c r="C84" s="93">
        <v>1194</v>
      </c>
      <c r="D84" s="93">
        <v>1016</v>
      </c>
    </row>
    <row r="85" spans="1:4" x14ac:dyDescent="0.2">
      <c r="A85" s="92">
        <v>1200001</v>
      </c>
      <c r="B85" s="94"/>
      <c r="C85" s="92">
        <v>1194</v>
      </c>
      <c r="D85" s="92">
        <v>1052</v>
      </c>
    </row>
    <row r="86" spans="1:4" x14ac:dyDescent="0.2">
      <c r="A86" s="93">
        <v>1250001</v>
      </c>
      <c r="B86" s="95"/>
      <c r="C86" s="93">
        <v>1324</v>
      </c>
      <c r="D86" s="93">
        <v>1088</v>
      </c>
    </row>
    <row r="87" spans="1:4" x14ac:dyDescent="0.2">
      <c r="A87" s="92">
        <v>1300001</v>
      </c>
      <c r="B87" s="94"/>
      <c r="C87" s="92">
        <v>1324</v>
      </c>
      <c r="D87" s="92">
        <v>1124</v>
      </c>
    </row>
    <row r="88" spans="1:4" x14ac:dyDescent="0.2">
      <c r="A88" s="93">
        <v>1350001</v>
      </c>
      <c r="B88" s="95"/>
      <c r="C88" s="93">
        <v>1324</v>
      </c>
      <c r="D88" s="93">
        <v>1160</v>
      </c>
    </row>
    <row r="89" spans="1:4" x14ac:dyDescent="0.2">
      <c r="A89" s="92">
        <v>1400001</v>
      </c>
      <c r="B89" s="94"/>
      <c r="C89" s="92">
        <v>1324</v>
      </c>
      <c r="D89" s="92">
        <v>1196</v>
      </c>
    </row>
    <row r="90" spans="1:4" x14ac:dyDescent="0.2">
      <c r="A90" s="93">
        <v>1450001</v>
      </c>
      <c r="B90" s="95"/>
      <c r="C90" s="93">
        <v>1324</v>
      </c>
      <c r="D90" s="93">
        <v>1232</v>
      </c>
    </row>
    <row r="91" spans="1:4" x14ac:dyDescent="0.2">
      <c r="A91" s="92">
        <v>1500001</v>
      </c>
      <c r="B91" s="94"/>
      <c r="C91" s="92">
        <v>1438</v>
      </c>
      <c r="D91" s="92">
        <v>1268</v>
      </c>
    </row>
    <row r="92" spans="1:4" x14ac:dyDescent="0.2">
      <c r="A92" s="93">
        <v>1550001</v>
      </c>
      <c r="B92" s="95"/>
      <c r="C92" s="93">
        <v>1438</v>
      </c>
      <c r="D92" s="93">
        <v>1304</v>
      </c>
    </row>
    <row r="93" spans="1:4" x14ac:dyDescent="0.2">
      <c r="A93" s="92">
        <v>1600001</v>
      </c>
      <c r="B93" s="94"/>
      <c r="C93" s="92">
        <v>1438</v>
      </c>
      <c r="D93" s="92">
        <v>1340</v>
      </c>
    </row>
    <row r="94" spans="1:4" x14ac:dyDescent="0.2">
      <c r="A94" s="93">
        <v>1650001</v>
      </c>
      <c r="B94" s="95"/>
      <c r="C94" s="93">
        <v>1438</v>
      </c>
      <c r="D94" s="93">
        <v>1376</v>
      </c>
    </row>
    <row r="95" spans="1:4" x14ac:dyDescent="0.2">
      <c r="A95" s="92">
        <v>1700001</v>
      </c>
      <c r="B95" s="94"/>
      <c r="C95" s="92">
        <v>1438</v>
      </c>
      <c r="D95" s="92">
        <v>1412</v>
      </c>
    </row>
    <row r="96" spans="1:4" x14ac:dyDescent="0.2">
      <c r="A96" s="93">
        <v>1750001</v>
      </c>
      <c r="B96" s="95"/>
      <c r="C96" s="93">
        <v>1542</v>
      </c>
      <c r="D96" s="93">
        <v>1448</v>
      </c>
    </row>
    <row r="97" spans="1:4" x14ac:dyDescent="0.2">
      <c r="A97" s="92">
        <v>1800001</v>
      </c>
      <c r="B97" s="94"/>
      <c r="C97" s="92">
        <v>1542</v>
      </c>
      <c r="D97" s="92">
        <v>1484</v>
      </c>
    </row>
    <row r="98" spans="1:4" x14ac:dyDescent="0.2">
      <c r="A98" s="93">
        <v>1850001</v>
      </c>
      <c r="B98" s="95"/>
      <c r="C98" s="93">
        <v>1542</v>
      </c>
      <c r="D98" s="93">
        <v>1520</v>
      </c>
    </row>
    <row r="99" spans="1:4" x14ac:dyDescent="0.2">
      <c r="A99" s="92">
        <v>1900001</v>
      </c>
      <c r="B99" s="94"/>
      <c r="C99" s="92">
        <v>1542</v>
      </c>
      <c r="D99" s="92">
        <v>1556</v>
      </c>
    </row>
    <row r="100" spans="1:4" x14ac:dyDescent="0.2">
      <c r="A100" s="93">
        <v>1950001</v>
      </c>
      <c r="B100" s="95"/>
      <c r="C100" s="93">
        <v>1542</v>
      </c>
      <c r="D100" s="93">
        <v>1592</v>
      </c>
    </row>
    <row r="101" spans="1:4" x14ac:dyDescent="0.2">
      <c r="A101" s="92">
        <v>2000001</v>
      </c>
      <c r="B101" s="94"/>
      <c r="C101" s="94"/>
      <c r="D101" s="92">
        <v>1628</v>
      </c>
    </row>
    <row r="102" spans="1:4" x14ac:dyDescent="0.2">
      <c r="A102" s="93">
        <v>2050001</v>
      </c>
      <c r="B102" s="95"/>
      <c r="C102" s="95"/>
      <c r="D102" s="93">
        <v>1664</v>
      </c>
    </row>
    <row r="103" spans="1:4" x14ac:dyDescent="0.2">
      <c r="A103" s="92">
        <v>2100001</v>
      </c>
      <c r="B103" s="94"/>
      <c r="C103" s="94"/>
      <c r="D103" s="92">
        <v>1700</v>
      </c>
    </row>
    <row r="104" spans="1:4" x14ac:dyDescent="0.2">
      <c r="A104" s="93">
        <v>2150001</v>
      </c>
      <c r="B104" s="95"/>
      <c r="C104" s="95"/>
      <c r="D104" s="93">
        <v>1736</v>
      </c>
    </row>
    <row r="105" spans="1:4" x14ac:dyDescent="0.2">
      <c r="A105" s="92">
        <v>2200001</v>
      </c>
      <c r="B105" s="94"/>
      <c r="C105" s="94"/>
      <c r="D105" s="92">
        <v>1772</v>
      </c>
    </row>
    <row r="106" spans="1:4" x14ac:dyDescent="0.2">
      <c r="A106" s="93">
        <v>2250001</v>
      </c>
      <c r="B106" s="95"/>
      <c r="C106" s="95"/>
      <c r="D106" s="93">
        <v>1808</v>
      </c>
    </row>
    <row r="107" spans="1:4" x14ac:dyDescent="0.2">
      <c r="A107" s="92">
        <v>2300001</v>
      </c>
      <c r="B107" s="94"/>
      <c r="C107" s="94"/>
      <c r="D107" s="92">
        <v>1844</v>
      </c>
    </row>
    <row r="108" spans="1:4" x14ac:dyDescent="0.2">
      <c r="A108" s="93">
        <v>2350001</v>
      </c>
      <c r="B108" s="95"/>
      <c r="C108" s="95"/>
      <c r="D108" s="93">
        <v>1880</v>
      </c>
    </row>
    <row r="109" spans="1:4" x14ac:dyDescent="0.2">
      <c r="A109" s="92">
        <v>2400001</v>
      </c>
      <c r="B109" s="94"/>
      <c r="C109" s="94"/>
      <c r="D109" s="92">
        <v>1916</v>
      </c>
    </row>
    <row r="110" spans="1:4" x14ac:dyDescent="0.2">
      <c r="A110" s="93">
        <v>2450001</v>
      </c>
      <c r="B110" s="95"/>
      <c r="C110" s="95"/>
      <c r="D110" s="93">
        <v>1952</v>
      </c>
    </row>
    <row r="111" spans="1:4" x14ac:dyDescent="0.2">
      <c r="A111" s="92">
        <v>2500001</v>
      </c>
      <c r="B111" s="94"/>
      <c r="C111" s="94"/>
      <c r="D111" s="92">
        <v>1988</v>
      </c>
    </row>
    <row r="112" spans="1:4" x14ac:dyDescent="0.2">
      <c r="A112" s="93">
        <v>2550001</v>
      </c>
      <c r="B112" s="95"/>
      <c r="C112" s="95"/>
      <c r="D112" s="93">
        <v>2024</v>
      </c>
    </row>
    <row r="113" spans="1:4" x14ac:dyDescent="0.2">
      <c r="A113" s="92">
        <v>2600001</v>
      </c>
      <c r="B113" s="94"/>
      <c r="C113" s="94"/>
      <c r="D113" s="92">
        <v>2060</v>
      </c>
    </row>
    <row r="114" spans="1:4" x14ac:dyDescent="0.2">
      <c r="A114" s="93">
        <v>2650001</v>
      </c>
      <c r="B114" s="95"/>
      <c r="C114" s="95"/>
      <c r="D114" s="93">
        <v>2096</v>
      </c>
    </row>
    <row r="115" spans="1:4" x14ac:dyDescent="0.2">
      <c r="A115" s="92">
        <v>2700001</v>
      </c>
      <c r="B115" s="94"/>
      <c r="C115" s="94"/>
      <c r="D115" s="92">
        <v>2132</v>
      </c>
    </row>
    <row r="116" spans="1:4" x14ac:dyDescent="0.2">
      <c r="A116" s="93">
        <v>2750001</v>
      </c>
      <c r="B116" s="95"/>
      <c r="C116" s="95"/>
      <c r="D116" s="93">
        <v>2168</v>
      </c>
    </row>
    <row r="117" spans="1:4" x14ac:dyDescent="0.2">
      <c r="A117" s="92">
        <v>2800001</v>
      </c>
      <c r="B117" s="94"/>
      <c r="C117" s="94"/>
      <c r="D117" s="92">
        <v>2204</v>
      </c>
    </row>
    <row r="118" spans="1:4" x14ac:dyDescent="0.2">
      <c r="A118" s="93">
        <v>2850001</v>
      </c>
      <c r="B118" s="95"/>
      <c r="C118" s="95"/>
      <c r="D118" s="93">
        <v>2240</v>
      </c>
    </row>
    <row r="119" spans="1:4" x14ac:dyDescent="0.2">
      <c r="A119" s="92">
        <v>2900001</v>
      </c>
      <c r="B119" s="94"/>
      <c r="C119" s="94"/>
      <c r="D119" s="92">
        <v>2276</v>
      </c>
    </row>
    <row r="120" spans="1:4" x14ac:dyDescent="0.2">
      <c r="A120" s="93">
        <v>2950001</v>
      </c>
      <c r="B120" s="95"/>
      <c r="C120" s="95"/>
      <c r="D120" s="93">
        <v>2312</v>
      </c>
    </row>
    <row r="121" spans="1:4" x14ac:dyDescent="0.2">
      <c r="A121" s="92">
        <v>3000001</v>
      </c>
      <c r="B121" s="94"/>
      <c r="C121" s="94"/>
      <c r="D121" s="92">
        <v>2348</v>
      </c>
    </row>
    <row r="122" spans="1:4" x14ac:dyDescent="0.2">
      <c r="A122" s="93">
        <v>3050001</v>
      </c>
      <c r="B122" s="95"/>
      <c r="C122" s="95"/>
      <c r="D122" s="93">
        <v>2384</v>
      </c>
    </row>
    <row r="123" spans="1:4" x14ac:dyDescent="0.2">
      <c r="A123" s="92">
        <v>3100001</v>
      </c>
      <c r="B123" s="94"/>
      <c r="C123" s="94"/>
      <c r="D123" s="92">
        <v>2420</v>
      </c>
    </row>
    <row r="124" spans="1:4" x14ac:dyDescent="0.2">
      <c r="A124" s="93">
        <v>3150001</v>
      </c>
      <c r="B124" s="95"/>
      <c r="C124" s="95"/>
      <c r="D124" s="93">
        <v>2456</v>
      </c>
    </row>
    <row r="125" spans="1:4" x14ac:dyDescent="0.2">
      <c r="A125" s="92">
        <v>3200001</v>
      </c>
      <c r="B125" s="94"/>
      <c r="C125" s="94"/>
      <c r="D125" s="92">
        <v>2492</v>
      </c>
    </row>
    <row r="126" spans="1:4" x14ac:dyDescent="0.2">
      <c r="A126" s="93">
        <v>3250001</v>
      </c>
      <c r="B126" s="95"/>
      <c r="C126" s="95"/>
      <c r="D126" s="93">
        <v>2528</v>
      </c>
    </row>
    <row r="127" spans="1:4" x14ac:dyDescent="0.2">
      <c r="A127" s="92">
        <v>3300001</v>
      </c>
      <c r="B127" s="94"/>
      <c r="C127" s="94"/>
      <c r="D127" s="92">
        <v>2564</v>
      </c>
    </row>
    <row r="128" spans="1:4" x14ac:dyDescent="0.2">
      <c r="A128" s="93">
        <v>3350001</v>
      </c>
      <c r="B128" s="95"/>
      <c r="C128" s="95"/>
      <c r="D128" s="93">
        <v>2600</v>
      </c>
    </row>
    <row r="129" spans="1:4" x14ac:dyDescent="0.2">
      <c r="A129" s="92">
        <v>3400001</v>
      </c>
      <c r="B129" s="94"/>
      <c r="C129" s="94"/>
      <c r="D129" s="92">
        <v>2636</v>
      </c>
    </row>
    <row r="130" spans="1:4" x14ac:dyDescent="0.2">
      <c r="A130" s="93">
        <v>3450001</v>
      </c>
      <c r="B130" s="95"/>
      <c r="C130" s="95"/>
      <c r="D130" s="93">
        <v>2672</v>
      </c>
    </row>
    <row r="131" spans="1:4" x14ac:dyDescent="0.2">
      <c r="A131" s="92">
        <v>3500001</v>
      </c>
      <c r="B131" s="94"/>
      <c r="C131" s="94"/>
      <c r="D131" s="92">
        <v>2708</v>
      </c>
    </row>
    <row r="132" spans="1:4" x14ac:dyDescent="0.2">
      <c r="A132" s="93">
        <v>3550001</v>
      </c>
      <c r="B132" s="95"/>
      <c r="C132" s="95"/>
      <c r="D132" s="93">
        <v>2744</v>
      </c>
    </row>
    <row r="133" spans="1:4" x14ac:dyDescent="0.2">
      <c r="A133" s="92">
        <v>3600001</v>
      </c>
      <c r="B133" s="94"/>
      <c r="C133" s="94"/>
      <c r="D133" s="92">
        <v>2780</v>
      </c>
    </row>
    <row r="134" spans="1:4" x14ac:dyDescent="0.2">
      <c r="A134" s="93">
        <v>3650001</v>
      </c>
      <c r="B134" s="95"/>
      <c r="C134" s="95"/>
      <c r="D134" s="93">
        <v>2816</v>
      </c>
    </row>
    <row r="135" spans="1:4" x14ac:dyDescent="0.2">
      <c r="A135" s="92">
        <v>3700001</v>
      </c>
      <c r="B135" s="94"/>
      <c r="C135" s="94"/>
      <c r="D135" s="92">
        <v>2852</v>
      </c>
    </row>
    <row r="136" spans="1:4" x14ac:dyDescent="0.2">
      <c r="A136" s="93">
        <v>3750001</v>
      </c>
      <c r="B136" s="95"/>
      <c r="C136" s="95"/>
      <c r="D136" s="93">
        <v>2888</v>
      </c>
    </row>
    <row r="137" spans="1:4" x14ac:dyDescent="0.2">
      <c r="A137" s="92">
        <v>3800001</v>
      </c>
      <c r="B137" s="94"/>
      <c r="C137" s="94"/>
      <c r="D137" s="92">
        <v>2924</v>
      </c>
    </row>
    <row r="138" spans="1:4" x14ac:dyDescent="0.2">
      <c r="A138" s="93">
        <v>3850001</v>
      </c>
      <c r="B138" s="95"/>
      <c r="C138" s="95"/>
      <c r="D138" s="93">
        <v>2960</v>
      </c>
    </row>
    <row r="139" spans="1:4" x14ac:dyDescent="0.2">
      <c r="A139" s="92">
        <v>3900001</v>
      </c>
      <c r="B139" s="94"/>
      <c r="C139" s="94"/>
      <c r="D139" s="92">
        <v>2996</v>
      </c>
    </row>
    <row r="140" spans="1:4" x14ac:dyDescent="0.2">
      <c r="A140" s="93">
        <v>3950001</v>
      </c>
      <c r="B140" s="95"/>
      <c r="C140" s="95"/>
      <c r="D140" s="93">
        <v>3032</v>
      </c>
    </row>
    <row r="141" spans="1:4" x14ac:dyDescent="0.2">
      <c r="A141" s="92">
        <v>4000001</v>
      </c>
      <c r="B141" s="94"/>
      <c r="C141" s="94"/>
      <c r="D141" s="92">
        <v>3068</v>
      </c>
    </row>
    <row r="142" spans="1:4" x14ac:dyDescent="0.2">
      <c r="A142" s="93">
        <v>4050001</v>
      </c>
      <c r="B142" s="95"/>
      <c r="C142" s="95"/>
      <c r="D142" s="93">
        <v>3104</v>
      </c>
    </row>
    <row r="143" spans="1:4" x14ac:dyDescent="0.2">
      <c r="A143" s="92">
        <v>4100001</v>
      </c>
      <c r="B143" s="94"/>
      <c r="C143" s="94"/>
      <c r="D143" s="92">
        <v>3140</v>
      </c>
    </row>
    <row r="144" spans="1:4" x14ac:dyDescent="0.2">
      <c r="A144" s="93">
        <v>4150001</v>
      </c>
      <c r="B144" s="95"/>
      <c r="C144" s="95"/>
      <c r="D144" s="93">
        <v>3176</v>
      </c>
    </row>
    <row r="145" spans="1:4" x14ac:dyDescent="0.2">
      <c r="A145" s="92">
        <v>4200001</v>
      </c>
      <c r="B145" s="94"/>
      <c r="C145" s="94"/>
      <c r="D145" s="92">
        <v>3212</v>
      </c>
    </row>
    <row r="146" spans="1:4" x14ac:dyDescent="0.2">
      <c r="A146" s="93">
        <v>4250001</v>
      </c>
      <c r="B146" s="95"/>
      <c r="C146" s="95"/>
      <c r="D146" s="93">
        <v>3248</v>
      </c>
    </row>
    <row r="147" spans="1:4" x14ac:dyDescent="0.2">
      <c r="A147" s="92">
        <v>4300001</v>
      </c>
      <c r="B147" s="94"/>
      <c r="C147" s="94"/>
      <c r="D147" s="92">
        <v>3284</v>
      </c>
    </row>
    <row r="148" spans="1:4" x14ac:dyDescent="0.2">
      <c r="A148" s="93">
        <v>4350001</v>
      </c>
      <c r="B148" s="95"/>
      <c r="C148" s="95"/>
      <c r="D148" s="93">
        <v>3320</v>
      </c>
    </row>
    <row r="149" spans="1:4" x14ac:dyDescent="0.2">
      <c r="A149" s="92">
        <v>4400001</v>
      </c>
      <c r="B149" s="94"/>
      <c r="C149" s="94"/>
      <c r="D149" s="92">
        <v>3356</v>
      </c>
    </row>
    <row r="150" spans="1:4" x14ac:dyDescent="0.2">
      <c r="A150" s="93">
        <v>4450001</v>
      </c>
      <c r="B150" s="95"/>
      <c r="C150" s="95"/>
      <c r="D150" s="93">
        <v>3392</v>
      </c>
    </row>
    <row r="151" spans="1:4" x14ac:dyDescent="0.2">
      <c r="A151" s="92">
        <v>4500001</v>
      </c>
      <c r="B151" s="94"/>
      <c r="C151" s="94"/>
      <c r="D151" s="92">
        <v>3428</v>
      </c>
    </row>
    <row r="152" spans="1:4" x14ac:dyDescent="0.2">
      <c r="A152" s="93">
        <v>4550001</v>
      </c>
      <c r="B152" s="95"/>
      <c r="C152" s="95"/>
      <c r="D152" s="93">
        <v>3464</v>
      </c>
    </row>
    <row r="153" spans="1:4" x14ac:dyDescent="0.2">
      <c r="A153" s="92">
        <v>4600001</v>
      </c>
      <c r="B153" s="94"/>
      <c r="C153" s="94"/>
      <c r="D153" s="92">
        <v>3500</v>
      </c>
    </row>
    <row r="154" spans="1:4" x14ac:dyDescent="0.2">
      <c r="A154" s="93">
        <v>4650001</v>
      </c>
      <c r="B154" s="95"/>
      <c r="C154" s="95"/>
      <c r="D154" s="93">
        <v>3536</v>
      </c>
    </row>
    <row r="155" spans="1:4" x14ac:dyDescent="0.2">
      <c r="A155" s="92">
        <v>4700001</v>
      </c>
      <c r="B155" s="94"/>
      <c r="C155" s="94"/>
      <c r="D155" s="92">
        <v>3572</v>
      </c>
    </row>
    <row r="156" spans="1:4" x14ac:dyDescent="0.2">
      <c r="A156" s="93">
        <v>4750001</v>
      </c>
      <c r="B156" s="95"/>
      <c r="C156" s="95"/>
      <c r="D156" s="93">
        <v>3608</v>
      </c>
    </row>
    <row r="157" spans="1:4" x14ac:dyDescent="0.2">
      <c r="A157" s="92">
        <v>4800001</v>
      </c>
      <c r="B157" s="94"/>
      <c r="C157" s="94"/>
      <c r="D157" s="92">
        <v>3644</v>
      </c>
    </row>
    <row r="158" spans="1:4" x14ac:dyDescent="0.2">
      <c r="A158" s="93">
        <v>4850001</v>
      </c>
      <c r="B158" s="95"/>
      <c r="C158" s="95"/>
      <c r="D158" s="93">
        <v>3680</v>
      </c>
    </row>
    <row r="159" spans="1:4" x14ac:dyDescent="0.2">
      <c r="A159" s="92">
        <v>4900001</v>
      </c>
      <c r="B159" s="94"/>
      <c r="C159" s="94"/>
      <c r="D159" s="92">
        <v>3716</v>
      </c>
    </row>
    <row r="160" spans="1:4" x14ac:dyDescent="0.2">
      <c r="A160" s="93">
        <v>4950001</v>
      </c>
      <c r="B160" s="95"/>
      <c r="C160" s="95"/>
      <c r="D160" s="93">
        <v>3752</v>
      </c>
    </row>
    <row r="162" spans="1:4" ht="27.95" customHeight="1" x14ac:dyDescent="0.2">
      <c r="A162" s="100" t="s">
        <v>10</v>
      </c>
      <c r="B162" s="99"/>
      <c r="C162" s="99"/>
      <c r="D162" s="99"/>
    </row>
  </sheetData>
  <mergeCells count="3">
    <mergeCell ref="A1:D1"/>
    <mergeCell ref="A162:D16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workbookViewId="0">
      <selection sqref="A1:D1"/>
    </sheetView>
  </sheetViews>
  <sheetFormatPr baseColWidth="10" defaultColWidth="11.5703125" defaultRowHeight="15.75" x14ac:dyDescent="0.25"/>
  <cols>
    <col min="1" max="1" width="28.28515625" style="6" customWidth="1"/>
    <col min="2" max="2" width="14.5703125" style="6" customWidth="1"/>
    <col min="3" max="3" width="47" style="6" customWidth="1"/>
    <col min="4" max="4" width="28.7109375" style="4" customWidth="1"/>
    <col min="5" max="5" width="15" style="5" customWidth="1"/>
    <col min="6" max="6" width="19.28515625" style="5" customWidth="1"/>
    <col min="7" max="7" width="14.28515625" style="6" customWidth="1"/>
    <col min="8" max="8" width="26.140625" style="6" customWidth="1"/>
    <col min="9" max="26" width="11.5703125" style="6" customWidth="1"/>
    <col min="27" max="16384" width="11.5703125" style="6"/>
  </cols>
  <sheetData>
    <row r="1" spans="1:17" x14ac:dyDescent="0.25">
      <c r="A1" s="29" t="s">
        <v>11</v>
      </c>
    </row>
    <row r="2" spans="1:17" s="12" customFormat="1" ht="15" customHeight="1" x14ac:dyDescent="0.25">
      <c r="A2" s="12" t="s">
        <v>12</v>
      </c>
      <c r="C2" s="64"/>
    </row>
    <row r="3" spans="1:17" s="12" customFormat="1" ht="15" customHeight="1" x14ac:dyDescent="0.25">
      <c r="A3" s="12" t="s">
        <v>13</v>
      </c>
      <c r="C3" s="64"/>
    </row>
    <row r="4" spans="1:17" s="12" customFormat="1" ht="15" customHeight="1" x14ac:dyDescent="0.25">
      <c r="A4" s="12" t="s">
        <v>14</v>
      </c>
      <c r="C4" s="64"/>
      <c r="D4" s="11"/>
      <c r="E4" s="104"/>
      <c r="F4" s="105"/>
      <c r="G4" s="105"/>
    </row>
    <row r="5" spans="1:17" s="12" customFormat="1" ht="15" customHeight="1" x14ac:dyDescent="0.25">
      <c r="D5" s="11"/>
      <c r="E5" s="104"/>
      <c r="F5" s="105"/>
      <c r="G5" s="105"/>
      <c r="J5" s="17"/>
      <c r="K5" s="68"/>
      <c r="L5" s="66"/>
      <c r="M5" s="67"/>
      <c r="N5" s="72"/>
      <c r="O5" s="17"/>
      <c r="P5" s="71"/>
      <c r="Q5" s="70"/>
    </row>
    <row r="6" spans="1:17" s="12" customFormat="1" ht="15" customHeight="1" x14ac:dyDescent="0.25">
      <c r="A6" s="30" t="s">
        <v>15</v>
      </c>
      <c r="B6" s="18" t="s">
        <v>16</v>
      </c>
      <c r="D6" s="11"/>
      <c r="E6" s="63"/>
      <c r="F6" s="63"/>
      <c r="G6" s="63"/>
    </row>
    <row r="7" spans="1:17" s="12" customFormat="1" ht="15" customHeight="1" x14ac:dyDescent="0.25">
      <c r="A7" s="30" t="s">
        <v>17</v>
      </c>
      <c r="B7" s="18">
        <v>10113</v>
      </c>
      <c r="D7" s="14"/>
      <c r="E7" s="65"/>
      <c r="F7" s="65"/>
    </row>
    <row r="8" spans="1:17" ht="17.25" customHeight="1" x14ac:dyDescent="0.25">
      <c r="A8" s="30" t="s">
        <v>18</v>
      </c>
      <c r="B8" s="19">
        <v>45853</v>
      </c>
    </row>
    <row r="9" spans="1:17" ht="17.25" customHeight="1" x14ac:dyDescent="0.25">
      <c r="A9" s="73"/>
      <c r="B9" s="73"/>
      <c r="C9" s="19"/>
    </row>
    <row r="10" spans="1:17" s="12" customFormat="1" ht="21" customHeight="1" x14ac:dyDescent="0.25">
      <c r="C10" s="34" t="s">
        <v>19</v>
      </c>
      <c r="D10" s="13"/>
      <c r="E10" s="14"/>
      <c r="F10" s="14"/>
    </row>
    <row r="11" spans="1:17" s="12" customFormat="1" ht="21" customHeight="1" x14ac:dyDescent="0.25">
      <c r="A11" s="30" t="s">
        <v>20</v>
      </c>
      <c r="B11" s="39"/>
      <c r="C11" s="30"/>
      <c r="D11" s="40"/>
      <c r="E11" s="41"/>
      <c r="F11" s="42"/>
      <c r="G11" s="30"/>
    </row>
    <row r="12" spans="1:17" s="12" customFormat="1" ht="21" customHeight="1" x14ac:dyDescent="0.25">
      <c r="D12" s="13"/>
      <c r="E12" s="14"/>
      <c r="F12" s="14"/>
    </row>
    <row r="13" spans="1:17" s="12" customFormat="1" ht="33.75" customHeight="1" x14ac:dyDescent="0.25">
      <c r="A13" s="38" t="s">
        <v>21</v>
      </c>
      <c r="B13" s="31" t="s">
        <v>22</v>
      </c>
      <c r="C13" s="37" t="s">
        <v>23</v>
      </c>
      <c r="D13" s="32" t="s">
        <v>24</v>
      </c>
      <c r="E13" s="33" t="s">
        <v>25</v>
      </c>
      <c r="F13" s="35" t="s">
        <v>26</v>
      </c>
      <c r="G13" s="36" t="s">
        <v>27</v>
      </c>
      <c r="H13" s="85" t="s">
        <v>28</v>
      </c>
      <c r="I13" s="16"/>
    </row>
    <row r="14" spans="1:17" s="17" customFormat="1" ht="30.75" customHeight="1" x14ac:dyDescent="0.2">
      <c r="A14" s="79">
        <v>1</v>
      </c>
      <c r="B14" s="81">
        <v>45658</v>
      </c>
      <c r="C14" s="22" t="s">
        <v>29</v>
      </c>
      <c r="D14" s="77">
        <v>1</v>
      </c>
      <c r="E14" s="28" t="s">
        <v>30</v>
      </c>
      <c r="F14" s="78">
        <v>9</v>
      </c>
      <c r="G14" s="60">
        <f>+D14*F14</f>
        <v>9</v>
      </c>
      <c r="H14" s="87"/>
    </row>
    <row r="15" spans="1:17" s="17" customFormat="1" ht="38.25" customHeight="1" x14ac:dyDescent="0.2">
      <c r="A15" s="79">
        <v>2</v>
      </c>
      <c r="B15" s="82">
        <v>45681</v>
      </c>
      <c r="C15" s="22" t="s">
        <v>31</v>
      </c>
      <c r="D15" s="77">
        <v>15</v>
      </c>
      <c r="E15" s="28" t="s">
        <v>30</v>
      </c>
      <c r="F15" s="78">
        <v>15</v>
      </c>
      <c r="G15" s="60">
        <f>+D15*F15</f>
        <v>225</v>
      </c>
      <c r="H15" s="87"/>
    </row>
    <row r="16" spans="1:17" s="17" customFormat="1" ht="27" customHeight="1" x14ac:dyDescent="0.2">
      <c r="A16" s="79">
        <v>3</v>
      </c>
      <c r="B16" s="81">
        <v>45689</v>
      </c>
      <c r="C16" s="22" t="s">
        <v>32</v>
      </c>
      <c r="D16" s="77">
        <v>2</v>
      </c>
      <c r="E16" s="28" t="s">
        <v>30</v>
      </c>
      <c r="F16" s="78">
        <v>9</v>
      </c>
      <c r="G16" s="60">
        <f>+D16*F16</f>
        <v>18</v>
      </c>
      <c r="H16" s="87"/>
    </row>
    <row r="17" spans="1:11" s="17" customFormat="1" ht="13.5" customHeight="1" x14ac:dyDescent="0.2">
      <c r="A17" s="80">
        <v>4</v>
      </c>
      <c r="B17" s="82">
        <v>45708</v>
      </c>
      <c r="C17" s="22" t="s">
        <v>33</v>
      </c>
      <c r="D17" s="77">
        <v>17</v>
      </c>
      <c r="E17" s="28" t="s">
        <v>30</v>
      </c>
      <c r="F17" s="78">
        <v>15</v>
      </c>
      <c r="G17" s="60">
        <f>+D17*F17</f>
        <v>255</v>
      </c>
      <c r="H17" s="87"/>
    </row>
    <row r="18" spans="1:11" s="17" customFormat="1" ht="27" customHeight="1" x14ac:dyDescent="0.2">
      <c r="A18" s="79">
        <v>5</v>
      </c>
      <c r="B18" s="82">
        <v>45740</v>
      </c>
      <c r="C18" s="22" t="s">
        <v>34</v>
      </c>
      <c r="D18" s="77">
        <v>17</v>
      </c>
      <c r="E18" s="28" t="s">
        <v>30</v>
      </c>
      <c r="F18" s="78">
        <v>15</v>
      </c>
      <c r="G18" s="60">
        <f>+D18*F18</f>
        <v>255</v>
      </c>
      <c r="H18" s="87"/>
    </row>
    <row r="19" spans="1:11" s="17" customFormat="1" ht="24.75" customHeight="1" x14ac:dyDescent="0.2">
      <c r="A19" s="79">
        <v>6</v>
      </c>
      <c r="B19" s="82">
        <v>45658</v>
      </c>
      <c r="C19" s="22" t="s">
        <v>35</v>
      </c>
      <c r="D19" s="77">
        <v>0</v>
      </c>
      <c r="E19" s="28" t="s">
        <v>30</v>
      </c>
      <c r="F19" s="60">
        <f>SUM(G14:G18)*0.2</f>
        <v>152.4</v>
      </c>
      <c r="G19" s="24">
        <v>60</v>
      </c>
      <c r="H19" s="87"/>
    </row>
    <row r="20" spans="1:11" s="17" customFormat="1" ht="15" customHeight="1" x14ac:dyDescent="0.25">
      <c r="A20" s="23"/>
      <c r="B20" s="23"/>
      <c r="C20" s="23"/>
      <c r="E20" s="23"/>
      <c r="F20" s="76" t="s">
        <v>36</v>
      </c>
      <c r="G20" s="60">
        <f>SUM(G14:G19)</f>
        <v>822</v>
      </c>
      <c r="H20" s="21"/>
      <c r="I20" s="70"/>
      <c r="K20" s="70"/>
    </row>
    <row r="21" spans="1:11" s="17" customFormat="1" ht="15" customHeight="1" x14ac:dyDescent="0.25">
      <c r="A21" s="21"/>
      <c r="B21" s="21"/>
      <c r="C21" s="21"/>
      <c r="E21" s="23"/>
      <c r="F21" s="76" t="s">
        <v>37</v>
      </c>
      <c r="G21" s="60">
        <f>+G20*0.19</f>
        <v>156.18</v>
      </c>
      <c r="H21" s="21"/>
    </row>
    <row r="22" spans="1:11" s="17" customFormat="1" thickBot="1" x14ac:dyDescent="0.3">
      <c r="A22" s="21"/>
      <c r="B22" s="21"/>
      <c r="C22" s="21"/>
      <c r="E22" s="25"/>
      <c r="F22" s="76" t="s">
        <v>38</v>
      </c>
      <c r="G22" s="61">
        <f>SUM(G20:G21)</f>
        <v>978.18000000000006</v>
      </c>
      <c r="H22" s="21"/>
      <c r="I22" s="70"/>
    </row>
    <row r="23" spans="1:11" s="17" customFormat="1" ht="5.25" customHeight="1" thickTop="1" x14ac:dyDescent="0.2">
      <c r="A23" s="21"/>
      <c r="B23" s="21"/>
      <c r="C23" s="21"/>
      <c r="D23" s="20"/>
      <c r="E23" s="25"/>
      <c r="F23" s="25"/>
      <c r="G23" s="24"/>
      <c r="H23" s="21"/>
      <c r="I23" s="70"/>
    </row>
    <row r="24" spans="1:11" s="17" customFormat="1" ht="15" customHeight="1" x14ac:dyDescent="0.2">
      <c r="A24" s="74"/>
      <c r="B24" s="74"/>
      <c r="C24" s="23"/>
      <c r="D24" s="25"/>
      <c r="E24" s="25"/>
      <c r="F24" s="25"/>
      <c r="G24" s="75"/>
      <c r="H24" s="21"/>
    </row>
    <row r="25" spans="1:11" s="7" customFormat="1" ht="15" customHeight="1" x14ac:dyDescent="0.25">
      <c r="D25" s="63"/>
      <c r="E25" s="8"/>
      <c r="F25" s="8"/>
    </row>
    <row r="26" spans="1:11" s="7" customFormat="1" ht="15" customHeight="1" x14ac:dyDescent="0.25">
      <c r="D26" s="63"/>
      <c r="E26" s="8"/>
      <c r="F26" s="8"/>
    </row>
    <row r="27" spans="1:11" s="7" customFormat="1" ht="19.5" customHeight="1" x14ac:dyDescent="0.25">
      <c r="D27" s="63"/>
      <c r="E27" s="8"/>
      <c r="F27" s="8"/>
    </row>
    <row r="29" spans="1:11" s="17" customFormat="1" ht="13.5" customHeight="1" x14ac:dyDescent="0.2"/>
    <row r="30" spans="1:11" s="17" customFormat="1" ht="13.5" customHeight="1" x14ac:dyDescent="0.2">
      <c r="D30" s="69"/>
      <c r="G30" s="70"/>
    </row>
    <row r="31" spans="1:11" s="17" customFormat="1" ht="8.25" customHeight="1" x14ac:dyDescent="0.2">
      <c r="D31" s="69"/>
      <c r="G31" s="70"/>
    </row>
    <row r="32" spans="1:11" s="17" customFormat="1" ht="13.5" customHeight="1" x14ac:dyDescent="0.2">
      <c r="A32" s="102"/>
      <c r="B32" s="103"/>
      <c r="C32" s="103"/>
      <c r="D32" s="103"/>
      <c r="E32" s="103"/>
      <c r="F32" s="103"/>
      <c r="G32" s="103"/>
    </row>
    <row r="34" s="6" customFormat="1" x14ac:dyDescent="0.25"/>
  </sheetData>
  <mergeCells count="3">
    <mergeCell ref="A32:G32"/>
    <mergeCell ref="E5:G5"/>
    <mergeCell ref="E4:G4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selection activeCell="G14" sqref="G14"/>
    </sheetView>
  </sheetViews>
  <sheetFormatPr baseColWidth="10" defaultColWidth="11.5703125" defaultRowHeight="15.75" x14ac:dyDescent="0.25"/>
  <cols>
    <col min="1" max="1" width="29.28515625" style="6" customWidth="1"/>
    <col min="2" max="2" width="22" style="6" customWidth="1"/>
    <col min="3" max="3" width="29.85546875" style="6" customWidth="1"/>
    <col min="4" max="4" width="13" style="3" customWidth="1"/>
    <col min="5" max="5" width="16.42578125" style="4" customWidth="1"/>
    <col min="6" max="6" width="16.42578125" style="5" customWidth="1"/>
    <col min="7" max="7" width="12.28515625" style="6" customWidth="1"/>
    <col min="8" max="8" width="23.28515625" style="6" customWidth="1"/>
    <col min="9" max="26" width="11.5703125" style="6" customWidth="1"/>
    <col min="27" max="16384" width="11.5703125" style="6"/>
  </cols>
  <sheetData>
    <row r="1" spans="1:8" x14ac:dyDescent="0.25">
      <c r="A1" s="29" t="s">
        <v>11</v>
      </c>
    </row>
    <row r="2" spans="1:8" x14ac:dyDescent="0.25">
      <c r="A2" s="7" t="s">
        <v>12</v>
      </c>
      <c r="B2" s="9"/>
    </row>
    <row r="3" spans="1:8" x14ac:dyDescent="0.25">
      <c r="A3" s="7" t="s">
        <v>13</v>
      </c>
      <c r="B3" s="9"/>
    </row>
    <row r="4" spans="1:8" x14ac:dyDescent="0.25">
      <c r="A4" s="7" t="s">
        <v>14</v>
      </c>
      <c r="B4" s="9"/>
      <c r="C4" s="2"/>
    </row>
    <row r="5" spans="1:8" ht="17.25" customHeight="1" x14ac:dyDescent="0.25">
      <c r="A5" s="1"/>
      <c r="B5" s="2"/>
      <c r="C5" s="2"/>
    </row>
    <row r="6" spans="1:8" s="7" customFormat="1" ht="15" customHeight="1" x14ac:dyDescent="0.25">
      <c r="A6" s="30" t="s">
        <v>15</v>
      </c>
      <c r="B6" s="10" t="s">
        <v>39</v>
      </c>
      <c r="C6" s="10"/>
      <c r="D6" s="8"/>
      <c r="E6" s="106"/>
      <c r="F6" s="107"/>
      <c r="G6" s="19"/>
    </row>
    <row r="7" spans="1:8" s="7" customFormat="1" ht="15" customHeight="1" x14ac:dyDescent="0.25">
      <c r="A7" s="30" t="s">
        <v>17</v>
      </c>
      <c r="B7" s="18">
        <v>10113</v>
      </c>
      <c r="D7" s="8"/>
      <c r="E7" s="108"/>
      <c r="F7" s="107"/>
      <c r="G7" s="10"/>
    </row>
    <row r="8" spans="1:8" s="7" customFormat="1" ht="15" customHeight="1" x14ac:dyDescent="0.25">
      <c r="A8" s="30" t="s">
        <v>18</v>
      </c>
      <c r="B8" s="58">
        <v>45853</v>
      </c>
      <c r="D8" s="8"/>
      <c r="E8" s="108"/>
      <c r="F8" s="107"/>
      <c r="G8" s="10"/>
    </row>
    <row r="9" spans="1:8" s="7" customFormat="1" ht="15" customHeight="1" x14ac:dyDescent="0.25">
      <c r="D9" s="8"/>
      <c r="E9" s="11"/>
      <c r="F9" s="104"/>
      <c r="G9" s="107"/>
    </row>
    <row r="10" spans="1:8" s="12" customFormat="1" ht="21" customHeight="1" x14ac:dyDescent="0.25">
      <c r="C10" s="34" t="s">
        <v>19</v>
      </c>
      <c r="D10" s="13"/>
      <c r="E10" s="14"/>
      <c r="F10" s="14"/>
    </row>
    <row r="11" spans="1:8" s="12" customFormat="1" ht="21" customHeight="1" x14ac:dyDescent="0.25">
      <c r="A11" s="30" t="s">
        <v>20</v>
      </c>
      <c r="B11" s="39"/>
      <c r="C11" s="30"/>
      <c r="D11" s="40"/>
      <c r="E11" s="41"/>
      <c r="F11" s="42"/>
      <c r="G11" s="30"/>
    </row>
    <row r="12" spans="1:8" s="7" customFormat="1" ht="15" customHeight="1" x14ac:dyDescent="0.25">
      <c r="A12" s="16"/>
      <c r="B12" s="15"/>
      <c r="C12" s="43"/>
      <c r="D12" s="44"/>
      <c r="E12" s="45"/>
      <c r="F12" s="46"/>
      <c r="G12" s="47"/>
    </row>
    <row r="13" spans="1:8" ht="38.25" customHeight="1" x14ac:dyDescent="0.25">
      <c r="A13" s="38" t="s">
        <v>21</v>
      </c>
      <c r="B13" s="31" t="s">
        <v>22</v>
      </c>
      <c r="C13" s="37" t="s">
        <v>23</v>
      </c>
      <c r="D13" s="32" t="s">
        <v>40</v>
      </c>
      <c r="E13" s="33" t="s">
        <v>25</v>
      </c>
      <c r="F13" s="35" t="s">
        <v>26</v>
      </c>
      <c r="G13" s="36" t="s">
        <v>27</v>
      </c>
      <c r="H13" s="85" t="s">
        <v>28</v>
      </c>
    </row>
    <row r="14" spans="1:8" ht="51.75" customHeight="1" x14ac:dyDescent="0.25">
      <c r="A14" s="27">
        <v>1</v>
      </c>
      <c r="B14" s="59">
        <v>45726</v>
      </c>
      <c r="C14" s="22" t="s">
        <v>41</v>
      </c>
      <c r="D14" s="96" t="s">
        <v>42</v>
      </c>
      <c r="E14" s="28" t="s">
        <v>30</v>
      </c>
      <c r="F14" s="62">
        <f>338453*4</f>
        <v>1353812</v>
      </c>
      <c r="G14" s="62">
        <f>IFERROR(IF(H14="",IFERROR(VALUE(LEFT(D14,FIND("/",D14)-1))/VALUE(MID(D14,FIND("/",D14)+1,100)),D14)*F14,IFERROR(VALUE(LEFT(D14,FIND("/",D14)-1))/VALUE(MID(D14,FIND("/",D14)+1,100)),D14)*VLOOKUP(F14,StBVV!$A:$D,MATCH(H14,StBVV!$B$3:$D$3,0)+1,TRUE)),IFERROR(VALUE(LEFT(D14,FIND("/",D14)-1))/VALUE(MID(D14,FIND("/",D14)+1,100)),D14)*F14)</f>
        <v>464</v>
      </c>
      <c r="H14" s="86" t="s">
        <v>5</v>
      </c>
    </row>
    <row r="15" spans="1:8" ht="46.5" customHeight="1" x14ac:dyDescent="0.25">
      <c r="A15" s="27">
        <v>2</v>
      </c>
      <c r="B15" s="59">
        <v>45755</v>
      </c>
      <c r="C15" s="22" t="s">
        <v>43</v>
      </c>
      <c r="D15" s="96" t="s">
        <v>44</v>
      </c>
      <c r="E15" s="28" t="s">
        <v>30</v>
      </c>
      <c r="F15" s="62">
        <f>+F14</f>
        <v>1353812</v>
      </c>
      <c r="G15" s="62">
        <f>IFERROR(IF(H15="",IFERROR(VALUE(LEFT(D15,FIND("/",D15)-1))/VALUE(MID(D15,FIND("/",D15)+1,100)),D15)*F15,IFERROR(VALUE(LEFT(D15,FIND("/",D15)-1))/VALUE(MID(D15,FIND("/",D15)+1,100)),D15)*VLOOKUP(F15,StBVV!$A:$D,MATCH(H15,StBVV!$B$3:$D$3,0)+1,TRUE)),IFERROR(VALUE(LEFT(D15,FIND("/",D15)-1))/VALUE(MID(D15,FIND("/",D15)+1,100)),D15)*F15)</f>
        <v>522</v>
      </c>
      <c r="H15" s="86" t="s">
        <v>5</v>
      </c>
    </row>
    <row r="16" spans="1:8" ht="53.25" customHeight="1" x14ac:dyDescent="0.25">
      <c r="A16" s="27">
        <v>3</v>
      </c>
      <c r="B16" s="59">
        <v>45782</v>
      </c>
      <c r="C16" s="22" t="s">
        <v>45</v>
      </c>
      <c r="D16" s="96" t="s">
        <v>46</v>
      </c>
      <c r="E16" s="28" t="s">
        <v>30</v>
      </c>
      <c r="F16" s="62">
        <f>+F15</f>
        <v>1353812</v>
      </c>
      <c r="G16" s="62">
        <f>IFERROR(IF(H16="",IFERROR(VALUE(LEFT(D16,FIND("/",D16)-1))/VALUE(MID(D16,FIND("/",D16)+1,100)),D16)*F16,IFERROR(VALUE(LEFT(D16,FIND("/",D16)-1))/VALUE(MID(D16,FIND("/",D16)+1,100)),D16)*VLOOKUP(F16,StBVV!$A:$D,MATCH(H16,StBVV!$B$3:$D$3,0)+1,TRUE)),IFERROR(VALUE(LEFT(D16,FIND("/",D16)-1))/VALUE(MID(D16,FIND("/",D16)+1,100)),D16)*F16)</f>
        <v>348</v>
      </c>
      <c r="H16" s="86" t="s">
        <v>5</v>
      </c>
    </row>
    <row r="17" spans="1:7" x14ac:dyDescent="0.25">
      <c r="A17" s="23"/>
      <c r="B17" s="48"/>
      <c r="C17" s="23"/>
      <c r="D17" s="17"/>
      <c r="E17" s="23"/>
      <c r="F17" s="26" t="s">
        <v>36</v>
      </c>
      <c r="G17" s="60">
        <f>SUM(G14:G16)</f>
        <v>1334</v>
      </c>
    </row>
    <row r="18" spans="1:7" x14ac:dyDescent="0.25">
      <c r="A18" s="21"/>
      <c r="B18" s="49"/>
      <c r="C18" s="21"/>
      <c r="D18" s="17"/>
      <c r="E18" s="23"/>
      <c r="F18" s="26" t="s">
        <v>37</v>
      </c>
      <c r="G18" s="60">
        <f>+G17*0.19</f>
        <v>253.46</v>
      </c>
    </row>
    <row r="19" spans="1:7" ht="16.5" customHeight="1" thickBot="1" x14ac:dyDescent="0.3">
      <c r="A19" s="21"/>
      <c r="B19" s="21"/>
      <c r="C19" s="21"/>
      <c r="D19" s="17"/>
      <c r="E19" s="25"/>
      <c r="F19" s="26" t="s">
        <v>38</v>
      </c>
      <c r="G19" s="61">
        <f>SUM(G17:G18)</f>
        <v>1587.46</v>
      </c>
    </row>
    <row r="20" spans="1:7" ht="16.5" customHeight="1" thickTop="1" x14ac:dyDescent="0.25">
      <c r="A20" s="21"/>
      <c r="B20" s="21"/>
      <c r="C20" s="21"/>
      <c r="D20" s="20"/>
      <c r="E20" s="25"/>
      <c r="F20" s="25"/>
      <c r="G20" s="24"/>
    </row>
    <row r="21" spans="1:7" ht="5.25" customHeight="1" x14ac:dyDescent="0.25">
      <c r="A21" s="21"/>
      <c r="B21" s="21"/>
      <c r="C21" s="21"/>
      <c r="D21" s="20"/>
      <c r="E21" s="25"/>
      <c r="F21" s="25"/>
      <c r="G21" s="24"/>
    </row>
    <row r="22" spans="1:7" ht="15" customHeight="1" x14ac:dyDescent="0.25">
      <c r="A22" s="74"/>
      <c r="B22" s="74"/>
      <c r="C22" s="23"/>
      <c r="D22" s="25"/>
      <c r="E22" s="25"/>
      <c r="F22" s="25"/>
      <c r="G22" s="75"/>
    </row>
    <row r="23" spans="1:7" ht="15" customHeight="1" x14ac:dyDescent="0.25">
      <c r="D23" s="63"/>
      <c r="E23" s="8"/>
      <c r="F23" s="8"/>
    </row>
    <row r="24" spans="1:7" ht="15" customHeight="1" x14ac:dyDescent="0.25">
      <c r="D24" s="63"/>
      <c r="E24" s="8"/>
      <c r="F24" s="8"/>
    </row>
    <row r="25" spans="1:7" ht="19.5" customHeight="1" x14ac:dyDescent="0.25">
      <c r="D25" s="63"/>
      <c r="E25" s="8"/>
      <c r="F25" s="8"/>
    </row>
    <row r="26" spans="1:7" ht="15.75" customHeight="1" x14ac:dyDescent="0.25"/>
    <row r="27" spans="1:7" ht="13.5" customHeight="1" x14ac:dyDescent="0.25"/>
    <row r="28" spans="1:7" ht="13.5" customHeight="1" x14ac:dyDescent="0.25">
      <c r="D28" s="69"/>
      <c r="G28" s="70"/>
    </row>
    <row r="29" spans="1:7" ht="8.25" customHeight="1" x14ac:dyDescent="0.25">
      <c r="D29" s="69"/>
      <c r="G29" s="70"/>
    </row>
    <row r="30" spans="1:7" ht="13.5" customHeight="1" x14ac:dyDescent="0.25">
      <c r="A30" s="102"/>
      <c r="B30" s="109"/>
      <c r="C30" s="109"/>
      <c r="D30" s="110"/>
      <c r="E30" s="111"/>
      <c r="F30" s="112"/>
      <c r="G30" s="109"/>
    </row>
  </sheetData>
  <mergeCells count="5">
    <mergeCell ref="E6:F6"/>
    <mergeCell ref="E7:F7"/>
    <mergeCell ref="A30:G30"/>
    <mergeCell ref="E8:F8"/>
    <mergeCell ref="F9:G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C10" sqref="C10"/>
    </sheetView>
  </sheetViews>
  <sheetFormatPr baseColWidth="10" defaultRowHeight="12.75" x14ac:dyDescent="0.2"/>
  <cols>
    <col min="1" max="1" width="17.42578125" customWidth="1"/>
    <col min="2" max="2" width="20.28515625" customWidth="1"/>
    <col min="3" max="3" width="36.5703125" customWidth="1"/>
    <col min="4" max="4" width="9.140625" customWidth="1"/>
  </cols>
  <sheetData>
    <row r="1" spans="1:8" x14ac:dyDescent="0.2">
      <c r="A1" s="83" t="s">
        <v>11</v>
      </c>
    </row>
    <row r="2" spans="1:8" x14ac:dyDescent="0.2">
      <c r="A2" t="s">
        <v>47</v>
      </c>
    </row>
    <row r="3" spans="1:8" x14ac:dyDescent="0.2">
      <c r="A3" t="s">
        <v>48</v>
      </c>
    </row>
    <row r="4" spans="1:8" x14ac:dyDescent="0.2">
      <c r="A4" t="s">
        <v>49</v>
      </c>
    </row>
    <row r="6" spans="1:8" x14ac:dyDescent="0.2">
      <c r="A6" s="83" t="s">
        <v>15</v>
      </c>
      <c r="B6" t="s">
        <v>50</v>
      </c>
    </row>
    <row r="7" spans="1:8" x14ac:dyDescent="0.2">
      <c r="A7" s="83" t="s">
        <v>17</v>
      </c>
      <c r="B7">
        <v>10117</v>
      </c>
    </row>
    <row r="8" spans="1:8" x14ac:dyDescent="0.2">
      <c r="A8" s="83" t="s">
        <v>18</v>
      </c>
      <c r="B8" s="53">
        <v>45471</v>
      </c>
    </row>
    <row r="10" spans="1:8" x14ac:dyDescent="0.2">
      <c r="A10" s="83"/>
      <c r="B10" s="83"/>
      <c r="C10" s="84" t="s">
        <v>19</v>
      </c>
      <c r="D10" s="83"/>
      <c r="E10" s="83"/>
      <c r="F10" s="83"/>
      <c r="G10" s="83"/>
    </row>
    <row r="11" spans="1:8" x14ac:dyDescent="0.2">
      <c r="A11" s="83" t="s">
        <v>20</v>
      </c>
      <c r="B11" s="83"/>
      <c r="C11" s="83"/>
      <c r="D11" s="83"/>
      <c r="E11" s="83"/>
      <c r="F11" s="83"/>
      <c r="G11" s="83"/>
    </row>
    <row r="13" spans="1:8" ht="21" customHeight="1" x14ac:dyDescent="0.2">
      <c r="A13" s="84" t="s">
        <v>21</v>
      </c>
      <c r="B13" s="84" t="s">
        <v>22</v>
      </c>
      <c r="C13" s="84" t="s">
        <v>23</v>
      </c>
      <c r="D13" s="84" t="s">
        <v>40</v>
      </c>
      <c r="E13" s="84" t="s">
        <v>25</v>
      </c>
      <c r="F13" s="84" t="s">
        <v>26</v>
      </c>
      <c r="G13" s="84" t="s">
        <v>27</v>
      </c>
      <c r="H13" s="85" t="s">
        <v>28</v>
      </c>
    </row>
    <row r="14" spans="1:8" ht="25.5" customHeight="1" x14ac:dyDescent="0.2">
      <c r="A14">
        <v>1</v>
      </c>
      <c r="B14" s="54">
        <v>45471</v>
      </c>
      <c r="C14" s="52" t="s">
        <v>51</v>
      </c>
      <c r="D14" s="97" t="s">
        <v>52</v>
      </c>
      <c r="E14" t="s">
        <v>30</v>
      </c>
      <c r="F14" s="55">
        <v>39808.879999999997</v>
      </c>
      <c r="G14" s="55">
        <f>IFERROR(IF(H14="",IFERROR(VALUE(LEFT(D14,FIND("/",D14)-1))/VALUE(MID(D14,FIND("/",D14)+1,100)),D14)*F14,IFERROR(VALUE(LEFT(D14,FIND("/",D14)-1))/VALUE(MID(D14,FIND("/",D14)+1,100)),D14)*VLOOKUP(F14,StBVV!$A:$D,MATCH(H14,StBVV!$B$3:$D$3,0)+1,TRUE)),IFERROR(VALUE(LEFT(D14,FIND("/",D14)-1))/VALUE(MID(D14,FIND("/",D14)+1,100)),D14)*F14)</f>
        <v>657.5</v>
      </c>
      <c r="H14" s="86" t="s">
        <v>4</v>
      </c>
    </row>
    <row r="15" spans="1:8" ht="63.75" customHeight="1" x14ac:dyDescent="0.2">
      <c r="A15">
        <v>2</v>
      </c>
      <c r="B15" s="54">
        <v>45471</v>
      </c>
      <c r="C15" s="52" t="s">
        <v>53</v>
      </c>
      <c r="D15">
        <v>4</v>
      </c>
      <c r="E15" t="s">
        <v>30</v>
      </c>
      <c r="F15" s="55">
        <v>95</v>
      </c>
      <c r="G15" s="56">
        <f>IFERROR(IF(H15="",D15*F15,D15/10*VLOOKUP(F15,StBVV!$A:$D,MATCH(H15,StBVV!$B$3:$D$3,0)+1,TRUE)),D15*F15)</f>
        <v>380</v>
      </c>
    </row>
    <row r="16" spans="1:8" ht="25.5" customHeight="1" x14ac:dyDescent="0.2">
      <c r="A16">
        <v>3</v>
      </c>
      <c r="B16" s="54">
        <v>45471</v>
      </c>
      <c r="C16" s="52" t="s">
        <v>54</v>
      </c>
      <c r="D16" s="97" t="s">
        <v>55</v>
      </c>
      <c r="E16" t="s">
        <v>30</v>
      </c>
      <c r="F16" s="55">
        <v>8000</v>
      </c>
      <c r="G16" s="55">
        <f>IFERROR(IF(H16="",IFERROR(VALUE(LEFT(D16,FIND("/",D16)-1))/VALUE(MID(D16,FIND("/",D16)+1,100)),D16)*F16,IFERROR(VALUE(LEFT(D16,FIND("/",D16)-1))/VALUE(MID(D16,FIND("/",D16)+1,100)),D16)*VLOOKUP(F16,StBVV!$A:$D,MATCH(H16,StBVV!$B$3:$D$3,0)+1,TRUE)),IFERROR(VALUE(LEFT(D16,FIND("/",D16)-1))/VALUE(MID(D16,FIND("/",D16)+1,100)),D16)*F16)</f>
        <v>308.39999999999998</v>
      </c>
      <c r="H16" s="86" t="s">
        <v>3</v>
      </c>
    </row>
    <row r="17" spans="1:7" ht="25.5" customHeight="1" x14ac:dyDescent="0.2">
      <c r="A17">
        <v>4</v>
      </c>
      <c r="B17" s="54">
        <v>45471</v>
      </c>
      <c r="C17" s="52" t="s">
        <v>56</v>
      </c>
      <c r="D17">
        <v>1</v>
      </c>
      <c r="E17" t="s">
        <v>30</v>
      </c>
      <c r="F17" s="55">
        <f>SUM(G14:G16)*0.2</f>
        <v>269.18</v>
      </c>
      <c r="G17" s="55">
        <f>IFERROR(IF(H17="",D17*F17,D17/10*VLOOKUP(F17,StBVV!$A:$D,MATCH(H17,StBVV!$B$3:$D$3,0)+1,TRUE)),D17*F17)</f>
        <v>269.18</v>
      </c>
    </row>
    <row r="19" spans="1:7" x14ac:dyDescent="0.2">
      <c r="F19" t="s">
        <v>36</v>
      </c>
      <c r="G19" s="56">
        <f>SUM(G14:G17)</f>
        <v>1615.0800000000002</v>
      </c>
    </row>
    <row r="20" spans="1:7" x14ac:dyDescent="0.2">
      <c r="F20" t="s">
        <v>37</v>
      </c>
      <c r="G20" s="56">
        <f>+G19*0.19</f>
        <v>306.86520000000002</v>
      </c>
    </row>
    <row r="21" spans="1:7" x14ac:dyDescent="0.2">
      <c r="F21" t="s">
        <v>38</v>
      </c>
      <c r="G21" s="56">
        <f>SUM(G19:G20)</f>
        <v>1921.9452000000001</v>
      </c>
    </row>
    <row r="22" spans="1:7" ht="5.25" customHeight="1" x14ac:dyDescent="0.2">
      <c r="A22" s="21"/>
      <c r="B22" s="21"/>
      <c r="C22" s="21"/>
      <c r="D22" s="20"/>
      <c r="E22" s="25"/>
      <c r="F22" s="25"/>
      <c r="G22" s="24"/>
    </row>
    <row r="23" spans="1:7" ht="15" customHeight="1" x14ac:dyDescent="0.2">
      <c r="A23" s="74"/>
      <c r="B23" s="74"/>
      <c r="C23" s="23"/>
      <c r="D23" s="25"/>
      <c r="E23" s="25"/>
      <c r="F23" s="25"/>
      <c r="G23" s="75"/>
    </row>
    <row r="24" spans="1:7" ht="15" customHeight="1" x14ac:dyDescent="0.25">
      <c r="D24" s="63"/>
      <c r="E24" s="8"/>
      <c r="F24" s="8"/>
    </row>
    <row r="25" spans="1:7" ht="15" customHeight="1" x14ac:dyDescent="0.25">
      <c r="D25" s="63"/>
      <c r="E25" s="8"/>
      <c r="F25" s="8"/>
    </row>
    <row r="26" spans="1:7" ht="19.5" customHeight="1" x14ac:dyDescent="0.25">
      <c r="D26" s="63"/>
      <c r="E26" s="8"/>
      <c r="F26" s="8"/>
    </row>
    <row r="27" spans="1:7" ht="15.75" customHeight="1" x14ac:dyDescent="0.2"/>
    <row r="28" spans="1:7" ht="13.5" customHeight="1" x14ac:dyDescent="0.2"/>
    <row r="29" spans="1:7" ht="13.5" customHeight="1" x14ac:dyDescent="0.2">
      <c r="D29" s="69"/>
      <c r="G29" s="70"/>
    </row>
    <row r="30" spans="1:7" ht="8.25" customHeight="1" x14ac:dyDescent="0.2">
      <c r="D30" s="69"/>
      <c r="G30" s="70"/>
    </row>
    <row r="31" spans="1:7" ht="13.5" customHeight="1" x14ac:dyDescent="0.2">
      <c r="A31" s="102"/>
      <c r="B31" s="99"/>
      <c r="C31" s="99"/>
      <c r="D31" s="99"/>
      <c r="E31" s="99"/>
      <c r="F31" s="99"/>
      <c r="G31" s="99"/>
    </row>
  </sheetData>
  <mergeCells count="1">
    <mergeCell ref="A31:G31"/>
  </mergeCells>
  <pageMargins left="0.7" right="0.7" top="0.78740157499999996" bottom="0.78740157499999996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tabSelected="1" workbookViewId="0">
      <selection activeCell="C10" sqref="C10"/>
    </sheetView>
  </sheetViews>
  <sheetFormatPr baseColWidth="10" defaultRowHeight="12.75" x14ac:dyDescent="0.2"/>
  <cols>
    <col min="1" max="1" width="20" customWidth="1"/>
    <col min="2" max="2" width="17.7109375" customWidth="1"/>
    <col min="3" max="3" width="75.140625" customWidth="1"/>
    <col min="7" max="7" width="19.28515625" customWidth="1"/>
  </cols>
  <sheetData>
    <row r="1" spans="1:8" x14ac:dyDescent="0.2">
      <c r="A1" s="83" t="s">
        <v>11</v>
      </c>
    </row>
    <row r="2" spans="1:8" x14ac:dyDescent="0.2">
      <c r="A2" t="s">
        <v>47</v>
      </c>
    </row>
    <row r="3" spans="1:8" x14ac:dyDescent="0.2">
      <c r="A3" t="s">
        <v>48</v>
      </c>
    </row>
    <row r="4" spans="1:8" x14ac:dyDescent="0.2">
      <c r="A4" t="s">
        <v>49</v>
      </c>
    </row>
    <row r="6" spans="1:8" x14ac:dyDescent="0.2">
      <c r="A6" t="s">
        <v>15</v>
      </c>
      <c r="B6" t="s">
        <v>57</v>
      </c>
    </row>
    <row r="7" spans="1:8" x14ac:dyDescent="0.2">
      <c r="A7" t="s">
        <v>17</v>
      </c>
      <c r="B7">
        <v>10117</v>
      </c>
    </row>
    <row r="8" spans="1:8" x14ac:dyDescent="0.2">
      <c r="A8" t="s">
        <v>18</v>
      </c>
      <c r="B8" s="53">
        <v>45027</v>
      </c>
    </row>
    <row r="10" spans="1:8" x14ac:dyDescent="0.2">
      <c r="A10" s="83"/>
      <c r="B10" s="83"/>
      <c r="C10" s="84" t="s">
        <v>58</v>
      </c>
      <c r="D10" s="83"/>
      <c r="E10" s="83"/>
      <c r="F10" s="83"/>
      <c r="G10" s="83"/>
    </row>
    <row r="11" spans="1:8" x14ac:dyDescent="0.2">
      <c r="A11" s="83" t="s">
        <v>59</v>
      </c>
      <c r="B11" s="83"/>
      <c r="C11" s="83"/>
      <c r="D11" s="83"/>
      <c r="E11" s="83"/>
      <c r="F11" s="83"/>
      <c r="G11" s="83"/>
    </row>
    <row r="13" spans="1:8" ht="24" customHeight="1" x14ac:dyDescent="0.2">
      <c r="A13" s="84" t="s">
        <v>21</v>
      </c>
      <c r="B13" s="84" t="s">
        <v>22</v>
      </c>
      <c r="C13" s="84" t="s">
        <v>23</v>
      </c>
      <c r="D13" s="84" t="s">
        <v>40</v>
      </c>
      <c r="E13" s="84" t="s">
        <v>25</v>
      </c>
      <c r="F13" s="84" t="s">
        <v>26</v>
      </c>
      <c r="G13" s="84" t="s">
        <v>27</v>
      </c>
      <c r="H13" s="85" t="s">
        <v>28</v>
      </c>
    </row>
    <row r="14" spans="1:8" ht="25.5" customHeight="1" x14ac:dyDescent="0.2">
      <c r="A14">
        <v>1</v>
      </c>
      <c r="B14" s="54">
        <v>45001</v>
      </c>
      <c r="C14" s="52" t="s">
        <v>60</v>
      </c>
      <c r="D14" s="57" t="s">
        <v>61</v>
      </c>
      <c r="E14" t="s">
        <v>30</v>
      </c>
      <c r="F14" s="56">
        <v>341935.48</v>
      </c>
      <c r="G14" s="56">
        <f>IFERROR(IF(H14="",IFERROR(VALUE(LEFT(D14,FIND("/",D14)-1))/VALUE(MID(D14,FIND("/",D14)+1,100)),D14)*F14,IFERROR(VALUE(LEFT(D14,FIND("/",D14)-1))/VALUE(MID(D14,FIND("/",D14)+1,100)),D14)*VLOOKUP(F14,StBVV!$A:$D,MATCH(H14,StBVV!$B$3:$D$3,0)+1,TRUE)),IFERROR(VALUE(LEFT(D14,FIND("/",D14)-1))/VALUE(MID(D14,FIND("/",D14)+1,100)),D14)*F14)</f>
        <v>585.20000000000005</v>
      </c>
      <c r="H14" s="86" t="s">
        <v>3</v>
      </c>
    </row>
    <row r="15" spans="1:8" x14ac:dyDescent="0.2">
      <c r="A15">
        <v>2</v>
      </c>
      <c r="B15" s="54">
        <v>45027</v>
      </c>
      <c r="C15" s="52" t="s">
        <v>56</v>
      </c>
      <c r="D15">
        <v>1</v>
      </c>
      <c r="E15" t="s">
        <v>30</v>
      </c>
      <c r="F15" s="56">
        <v>20</v>
      </c>
      <c r="G15" s="56">
        <f>+D15*F15</f>
        <v>20</v>
      </c>
      <c r="H15" s="86"/>
    </row>
    <row r="16" spans="1:8" x14ac:dyDescent="0.2">
      <c r="C16" s="52"/>
      <c r="F16" t="s">
        <v>36</v>
      </c>
      <c r="G16" s="56">
        <f>SUM(G14:G15)</f>
        <v>605.20000000000005</v>
      </c>
    </row>
    <row r="17" spans="1:7" x14ac:dyDescent="0.2">
      <c r="C17" s="52"/>
      <c r="F17" t="s">
        <v>37</v>
      </c>
      <c r="G17" s="56">
        <f>+G16*0.19</f>
        <v>114.98800000000001</v>
      </c>
    </row>
    <row r="18" spans="1:7" x14ac:dyDescent="0.2">
      <c r="F18" t="s">
        <v>38</v>
      </c>
      <c r="G18" s="56">
        <f>SUM(G16:G17)</f>
        <v>720.1880000000001</v>
      </c>
    </row>
    <row r="19" spans="1:7" ht="5.25" customHeight="1" x14ac:dyDescent="0.2">
      <c r="A19" s="21"/>
      <c r="B19" s="21"/>
      <c r="C19" s="21"/>
      <c r="D19" s="20"/>
      <c r="E19" s="25"/>
      <c r="F19" s="25"/>
      <c r="G19" s="24"/>
    </row>
    <row r="20" spans="1:7" ht="15" customHeight="1" x14ac:dyDescent="0.2">
      <c r="A20" s="74"/>
      <c r="B20" s="74"/>
      <c r="C20" s="23"/>
      <c r="D20" s="25"/>
      <c r="E20" s="25"/>
      <c r="F20" s="25"/>
      <c r="G20" s="75"/>
    </row>
    <row r="21" spans="1:7" ht="15" customHeight="1" x14ac:dyDescent="0.25">
      <c r="D21" s="63"/>
      <c r="E21" s="8"/>
      <c r="F21" s="8"/>
    </row>
    <row r="22" spans="1:7" ht="15" customHeight="1" x14ac:dyDescent="0.25">
      <c r="D22" s="63"/>
      <c r="E22" s="8"/>
      <c r="F22" s="8"/>
    </row>
    <row r="23" spans="1:7" ht="19.5" customHeight="1" x14ac:dyDescent="0.25">
      <c r="D23" s="63"/>
      <c r="E23" s="8"/>
      <c r="F23" s="8"/>
    </row>
    <row r="24" spans="1:7" ht="15.75" customHeight="1" x14ac:dyDescent="0.2"/>
    <row r="25" spans="1:7" ht="13.5" customHeight="1" x14ac:dyDescent="0.2"/>
    <row r="26" spans="1:7" ht="13.5" customHeight="1" x14ac:dyDescent="0.2">
      <c r="D26" s="69"/>
      <c r="G26" s="70"/>
    </row>
    <row r="27" spans="1:7" ht="8.25" customHeight="1" x14ac:dyDescent="0.2">
      <c r="D27" s="69"/>
      <c r="G27" s="70"/>
    </row>
    <row r="28" spans="1:7" ht="13.5" customHeight="1" x14ac:dyDescent="0.2">
      <c r="A28" s="102"/>
      <c r="B28" s="99"/>
      <c r="C28" s="99"/>
      <c r="D28" s="99"/>
      <c r="E28" s="99"/>
      <c r="F28" s="99"/>
      <c r="G28" s="99"/>
    </row>
  </sheetData>
  <mergeCells count="1">
    <mergeCell ref="A28:G28"/>
  </mergeCells>
  <pageMargins left="0.7" right="0.7" top="0.78740157499999996" bottom="0.78740157499999996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activeCell="A6" sqref="A6:A8"/>
    </sheetView>
  </sheetViews>
  <sheetFormatPr baseColWidth="10" defaultRowHeight="12.75" x14ac:dyDescent="0.2"/>
  <cols>
    <col min="1" max="1" width="20.5703125" customWidth="1"/>
    <col min="2" max="2" width="15.140625" customWidth="1"/>
    <col min="3" max="3" width="42" customWidth="1"/>
  </cols>
  <sheetData>
    <row r="1" spans="1:8" x14ac:dyDescent="0.2">
      <c r="A1" t="s">
        <v>11</v>
      </c>
    </row>
    <row r="2" spans="1:8" x14ac:dyDescent="0.2">
      <c r="A2" t="s">
        <v>47</v>
      </c>
    </row>
    <row r="3" spans="1:8" x14ac:dyDescent="0.2">
      <c r="A3" t="s">
        <v>48</v>
      </c>
    </row>
    <row r="4" spans="1:8" x14ac:dyDescent="0.2">
      <c r="A4" t="s">
        <v>49</v>
      </c>
    </row>
    <row r="6" spans="1:8" x14ac:dyDescent="0.2">
      <c r="A6" s="83" t="s">
        <v>15</v>
      </c>
      <c r="B6" t="s">
        <v>62</v>
      </c>
    </row>
    <row r="7" spans="1:8" x14ac:dyDescent="0.2">
      <c r="A7" s="83" t="s">
        <v>17</v>
      </c>
      <c r="B7">
        <v>10117</v>
      </c>
    </row>
    <row r="8" spans="1:8" x14ac:dyDescent="0.2">
      <c r="A8" s="83" t="s">
        <v>18</v>
      </c>
      <c r="B8" s="53">
        <v>43690</v>
      </c>
    </row>
    <row r="10" spans="1:8" x14ac:dyDescent="0.2">
      <c r="A10" s="83"/>
      <c r="B10" s="83"/>
      <c r="C10" s="84" t="s">
        <v>58</v>
      </c>
      <c r="D10" s="83"/>
      <c r="E10" s="83"/>
      <c r="F10" s="83"/>
      <c r="G10" s="83"/>
      <c r="H10" s="83"/>
    </row>
    <row r="11" spans="1:8" x14ac:dyDescent="0.2">
      <c r="A11" s="83" t="s">
        <v>59</v>
      </c>
      <c r="B11" s="83"/>
      <c r="C11" s="83"/>
      <c r="D11" s="83"/>
      <c r="E11" s="83"/>
      <c r="F11" s="83"/>
      <c r="G11" s="83"/>
      <c r="H11" s="83"/>
    </row>
    <row r="13" spans="1:8" ht="24" customHeight="1" x14ac:dyDescent="0.2">
      <c r="A13" s="84" t="s">
        <v>21</v>
      </c>
      <c r="B13" s="84" t="s">
        <v>22</v>
      </c>
      <c r="C13" s="84" t="s">
        <v>23</v>
      </c>
      <c r="D13" s="84" t="s">
        <v>40</v>
      </c>
      <c r="E13" s="84" t="s">
        <v>25</v>
      </c>
      <c r="F13" s="84" t="s">
        <v>26</v>
      </c>
      <c r="G13" s="84" t="s">
        <v>27</v>
      </c>
      <c r="H13" s="85" t="s">
        <v>28</v>
      </c>
    </row>
    <row r="14" spans="1:8" ht="165.75" customHeight="1" x14ac:dyDescent="0.2">
      <c r="A14">
        <v>1</v>
      </c>
      <c r="B14" s="54">
        <v>43690</v>
      </c>
      <c r="C14" s="52" t="s">
        <v>63</v>
      </c>
      <c r="D14" s="97" t="s">
        <v>64</v>
      </c>
      <c r="E14" t="s">
        <v>30</v>
      </c>
      <c r="F14" s="56">
        <v>8000</v>
      </c>
      <c r="G14" s="56">
        <f>IFERROR(IF(H14="",IFERROR(VALUE(LEFT(D14,FIND("/",D14)-1))/VALUE(MID(D14,FIND("/",D14)+1,100)),D14)*F14,IFERROR(VALUE(LEFT(D14,FIND("/",D14)-1))/VALUE(MID(D14,FIND("/",D14)+1,100)),D14)*VLOOKUP(F14,StBVV!$A:$D,MATCH(H14,StBVV!$B$3:$D$3,0)+1,TRUE)),IFERROR(VALUE(LEFT(D14,FIND("/",D14)-1))/VALUE(MID(D14,FIND("/",D14)+1,100)),D14)*F14)</f>
        <v>514</v>
      </c>
      <c r="H14" s="86" t="s">
        <v>3</v>
      </c>
    </row>
    <row r="15" spans="1:8" ht="76.5" customHeight="1" x14ac:dyDescent="0.2">
      <c r="A15">
        <v>2</v>
      </c>
      <c r="B15" s="54">
        <v>43690</v>
      </c>
      <c r="C15" s="52" t="s">
        <v>56</v>
      </c>
      <c r="D15">
        <v>1</v>
      </c>
      <c r="E15" t="s">
        <v>30</v>
      </c>
      <c r="F15" s="56">
        <v>20</v>
      </c>
      <c r="G15" s="56">
        <f>+D15*F15</f>
        <v>20</v>
      </c>
      <c r="H15" s="86"/>
    </row>
    <row r="16" spans="1:8" x14ac:dyDescent="0.2">
      <c r="B16" s="51"/>
      <c r="F16" t="s">
        <v>36</v>
      </c>
      <c r="G16" s="56">
        <f>SUM(G14:G15)</f>
        <v>534</v>
      </c>
    </row>
    <row r="17" spans="1:7" x14ac:dyDescent="0.2">
      <c r="F17" t="s">
        <v>37</v>
      </c>
      <c r="G17" s="56">
        <f>+G16*0.19</f>
        <v>101.46000000000001</v>
      </c>
    </row>
    <row r="18" spans="1:7" x14ac:dyDescent="0.2">
      <c r="F18" t="s">
        <v>38</v>
      </c>
      <c r="G18" s="56">
        <f>SUM(G16:G17)</f>
        <v>635.46</v>
      </c>
    </row>
    <row r="19" spans="1:7" ht="5.25" customHeight="1" x14ac:dyDescent="0.2">
      <c r="A19" s="21"/>
      <c r="B19" s="21"/>
      <c r="C19" s="21"/>
      <c r="D19" s="20"/>
      <c r="E19" s="25"/>
      <c r="F19" s="25"/>
      <c r="G19" s="24"/>
    </row>
    <row r="20" spans="1:7" ht="15" customHeight="1" x14ac:dyDescent="0.2">
      <c r="A20" s="74"/>
      <c r="B20" s="74"/>
      <c r="C20" s="23"/>
      <c r="D20" s="25"/>
      <c r="E20" s="25"/>
      <c r="F20" s="25"/>
      <c r="G20" s="75"/>
    </row>
    <row r="21" spans="1:7" ht="15" customHeight="1" x14ac:dyDescent="0.25">
      <c r="D21" s="63"/>
      <c r="E21" s="8"/>
      <c r="F21" s="8"/>
    </row>
    <row r="22" spans="1:7" ht="15" customHeight="1" x14ac:dyDescent="0.25">
      <c r="D22" s="63"/>
      <c r="E22" s="8"/>
      <c r="F22" s="8"/>
    </row>
    <row r="23" spans="1:7" ht="19.5" customHeight="1" x14ac:dyDescent="0.25">
      <c r="D23" s="63"/>
      <c r="E23" s="8"/>
      <c r="F23" s="8"/>
    </row>
    <row r="24" spans="1:7" ht="15.75" customHeight="1" x14ac:dyDescent="0.2"/>
    <row r="25" spans="1:7" ht="13.5" customHeight="1" x14ac:dyDescent="0.2"/>
    <row r="26" spans="1:7" ht="13.5" customHeight="1" x14ac:dyDescent="0.2">
      <c r="D26" s="69"/>
      <c r="G26" s="70"/>
    </row>
    <row r="27" spans="1:7" ht="8.25" customHeight="1" x14ac:dyDescent="0.2">
      <c r="D27" s="69"/>
      <c r="G27" s="70"/>
    </row>
    <row r="28" spans="1:7" ht="13.5" customHeight="1" x14ac:dyDescent="0.2">
      <c r="A28" s="102"/>
      <c r="B28" s="99"/>
      <c r="C28" s="99"/>
      <c r="D28" s="99"/>
      <c r="E28" s="99"/>
      <c r="F28" s="99"/>
      <c r="G28" s="99"/>
    </row>
  </sheetData>
  <mergeCells count="1">
    <mergeCell ref="A28:G28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workbookViewId="0">
      <selection activeCell="G18" sqref="G18"/>
    </sheetView>
  </sheetViews>
  <sheetFormatPr baseColWidth="10" defaultRowHeight="12.75" x14ac:dyDescent="0.2"/>
  <cols>
    <col min="1" max="1" width="17.42578125" customWidth="1"/>
    <col min="3" max="3" width="24.85546875" customWidth="1"/>
    <col min="6" max="6" width="18.5703125" customWidth="1"/>
    <col min="7" max="7" width="16" customWidth="1"/>
  </cols>
  <sheetData>
    <row r="1" spans="1:9" x14ac:dyDescent="0.2">
      <c r="A1" s="83" t="s">
        <v>11</v>
      </c>
    </row>
    <row r="2" spans="1:9" x14ac:dyDescent="0.2">
      <c r="A2" t="s">
        <v>47</v>
      </c>
    </row>
    <row r="3" spans="1:9" x14ac:dyDescent="0.2">
      <c r="A3" t="s">
        <v>48</v>
      </c>
    </row>
    <row r="4" spans="1:9" x14ac:dyDescent="0.2">
      <c r="A4" t="s">
        <v>49</v>
      </c>
    </row>
    <row r="6" spans="1:9" x14ac:dyDescent="0.2">
      <c r="A6" s="83" t="s">
        <v>15</v>
      </c>
      <c r="B6" t="s">
        <v>65</v>
      </c>
    </row>
    <row r="7" spans="1:9" x14ac:dyDescent="0.2">
      <c r="A7" s="83" t="s">
        <v>17</v>
      </c>
      <c r="B7">
        <v>10117</v>
      </c>
    </row>
    <row r="8" spans="1:9" x14ac:dyDescent="0.2">
      <c r="A8" s="83" t="s">
        <v>18</v>
      </c>
      <c r="B8" s="53">
        <v>45807</v>
      </c>
    </row>
    <row r="10" spans="1:9" x14ac:dyDescent="0.2">
      <c r="A10" s="83"/>
      <c r="B10" s="83"/>
      <c r="C10" s="84" t="s">
        <v>58</v>
      </c>
      <c r="D10" s="83"/>
      <c r="E10" s="83"/>
      <c r="F10" s="83"/>
      <c r="G10" s="83"/>
      <c r="H10" s="83"/>
      <c r="I10" s="83"/>
    </row>
    <row r="11" spans="1:9" x14ac:dyDescent="0.2">
      <c r="A11" s="83" t="s">
        <v>59</v>
      </c>
      <c r="B11" s="83"/>
      <c r="C11" s="83"/>
      <c r="D11" s="83"/>
      <c r="E11" s="83"/>
      <c r="F11" s="83"/>
      <c r="G11" s="83"/>
      <c r="H11" s="83"/>
      <c r="I11" s="83"/>
    </row>
    <row r="13" spans="1:9" ht="24" customHeight="1" x14ac:dyDescent="0.2">
      <c r="A13" s="84" t="s">
        <v>21</v>
      </c>
      <c r="B13" s="84" t="s">
        <v>22</v>
      </c>
      <c r="C13" s="84" t="s">
        <v>23</v>
      </c>
      <c r="D13" s="84" t="s">
        <v>40</v>
      </c>
      <c r="E13" s="84" t="s">
        <v>25</v>
      </c>
      <c r="F13" s="84" t="s">
        <v>26</v>
      </c>
      <c r="G13" s="84" t="s">
        <v>27</v>
      </c>
      <c r="H13" s="85" t="s">
        <v>28</v>
      </c>
      <c r="I13" s="88"/>
    </row>
    <row r="14" spans="1:9" x14ac:dyDescent="0.2">
      <c r="A14">
        <v>1</v>
      </c>
      <c r="B14" s="54">
        <v>45807</v>
      </c>
      <c r="C14" t="s">
        <v>66</v>
      </c>
      <c r="D14" s="97" t="s">
        <v>67</v>
      </c>
      <c r="E14" t="s">
        <v>30</v>
      </c>
      <c r="F14" s="50">
        <v>39848.19</v>
      </c>
      <c r="G14" s="50">
        <f>IFERROR(IF(H14="",IFERROR(VALUE(LEFT(D14,FIND("/",D14)-1))/VALUE(MID(D14,FIND("/",D14)+1,100)),D14)*F14,IFERROR(VALUE(LEFT(D14,FIND("/",D14)-1))/VALUE(MID(D14,FIND("/",D14)+1,100)),D14)*VLOOKUP(F14,StBVV!$A:$D,MATCH(H14,StBVV!$B$3:$D$3,0)+1,TRUE)),IFERROR(VALUE(LEFT(D14,FIND("/",D14)-1))/VALUE(MID(D14,FIND("/",D14)+1,100)),D14)*F14)</f>
        <v>736.4</v>
      </c>
      <c r="H14" s="86" t="s">
        <v>4</v>
      </c>
    </row>
    <row r="15" spans="1:9" x14ac:dyDescent="0.2">
      <c r="A15">
        <v>2</v>
      </c>
      <c r="B15" s="54">
        <v>45807</v>
      </c>
      <c r="C15" t="s">
        <v>68</v>
      </c>
      <c r="D15">
        <v>4</v>
      </c>
      <c r="E15" t="s">
        <v>30</v>
      </c>
      <c r="F15" s="50">
        <v>95</v>
      </c>
      <c r="G15" s="50">
        <f>+D15*F15</f>
        <v>380</v>
      </c>
      <c r="H15" s="86"/>
    </row>
    <row r="16" spans="1:9" x14ac:dyDescent="0.2">
      <c r="A16">
        <v>3</v>
      </c>
      <c r="B16" s="54">
        <v>45807</v>
      </c>
      <c r="C16" t="s">
        <v>69</v>
      </c>
      <c r="D16" s="97" t="s">
        <v>55</v>
      </c>
      <c r="E16" t="s">
        <v>30</v>
      </c>
      <c r="F16" s="50">
        <v>8000</v>
      </c>
      <c r="G16" s="50">
        <f>IFERROR(IF(H16="",IFERROR(VALUE(LEFT(D16,FIND("/",D16)-1))/VALUE(MID(D16,FIND("/",D16)+1,100)),D16)*F16,IFERROR(VALUE(LEFT(D16,FIND("/",D16)-1))/VALUE(MID(D16,FIND("/",D16)+1,100)),D16)*VLOOKUP(F16,StBVV!$A:$D,MATCH(H16,StBVV!$B$3:$D$3,0)+1,TRUE)),IFERROR(VALUE(LEFT(D16,FIND("/",D16)-1))/VALUE(MID(D16,FIND("/",D16)+1,100)),D16)*F16)</f>
        <v>308.39999999999998</v>
      </c>
      <c r="H16" s="86" t="s">
        <v>3</v>
      </c>
    </row>
    <row r="17" spans="1:8" x14ac:dyDescent="0.2">
      <c r="A17">
        <v>4</v>
      </c>
      <c r="B17" s="54">
        <v>45807</v>
      </c>
      <c r="C17" t="s">
        <v>56</v>
      </c>
      <c r="D17">
        <v>1</v>
      </c>
      <c r="E17" t="s">
        <v>30</v>
      </c>
      <c r="F17" s="50">
        <v>20</v>
      </c>
      <c r="G17" s="50">
        <f>+D17*F17</f>
        <v>20</v>
      </c>
      <c r="H17" s="86"/>
    </row>
    <row r="18" spans="1:8" x14ac:dyDescent="0.2">
      <c r="F18" t="s">
        <v>36</v>
      </c>
      <c r="G18" s="56">
        <f>SUM(G14:G17)</f>
        <v>1444.8000000000002</v>
      </c>
    </row>
    <row r="19" spans="1:8" x14ac:dyDescent="0.2">
      <c r="F19" t="s">
        <v>37</v>
      </c>
      <c r="G19" s="56">
        <f>+G18*0.19</f>
        <v>274.51200000000006</v>
      </c>
    </row>
    <row r="20" spans="1:8" x14ac:dyDescent="0.2">
      <c r="F20" t="s">
        <v>38</v>
      </c>
      <c r="G20" s="56">
        <f>SUM(G18:G19)</f>
        <v>1719.3120000000004</v>
      </c>
    </row>
    <row r="21" spans="1:8" ht="5.25" customHeight="1" x14ac:dyDescent="0.2">
      <c r="A21" s="21"/>
      <c r="B21" s="21"/>
      <c r="C21" s="21"/>
      <c r="D21" s="20"/>
      <c r="E21" s="25"/>
      <c r="F21" s="25"/>
      <c r="G21" s="24"/>
    </row>
    <row r="22" spans="1:8" ht="15" customHeight="1" x14ac:dyDescent="0.2">
      <c r="A22" s="74"/>
      <c r="B22" s="74"/>
      <c r="C22" s="23"/>
      <c r="D22" s="25"/>
      <c r="E22" s="25"/>
      <c r="F22" s="25"/>
      <c r="G22" s="75"/>
    </row>
    <row r="23" spans="1:8" ht="15" customHeight="1" x14ac:dyDescent="0.25">
      <c r="D23" s="63"/>
      <c r="E23" s="8"/>
      <c r="F23" s="8"/>
    </row>
    <row r="24" spans="1:8" ht="15" customHeight="1" x14ac:dyDescent="0.25">
      <c r="D24" s="63"/>
      <c r="E24" s="8"/>
      <c r="F24" s="8"/>
    </row>
    <row r="25" spans="1:8" ht="19.5" customHeight="1" x14ac:dyDescent="0.25">
      <c r="D25" s="63"/>
      <c r="E25" s="8"/>
      <c r="F25" s="8"/>
    </row>
    <row r="26" spans="1:8" ht="15.75" customHeight="1" x14ac:dyDescent="0.2"/>
    <row r="27" spans="1:8" ht="13.5" customHeight="1" x14ac:dyDescent="0.2"/>
    <row r="28" spans="1:8" ht="13.5" customHeight="1" x14ac:dyDescent="0.2">
      <c r="D28" s="69"/>
      <c r="G28" s="70"/>
    </row>
    <row r="29" spans="1:8" ht="8.25" customHeight="1" x14ac:dyDescent="0.2">
      <c r="D29" s="69"/>
      <c r="G29" s="70"/>
    </row>
    <row r="30" spans="1:8" ht="13.5" customHeight="1" x14ac:dyDescent="0.2">
      <c r="A30" s="102"/>
      <c r="B30" s="99"/>
      <c r="C30" s="99"/>
      <c r="D30" s="99"/>
      <c r="E30" s="99"/>
      <c r="F30" s="99"/>
      <c r="G30" s="99"/>
    </row>
  </sheetData>
  <mergeCells count="1">
    <mergeCell ref="A30:G30"/>
  </mergeCells>
  <pageMargins left="0.7" right="0.7" top="0.78740157499999996" bottom="0.78740157499999996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workbookViewId="0">
      <selection activeCell="C10" sqref="C10"/>
    </sheetView>
  </sheetViews>
  <sheetFormatPr baseColWidth="10" defaultRowHeight="12.75" x14ac:dyDescent="0.2"/>
  <cols>
    <col min="1" max="1" width="30.140625" customWidth="1"/>
    <col min="3" max="3" width="34.42578125" customWidth="1"/>
    <col min="4" max="4" width="15.5703125" customWidth="1"/>
    <col min="6" max="6" width="18" customWidth="1"/>
    <col min="7" max="7" width="17" customWidth="1"/>
  </cols>
  <sheetData>
    <row r="1" spans="1:8" x14ac:dyDescent="0.2">
      <c r="A1" s="83" t="s">
        <v>11</v>
      </c>
    </row>
    <row r="2" spans="1:8" x14ac:dyDescent="0.2">
      <c r="A2" t="s">
        <v>70</v>
      </c>
    </row>
    <row r="3" spans="1:8" x14ac:dyDescent="0.2">
      <c r="A3" t="s">
        <v>71</v>
      </c>
    </row>
    <row r="4" spans="1:8" x14ac:dyDescent="0.2">
      <c r="A4" t="s">
        <v>72</v>
      </c>
    </row>
    <row r="6" spans="1:8" x14ac:dyDescent="0.2">
      <c r="A6" s="83" t="s">
        <v>15</v>
      </c>
      <c r="B6" t="s">
        <v>73</v>
      </c>
    </row>
    <row r="7" spans="1:8" x14ac:dyDescent="0.2">
      <c r="A7" s="83" t="s">
        <v>17</v>
      </c>
      <c r="B7">
        <v>60431</v>
      </c>
    </row>
    <row r="8" spans="1:8" x14ac:dyDescent="0.2">
      <c r="A8" s="83" t="s">
        <v>18</v>
      </c>
      <c r="B8" s="53">
        <v>45474</v>
      </c>
    </row>
    <row r="10" spans="1:8" x14ac:dyDescent="0.2">
      <c r="A10" s="83"/>
      <c r="B10" s="83"/>
      <c r="C10" s="84" t="s">
        <v>58</v>
      </c>
      <c r="D10" s="83"/>
      <c r="E10" s="83"/>
      <c r="F10" s="83"/>
      <c r="G10" s="83"/>
      <c r="H10" s="83"/>
    </row>
    <row r="11" spans="1:8" x14ac:dyDescent="0.2">
      <c r="A11" s="83" t="s">
        <v>59</v>
      </c>
      <c r="B11" s="83"/>
      <c r="C11" s="83"/>
      <c r="D11" s="83"/>
      <c r="E11" s="83"/>
      <c r="F11" s="83"/>
      <c r="G11" s="83"/>
      <c r="H11" s="83"/>
    </row>
    <row r="13" spans="1:8" ht="24" customHeight="1" x14ac:dyDescent="0.2">
      <c r="A13" s="84" t="s">
        <v>21</v>
      </c>
      <c r="B13" s="84" t="s">
        <v>22</v>
      </c>
      <c r="C13" s="84" t="s">
        <v>23</v>
      </c>
      <c r="D13" s="84" t="s">
        <v>40</v>
      </c>
      <c r="E13" s="84" t="s">
        <v>25</v>
      </c>
      <c r="F13" s="84" t="s">
        <v>26</v>
      </c>
      <c r="G13" s="84" t="s">
        <v>27</v>
      </c>
      <c r="H13" s="85" t="s">
        <v>28</v>
      </c>
    </row>
    <row r="14" spans="1:8" x14ac:dyDescent="0.2">
      <c r="A14">
        <v>1</v>
      </c>
      <c r="B14" s="54">
        <v>45474</v>
      </c>
      <c r="C14" t="s">
        <v>74</v>
      </c>
      <c r="D14" s="56">
        <v>4.5</v>
      </c>
      <c r="E14" t="s">
        <v>75</v>
      </c>
      <c r="F14" s="50">
        <v>120</v>
      </c>
      <c r="G14" s="56">
        <f>+D14*F14</f>
        <v>540</v>
      </c>
      <c r="H14" s="86"/>
    </row>
    <row r="15" spans="1:8" x14ac:dyDescent="0.2">
      <c r="A15">
        <v>2</v>
      </c>
      <c r="B15" s="54">
        <v>45474</v>
      </c>
      <c r="C15" t="s">
        <v>56</v>
      </c>
      <c r="D15">
        <v>1</v>
      </c>
      <c r="E15" t="s">
        <v>30</v>
      </c>
      <c r="F15" s="50">
        <v>10</v>
      </c>
      <c r="G15" s="56">
        <f>+D15*F15</f>
        <v>10</v>
      </c>
      <c r="H15" s="86"/>
    </row>
    <row r="16" spans="1:8" x14ac:dyDescent="0.2">
      <c r="F16" t="s">
        <v>36</v>
      </c>
      <c r="G16" s="56">
        <f>SUM(G14:G15)</f>
        <v>550</v>
      </c>
    </row>
    <row r="17" spans="1:7" x14ac:dyDescent="0.2">
      <c r="F17" t="s">
        <v>37</v>
      </c>
      <c r="G17" s="56">
        <f>+G16*0.19</f>
        <v>104.5</v>
      </c>
    </row>
    <row r="18" spans="1:7" x14ac:dyDescent="0.2">
      <c r="F18" t="s">
        <v>38</v>
      </c>
      <c r="G18" s="56">
        <f>SUM(G16:G17)</f>
        <v>654.5</v>
      </c>
    </row>
    <row r="19" spans="1:7" ht="5.25" customHeight="1" x14ac:dyDescent="0.2">
      <c r="A19" s="21"/>
      <c r="B19" s="21"/>
      <c r="C19" s="21"/>
      <c r="D19" s="20"/>
      <c r="E19" s="25"/>
      <c r="F19" s="25"/>
      <c r="G19" s="24"/>
    </row>
    <row r="20" spans="1:7" ht="15" customHeight="1" x14ac:dyDescent="0.2">
      <c r="A20" s="74"/>
      <c r="B20" s="74"/>
      <c r="C20" s="23"/>
      <c r="D20" s="25"/>
      <c r="E20" s="25"/>
      <c r="F20" s="25"/>
      <c r="G20" s="75"/>
    </row>
    <row r="21" spans="1:7" ht="15" customHeight="1" x14ac:dyDescent="0.25">
      <c r="D21" s="63"/>
      <c r="E21" s="8"/>
      <c r="F21" s="8"/>
    </row>
    <row r="22" spans="1:7" ht="15" customHeight="1" x14ac:dyDescent="0.25">
      <c r="D22" s="63"/>
      <c r="E22" s="8"/>
      <c r="F22" s="8"/>
    </row>
    <row r="23" spans="1:7" ht="19.5" customHeight="1" x14ac:dyDescent="0.25">
      <c r="D23" s="63"/>
      <c r="E23" s="8"/>
      <c r="F23" s="8"/>
    </row>
    <row r="24" spans="1:7" ht="15.75" customHeight="1" x14ac:dyDescent="0.2"/>
    <row r="25" spans="1:7" ht="13.5" customHeight="1" x14ac:dyDescent="0.2"/>
    <row r="26" spans="1:7" ht="13.5" customHeight="1" x14ac:dyDescent="0.2">
      <c r="D26" s="69"/>
      <c r="G26" s="70"/>
    </row>
    <row r="27" spans="1:7" ht="8.25" customHeight="1" x14ac:dyDescent="0.2">
      <c r="D27" s="69"/>
      <c r="G27" s="70"/>
    </row>
    <row r="28" spans="1:7" ht="13.5" customHeight="1" x14ac:dyDescent="0.2">
      <c r="A28" s="102"/>
      <c r="B28" s="99"/>
      <c r="C28" s="99"/>
      <c r="D28" s="99"/>
      <c r="E28" s="99"/>
      <c r="F28" s="99"/>
      <c r="G28" s="99"/>
    </row>
  </sheetData>
  <mergeCells count="1">
    <mergeCell ref="A28:G28"/>
  </mergeCells>
  <pageMargins left="0.7" right="0.7" top="0.78740157499999996" bottom="0.78740157499999996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>
      <selection activeCell="A13" sqref="A13:G13"/>
    </sheetView>
  </sheetViews>
  <sheetFormatPr baseColWidth="10" defaultRowHeight="12.75" x14ac:dyDescent="0.2"/>
  <cols>
    <col min="1" max="1" width="24.5703125" customWidth="1"/>
    <col min="2" max="2" width="20" customWidth="1"/>
    <col min="3" max="3" width="64.5703125" customWidth="1"/>
    <col min="4" max="4" width="21.42578125" customWidth="1"/>
    <col min="5" max="5" width="15.42578125" customWidth="1"/>
    <col min="6" max="6" width="19" customWidth="1"/>
    <col min="7" max="7" width="16.140625" customWidth="1"/>
  </cols>
  <sheetData>
    <row r="1" spans="1:8" x14ac:dyDescent="0.2">
      <c r="A1" s="83" t="s">
        <v>11</v>
      </c>
    </row>
    <row r="2" spans="1:8" x14ac:dyDescent="0.2">
      <c r="A2" t="s">
        <v>47</v>
      </c>
    </row>
    <row r="3" spans="1:8" x14ac:dyDescent="0.2">
      <c r="A3" t="s">
        <v>48</v>
      </c>
    </row>
    <row r="4" spans="1:8" x14ac:dyDescent="0.2">
      <c r="A4" t="s">
        <v>49</v>
      </c>
    </row>
    <row r="6" spans="1:8" x14ac:dyDescent="0.2">
      <c r="A6" s="83" t="s">
        <v>15</v>
      </c>
      <c r="B6" t="s">
        <v>76</v>
      </c>
    </row>
    <row r="7" spans="1:8" x14ac:dyDescent="0.2">
      <c r="A7" s="83" t="s">
        <v>17</v>
      </c>
      <c r="B7">
        <v>10117</v>
      </c>
    </row>
    <row r="8" spans="1:8" x14ac:dyDescent="0.2">
      <c r="A8" s="83" t="s">
        <v>18</v>
      </c>
      <c r="B8" s="53">
        <v>45471</v>
      </c>
    </row>
    <row r="10" spans="1:8" x14ac:dyDescent="0.2">
      <c r="A10" s="83"/>
      <c r="B10" s="83"/>
      <c r="C10" s="84" t="s">
        <v>19</v>
      </c>
      <c r="D10" s="83"/>
      <c r="E10" s="83"/>
      <c r="F10" s="83"/>
      <c r="G10" s="83"/>
    </row>
    <row r="11" spans="1:8" x14ac:dyDescent="0.2">
      <c r="A11" s="83" t="s">
        <v>20</v>
      </c>
      <c r="B11" s="83"/>
      <c r="C11" s="83"/>
      <c r="D11" s="83"/>
      <c r="E11" s="83"/>
      <c r="F11" s="83"/>
      <c r="G11" s="83"/>
    </row>
    <row r="13" spans="1:8" ht="24" customHeight="1" x14ac:dyDescent="0.2">
      <c r="A13" s="84" t="s">
        <v>21</v>
      </c>
      <c r="B13" s="84" t="s">
        <v>22</v>
      </c>
      <c r="C13" s="84" t="s">
        <v>23</v>
      </c>
      <c r="D13" s="84" t="s">
        <v>40</v>
      </c>
      <c r="E13" s="84" t="s">
        <v>25</v>
      </c>
      <c r="F13" s="84" t="s">
        <v>26</v>
      </c>
      <c r="G13" s="84" t="s">
        <v>27</v>
      </c>
      <c r="H13" s="85" t="s">
        <v>28</v>
      </c>
    </row>
    <row r="14" spans="1:8" ht="25.5" customHeight="1" x14ac:dyDescent="0.2">
      <c r="A14">
        <v>1</v>
      </c>
      <c r="B14" s="54">
        <v>45471</v>
      </c>
      <c r="C14" s="52" t="s">
        <v>77</v>
      </c>
      <c r="D14" s="97" t="s">
        <v>42</v>
      </c>
      <c r="E14" t="s">
        <v>30</v>
      </c>
      <c r="F14" s="50">
        <v>172921</v>
      </c>
      <c r="G14" s="50">
        <f>IFERROR(IF(H14="",IFERROR(VALUE(LEFT(D14,FIND("/",D14)-1))/VALUE(MID(D14,FIND("/",D14)+1,100)),D14)*F14,IFERROR(VALUE(LEFT(D14,FIND("/",D14)-1))/VALUE(MID(D14,FIND("/",D14)+1,100)),D14)*VLOOKUP(F14,StBVV!$A:$D,MATCH(H14,StBVV!$B$3:$D$3,0)+1,TRUE)),IFERROR(VALUE(LEFT(D14,FIND("/",D14)-1))/VALUE(MID(D14,FIND("/",D14)+1,100)),D14)*F14)</f>
        <v>867.2</v>
      </c>
      <c r="H14" s="86" t="s">
        <v>3</v>
      </c>
    </row>
    <row r="15" spans="1:8" ht="25.5" customHeight="1" x14ac:dyDescent="0.2">
      <c r="A15">
        <v>2</v>
      </c>
      <c r="B15" s="54">
        <v>45471</v>
      </c>
      <c r="C15" s="52" t="s">
        <v>78</v>
      </c>
      <c r="D15" s="97" t="s">
        <v>79</v>
      </c>
      <c r="E15" t="s">
        <v>30</v>
      </c>
      <c r="F15" s="50">
        <v>8000</v>
      </c>
      <c r="G15" s="50">
        <f>IFERROR(IF(H15="",IFERROR(VALUE(LEFT(D15,FIND("/",D15)-1))/VALUE(MID(D15,FIND("/",D15)+1,100)),D15)*F15,IFERROR(VALUE(LEFT(D15,FIND("/",D15)-1))/VALUE(MID(D15,FIND("/",D15)+1,100)),D15)*VLOOKUP(F15,StBVV!$A:$D,MATCH(H15,StBVV!$B$3:$D$3,0)+1,TRUE)),IFERROR(VALUE(LEFT(D15,FIND("/",D15)-1))/VALUE(MID(D15,FIND("/",D15)+1,100)),D15)*F15)</f>
        <v>411.20000000000005</v>
      </c>
      <c r="H15" s="86" t="s">
        <v>3</v>
      </c>
    </row>
    <row r="16" spans="1:8" ht="25.5" customHeight="1" x14ac:dyDescent="0.2">
      <c r="A16">
        <v>3</v>
      </c>
      <c r="B16" s="54">
        <v>45471</v>
      </c>
      <c r="C16" s="52" t="s">
        <v>80</v>
      </c>
      <c r="D16" s="97" t="s">
        <v>81</v>
      </c>
      <c r="E16" t="s">
        <v>30</v>
      </c>
      <c r="F16" s="50">
        <v>42873</v>
      </c>
      <c r="G16" s="50">
        <f>IFERROR(IF(H16="",IFERROR(VALUE(LEFT(D16,FIND("/",D16)-1))/VALUE(MID(D16,FIND("/",D16)+1,100)),D16)*F16,IFERROR(VALUE(LEFT(D16,FIND("/",D16)-1))/VALUE(MID(D16,FIND("/",D16)+1,100)),D16)*VLOOKUP(F16,StBVV!$A:$D,MATCH(H16,StBVV!$B$3:$D$3,0)+1,TRUE)),IFERROR(VALUE(LEFT(D16,FIND("/",D16)-1))/VALUE(MID(D16,FIND("/",D16)+1,100)),D16)*F16)</f>
        <v>425.25</v>
      </c>
      <c r="H16" s="86" t="s">
        <v>3</v>
      </c>
    </row>
    <row r="17" spans="1:8" ht="25.5" customHeight="1" x14ac:dyDescent="0.2">
      <c r="A17">
        <v>4</v>
      </c>
      <c r="B17" s="54">
        <v>45471</v>
      </c>
      <c r="C17" s="52" t="s">
        <v>82</v>
      </c>
      <c r="D17" s="97" t="s">
        <v>83</v>
      </c>
      <c r="E17" t="s">
        <v>30</v>
      </c>
      <c r="F17" s="50">
        <v>8000</v>
      </c>
      <c r="G17" s="50">
        <f>IFERROR(IF(H17="",IFERROR(VALUE(LEFT(D17,FIND("/",D17)-1))/VALUE(MID(D17,FIND("/",D17)+1,100)),D17)*F17,IFERROR(VALUE(LEFT(D17,FIND("/",D17)-1))/VALUE(MID(D17,FIND("/",D17)+1,100)),D17)*VLOOKUP(F17,StBVV!$A:$D,MATCH(H17,StBVV!$B$3:$D$3,0)+1,TRUE)),IFERROR(VALUE(LEFT(D17,FIND("/",D17)-1))/VALUE(MID(D17,FIND("/",D17)+1,100)),D17)*F17)</f>
        <v>102.80000000000001</v>
      </c>
      <c r="H17" s="86" t="s">
        <v>3</v>
      </c>
    </row>
    <row r="18" spans="1:8" x14ac:dyDescent="0.2">
      <c r="A18">
        <v>5</v>
      </c>
      <c r="B18" s="54">
        <v>45471</v>
      </c>
      <c r="C18" s="52" t="s">
        <v>56</v>
      </c>
      <c r="D18">
        <v>0</v>
      </c>
      <c r="E18" t="s">
        <v>30</v>
      </c>
      <c r="F18" s="50">
        <v>252.21</v>
      </c>
      <c r="G18" s="50">
        <v>20</v>
      </c>
      <c r="H18" s="86"/>
    </row>
    <row r="19" spans="1:8" x14ac:dyDescent="0.2">
      <c r="F19" t="s">
        <v>36</v>
      </c>
      <c r="G19" s="56">
        <f>SUM(G14:G18)</f>
        <v>1826.45</v>
      </c>
    </row>
    <row r="20" spans="1:8" x14ac:dyDescent="0.2">
      <c r="F20" t="s">
        <v>37</v>
      </c>
      <c r="G20" s="56">
        <f>+G19*0.19</f>
        <v>347.02550000000002</v>
      </c>
    </row>
    <row r="21" spans="1:8" x14ac:dyDescent="0.2">
      <c r="F21" t="s">
        <v>38</v>
      </c>
      <c r="G21" s="56">
        <f>SUM(G19:G20)</f>
        <v>2173.4755</v>
      </c>
    </row>
    <row r="22" spans="1:8" ht="5.25" customHeight="1" x14ac:dyDescent="0.2">
      <c r="A22" s="21"/>
      <c r="B22" s="21"/>
      <c r="C22" s="21"/>
      <c r="D22" s="20"/>
      <c r="E22" s="25"/>
      <c r="F22" s="25"/>
      <c r="G22" s="24"/>
    </row>
    <row r="23" spans="1:8" ht="15" customHeight="1" x14ac:dyDescent="0.2">
      <c r="A23" s="74"/>
      <c r="B23" s="74"/>
      <c r="C23" s="23"/>
      <c r="D23" s="25"/>
      <c r="E23" s="25"/>
      <c r="F23" s="25"/>
      <c r="G23" s="75"/>
    </row>
    <row r="24" spans="1:8" ht="15" customHeight="1" x14ac:dyDescent="0.25">
      <c r="D24" s="63"/>
      <c r="E24" s="8"/>
      <c r="F24" s="8"/>
    </row>
    <row r="25" spans="1:8" ht="15" customHeight="1" x14ac:dyDescent="0.25">
      <c r="D25" s="63"/>
      <c r="E25" s="8"/>
      <c r="F25" s="8"/>
    </row>
    <row r="26" spans="1:8" ht="19.5" customHeight="1" x14ac:dyDescent="0.25">
      <c r="D26" s="63"/>
      <c r="E26" s="8"/>
      <c r="F26" s="8"/>
    </row>
    <row r="27" spans="1:8" ht="15.75" customHeight="1" x14ac:dyDescent="0.2"/>
    <row r="28" spans="1:8" ht="13.5" customHeight="1" x14ac:dyDescent="0.2"/>
    <row r="29" spans="1:8" ht="13.5" customHeight="1" x14ac:dyDescent="0.2">
      <c r="D29" s="69"/>
      <c r="G29" s="70"/>
    </row>
    <row r="30" spans="1:8" ht="8.25" customHeight="1" x14ac:dyDescent="0.2">
      <c r="D30" s="69"/>
      <c r="G30" s="70"/>
    </row>
    <row r="31" spans="1:8" ht="13.5" customHeight="1" x14ac:dyDescent="0.2">
      <c r="A31" s="102"/>
      <c r="B31" s="99"/>
      <c r="C31" s="99"/>
      <c r="D31" s="99"/>
      <c r="E31" s="99"/>
      <c r="F31" s="99"/>
      <c r="G31" s="99"/>
    </row>
  </sheetData>
  <mergeCells count="1">
    <mergeCell ref="A31:G31"/>
  </mergeCells>
  <pageMargins left="0.7" right="0.7" top="0.78740157499999996" bottom="0.78740157499999996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StBVV</vt:lpstr>
      <vt:lpstr>Löhne</vt:lpstr>
      <vt:lpstr>Fibu</vt:lpstr>
      <vt:lpstr>JA</vt:lpstr>
      <vt:lpstr>GrSt</vt:lpstr>
      <vt:lpstr>ESt Anlage V</vt:lpstr>
      <vt:lpstr>EÜR</vt:lpstr>
      <vt:lpstr>DRV-Prüfung</vt:lpstr>
      <vt:lpstr>ESt</vt:lpstr>
      <vt:lpstr>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Charis</cp:lastModifiedBy>
  <cp:lastPrinted>2026-03-10T11:56:27Z</cp:lastPrinted>
  <dcterms:created xsi:type="dcterms:W3CDTF">2009-01-10T15:13:38Z</dcterms:created>
  <dcterms:modified xsi:type="dcterms:W3CDTF">2026-05-03T21:55:10Z</dcterms:modified>
</cp:coreProperties>
</file>