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haris\Projekte\excel2zugferd\Musterrechnungen\"/>
    </mc:Choice>
  </mc:AlternateContent>
  <xr:revisionPtr revIDLastSave="0" documentId="13_ncr:1_{5773090F-F4FD-44CF-BCF2-81BAD010143B}" xr6:coauthVersionLast="47" xr6:coauthVersionMax="47" xr10:uidLastSave="{00000000-0000-0000-0000-000000000000}"/>
  <bookViews>
    <workbookView xWindow="345" yWindow="405" windowWidth="27780" windowHeight="14115" tabRatio="734" xr2:uid="{DD8D04E0-A40E-4242-92B0-C1AC96EB49EA}"/>
  </bookViews>
  <sheets>
    <sheet name="Löhne I-2025" sheetId="141" r:id="rId1"/>
    <sheet name="Fibu I-2025" sheetId="142" r:id="rId2"/>
  </sheets>
  <calcPr calcId="191029"/>
</workbook>
</file>

<file path=xl/calcChain.xml><?xml version="1.0" encoding="utf-8"?>
<calcChain xmlns="http://schemas.openxmlformats.org/spreadsheetml/2006/main">
  <c r="H30" i="142" l="1"/>
  <c r="H27" i="142"/>
  <c r="H24" i="142"/>
  <c r="E24" i="142"/>
  <c r="E27" i="142"/>
  <c r="E30" i="142"/>
  <c r="H18" i="141"/>
  <c r="T12" i="141"/>
  <c r="H29" i="141"/>
  <c r="H25" i="141"/>
  <c r="H23" i="141"/>
  <c r="H20" i="141"/>
  <c r="E36" i="141" s="1"/>
  <c r="H38" i="141"/>
  <c r="H39" i="141" s="1"/>
  <c r="H40" i="141" s="1"/>
  <c r="H37" i="142"/>
  <c r="H38" i="142"/>
  <c r="H39" i="142"/>
</calcChain>
</file>

<file path=xl/sharedStrings.xml><?xml version="1.0" encoding="utf-8"?>
<sst xmlns="http://schemas.openxmlformats.org/spreadsheetml/2006/main" count="83" uniqueCount="56">
  <si>
    <t>Hartmut Ahting, Steuerberater, Heerstrasse 50, 60488 Frankfurt</t>
  </si>
  <si>
    <t>Rg-Datum:</t>
  </si>
  <si>
    <t xml:space="preserve">Kunden-Nr.: </t>
  </si>
  <si>
    <t>Rg-Nr.:</t>
  </si>
  <si>
    <t xml:space="preserve">Rechnung über Honorare </t>
  </si>
  <si>
    <t>verordnung wie folgt abzurechnen:</t>
  </si>
  <si>
    <t>Leistung</t>
  </si>
  <si>
    <t>Gebühr</t>
  </si>
  <si>
    <t>§§</t>
  </si>
  <si>
    <t>Gesamt</t>
  </si>
  <si>
    <t>USt 19%</t>
  </si>
  <si>
    <t>Rechnungsendbetrag</t>
  </si>
  <si>
    <t>Gegenstands-</t>
  </si>
  <si>
    <t>wert</t>
  </si>
  <si>
    <t>Tabelle</t>
  </si>
  <si>
    <t>Geb.-</t>
  </si>
  <si>
    <t>satz</t>
  </si>
  <si>
    <t xml:space="preserve">Buchführung einschl. Kontieren der Belege </t>
  </si>
  <si>
    <t>C</t>
  </si>
  <si>
    <t>Donnersbergstraße 25</t>
  </si>
  <si>
    <t>60528 Frankfurt</t>
  </si>
  <si>
    <t>Franz Pfaff Innenausbau GmbH</t>
  </si>
  <si>
    <t>Arbeit-</t>
  </si>
  <si>
    <t>nehmer</t>
  </si>
  <si>
    <t>Zeitgeb.</t>
  </si>
  <si>
    <t xml:space="preserve">Auslagenersatz für Post- und </t>
  </si>
  <si>
    <t>Telekommunikation</t>
  </si>
  <si>
    <t xml:space="preserve">Für die nachfolgend aufgeführten Leistungen erlaube ich mir nach der Steuerberatervergütungs- </t>
  </si>
  <si>
    <t xml:space="preserve"> - Lohnabrechnungen inkl. </t>
  </si>
  <si>
    <t xml:space="preserve">   Sozialvers.-meldungen</t>
  </si>
  <si>
    <t xml:space="preserve">IBAN: </t>
  </si>
  <si>
    <t>DE 13 50070024 0 4092862 00</t>
  </si>
  <si>
    <t>DEUTDEDBFRA</t>
  </si>
  <si>
    <t>Bitte überweisen Sie den Betrag ohne Abzüge innerhalb von 14 Tagen auf das angegebene Konto.</t>
  </si>
  <si>
    <t>am</t>
  </si>
  <si>
    <t>BIC:</t>
  </si>
  <si>
    <t>am/in:</t>
  </si>
  <si>
    <t>Hilfeleistung bei sonstigen Tätigkeiten im Zusammen-</t>
  </si>
  <si>
    <t>hang mit dem Lohnsteuerabzug/der Lohnbuchführung</t>
  </si>
  <si>
    <t xml:space="preserve">Steuernummer: 014 801 32096           </t>
  </si>
  <si>
    <t xml:space="preserve">Löhne/Gehälter 01/2025 </t>
  </si>
  <si>
    <t xml:space="preserve">Löhne/Gehälter 02/2025 </t>
  </si>
  <si>
    <t>02/2025</t>
  </si>
  <si>
    <t xml:space="preserve">Löhne/Gehälter 03/2025 </t>
  </si>
  <si>
    <t>- Antrag auf Saison-KUG 02/2025</t>
  </si>
  <si>
    <t>I/2025</t>
  </si>
  <si>
    <t>10113-2025-004</t>
  </si>
  <si>
    <t xml:space="preserve"> - Einrichten v. Lohnkonten (Vasile)</t>
  </si>
  <si>
    <t>01/2025</t>
  </si>
  <si>
    <t xml:space="preserve"> - Einrichten v. Lohnkonten (Bajiric)</t>
  </si>
  <si>
    <t xml:space="preserve">Steuernummer: 014 801 32096    </t>
  </si>
  <si>
    <t>10113-2025-005</t>
  </si>
  <si>
    <t>für 01/2025 am</t>
  </si>
  <si>
    <t>für 02/2025am</t>
  </si>
  <si>
    <t>für 03/2025 am</t>
  </si>
  <si>
    <t>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</si>
</sst>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\ mmmm\ yyyy"/>
    <numFmt numFmtId="165" formatCode="#,##0.00\ [$€-1]"/>
    <numFmt numFmtId="166" formatCode="#,##0.0"/>
    <numFmt numFmtId="167" formatCode="0\ &quot;AN&quot;"/>
    <numFmt numFmtId="168" formatCode="#,##0.00\ &quot;€/AN&quot;"/>
    <numFmt numFmtId="169" formatCode="#,##0.00\ &quot;€/Std.&quot;"/>
    <numFmt numFmtId="170" formatCode="0.00\ &quot;Std&quot;"/>
  </numFmts>
  <fonts count="14" x14ac:knownFonts="1">
    <font>
      <sz val="10"/>
      <name val="Arial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0"/>
      <name val="Times New Roman"/>
      <family val="1"/>
    </font>
    <font>
      <sz val="11.5"/>
      <name val="Times New Roman"/>
      <family val="1"/>
    </font>
    <font>
      <sz val="11.5"/>
      <name val="Arial"/>
      <family val="2"/>
    </font>
    <font>
      <b/>
      <sz val="11.5"/>
      <name val="Times New Roman"/>
      <family val="1"/>
    </font>
    <font>
      <sz val="10.5"/>
      <name val="Times New Roman"/>
      <family val="1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2" fontId="5" fillId="0" borderId="0" xfId="0" applyNumberFormat="1" applyFont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4" fontId="5" fillId="0" borderId="0" xfId="0" applyNumberFormat="1" applyFont="1" applyAlignment="1">
      <alignment horizontal="left"/>
    </xf>
    <xf numFmtId="165" fontId="5" fillId="0" borderId="4" xfId="0" applyNumberFormat="1" applyFont="1" applyBorder="1"/>
    <xf numFmtId="0" fontId="9" fillId="0" borderId="0" xfId="0" applyFont="1"/>
    <xf numFmtId="0" fontId="10" fillId="0" borderId="0" xfId="0" applyFont="1"/>
    <xf numFmtId="3" fontId="9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9" fillId="0" borderId="1" xfId="0" applyFont="1" applyBorder="1"/>
    <xf numFmtId="3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Alignment="1">
      <alignment horizontal="center"/>
    </xf>
    <xf numFmtId="17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4" fontId="12" fillId="0" borderId="0" xfId="0" applyNumberFormat="1" applyFont="1"/>
    <xf numFmtId="0" fontId="12" fillId="0" borderId="0" xfId="0" quotePrefix="1" applyFont="1"/>
    <xf numFmtId="168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/>
    <xf numFmtId="165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4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/>
    <xf numFmtId="0" fontId="13" fillId="0" borderId="0" xfId="0" applyFont="1"/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left"/>
    </xf>
    <xf numFmtId="3" fontId="12" fillId="0" borderId="4" xfId="0" applyNumberFormat="1" applyFont="1" applyBorder="1" applyAlignment="1">
      <alignment horizontal="left"/>
    </xf>
    <xf numFmtId="4" fontId="12" fillId="0" borderId="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165" fontId="12" fillId="0" borderId="4" xfId="0" applyNumberFormat="1" applyFont="1" applyBorder="1"/>
    <xf numFmtId="3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4" fontId="5" fillId="0" borderId="5" xfId="0" applyNumberFormat="1" applyFont="1" applyBorder="1" applyAlignment="1">
      <alignment horizontal="left"/>
    </xf>
    <xf numFmtId="170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4" fontId="5" fillId="0" borderId="6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3" fontId="5" fillId="0" borderId="0" xfId="0" applyNumberFormat="1" applyFont="1"/>
    <xf numFmtId="166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7" fillId="0" borderId="0" xfId="0" applyFont="1" applyAlignment="1">
      <alignment horizontal="center"/>
    </xf>
    <xf numFmtId="3" fontId="5" fillId="0" borderId="4" xfId="0" applyNumberFormat="1" applyFont="1" applyBorder="1" applyAlignment="1">
      <alignment horizontal="left"/>
    </xf>
    <xf numFmtId="4" fontId="5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left"/>
    </xf>
    <xf numFmtId="14" fontId="12" fillId="0" borderId="0" xfId="0" quotePrefix="1" applyNumberFormat="1" applyFont="1" applyAlignment="1">
      <alignment horizontal="center"/>
    </xf>
    <xf numFmtId="14" fontId="5" fillId="0" borderId="0" xfId="0" applyNumberFormat="1" applyFont="1"/>
    <xf numFmtId="14" fontId="12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" fontId="5" fillId="0" borderId="8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/>
    </xf>
    <xf numFmtId="164" fontId="9" fillId="0" borderId="3" xfId="0" applyNumberFormat="1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</cellXfs>
  <cellStyles count="2">
    <cellStyle name="Standard" xfId="0" builtinId="0"/>
    <cellStyle name="Standard 2" xfId="1" xr:uid="{0374ECB6-895A-4EBA-8AE8-C337AD0FD7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142875</xdr:rowOff>
    </xdr:from>
    <xdr:to>
      <xdr:col>1</xdr:col>
      <xdr:colOff>1514475</xdr:colOff>
      <xdr:row>47</xdr:row>
      <xdr:rowOff>57150</xdr:rowOff>
    </xdr:to>
    <xdr:pic>
      <xdr:nvPicPr>
        <xdr:cNvPr id="3094" name="Grafik 2">
          <a:extLst>
            <a:ext uri="{FF2B5EF4-FFF2-40B4-BE49-F238E27FC236}">
              <a16:creationId xmlns:a16="http://schemas.microsoft.com/office/drawing/2014/main" id="{4137C658-21C6-5D52-998B-62624E84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3775"/>
          <a:ext cx="23622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161925</xdr:rowOff>
    </xdr:from>
    <xdr:to>
      <xdr:col>2</xdr:col>
      <xdr:colOff>457200</xdr:colOff>
      <xdr:row>48</xdr:row>
      <xdr:rowOff>47625</xdr:rowOff>
    </xdr:to>
    <xdr:pic>
      <xdr:nvPicPr>
        <xdr:cNvPr id="4118" name="Grafik 2">
          <a:extLst>
            <a:ext uri="{FF2B5EF4-FFF2-40B4-BE49-F238E27FC236}">
              <a16:creationId xmlns:a16="http://schemas.microsoft.com/office/drawing/2014/main" id="{D3CEADD5-A6DA-E27A-4B5E-D13B35B8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75333">
          <a:off x="0" y="7315200"/>
          <a:ext cx="26003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77A7-A681-4516-94E3-184D13CF4DA3}">
  <dimension ref="A1:T52"/>
  <sheetViews>
    <sheetView tabSelected="1" workbookViewId="0">
      <selection activeCell="A13" sqref="A13"/>
    </sheetView>
  </sheetViews>
  <sheetFormatPr baseColWidth="10" defaultColWidth="11.5703125" defaultRowHeight="15.75" x14ac:dyDescent="0.25"/>
  <cols>
    <col min="1" max="1" width="12.710937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1" spans="1:20" x14ac:dyDescent="0.25">
      <c r="A1" s="6" t="s">
        <v>55</v>
      </c>
    </row>
    <row r="2" spans="1:20" s="24" customFormat="1" ht="15" x14ac:dyDescent="0.25">
      <c r="A2" s="24" t="s">
        <v>21</v>
      </c>
      <c r="B2" s="25"/>
      <c r="D2" s="26"/>
    </row>
    <row r="3" spans="1:20" s="24" customFormat="1" ht="15" x14ac:dyDescent="0.25">
      <c r="A3" s="24" t="s">
        <v>19</v>
      </c>
      <c r="B3" s="25"/>
      <c r="D3" s="26"/>
    </row>
    <row r="4" spans="1:20" s="24" customFormat="1" ht="15" x14ac:dyDescent="0.25">
      <c r="A4" s="24" t="s">
        <v>20</v>
      </c>
      <c r="B4" s="25"/>
      <c r="D4" s="26"/>
      <c r="E4" s="22"/>
      <c r="F4" s="84"/>
      <c r="G4" s="84"/>
      <c r="H4" s="84"/>
    </row>
    <row r="5" spans="1:20" s="24" customFormat="1" ht="15" x14ac:dyDescent="0.25">
      <c r="D5" s="26"/>
      <c r="E5" s="22"/>
      <c r="F5" s="84"/>
      <c r="G5" s="84"/>
      <c r="H5" s="84"/>
      <c r="K5" s="38"/>
      <c r="L5" s="43"/>
      <c r="M5" s="39"/>
      <c r="N5" s="40"/>
      <c r="O5" s="62"/>
      <c r="P5" s="38"/>
      <c r="Q5" s="61"/>
      <c r="R5" s="46"/>
    </row>
    <row r="6" spans="1:20" s="24" customFormat="1" ht="15" x14ac:dyDescent="0.25">
      <c r="A6" s="80" t="s">
        <v>3</v>
      </c>
      <c r="B6" s="81" t="s">
        <v>46</v>
      </c>
      <c r="C6" s="81"/>
      <c r="E6" s="22"/>
      <c r="F6" s="9"/>
      <c r="G6" s="9"/>
      <c r="H6" s="9"/>
    </row>
    <row r="7" spans="1:20" s="24" customFormat="1" ht="15" x14ac:dyDescent="0.25">
      <c r="A7" s="80" t="s">
        <v>2</v>
      </c>
      <c r="B7" s="81">
        <v>10113</v>
      </c>
      <c r="C7" s="81"/>
      <c r="E7" s="28"/>
      <c r="F7" s="29"/>
    </row>
    <row r="8" spans="1:20" ht="17.25" customHeight="1" x14ac:dyDescent="0.25">
      <c r="A8" s="82" t="s">
        <v>1</v>
      </c>
      <c r="B8" s="83">
        <v>45853</v>
      </c>
      <c r="C8" s="83"/>
      <c r="D8" s="6"/>
    </row>
    <row r="9" spans="1:20" ht="17.25" customHeight="1" x14ac:dyDescent="0.25">
      <c r="A9" s="82"/>
      <c r="B9" s="83"/>
      <c r="C9" s="83"/>
      <c r="D9" s="6"/>
    </row>
    <row r="10" spans="1:20" s="31" customFormat="1" ht="14.25" x14ac:dyDescent="0.2">
      <c r="A10" s="86" t="s">
        <v>4</v>
      </c>
      <c r="B10" s="86"/>
      <c r="C10" s="86"/>
      <c r="D10" s="86"/>
      <c r="E10" s="86"/>
      <c r="F10" s="86"/>
      <c r="G10" s="86"/>
      <c r="H10" s="86"/>
      <c r="M10" s="38">
        <v>34</v>
      </c>
      <c r="N10" s="38" t="s">
        <v>37</v>
      </c>
      <c r="O10" s="39"/>
      <c r="P10" s="40"/>
      <c r="Q10" s="38"/>
      <c r="R10" s="38"/>
      <c r="S10" s="38"/>
      <c r="T10" s="38"/>
    </row>
    <row r="11" spans="1:20" s="31" customFormat="1" ht="14.25" x14ac:dyDescent="0.2">
      <c r="A11" s="30"/>
      <c r="B11" s="30"/>
      <c r="C11" s="30"/>
      <c r="D11" s="30"/>
      <c r="E11" s="30"/>
      <c r="F11" s="30"/>
      <c r="G11" s="30"/>
      <c r="H11" s="30"/>
      <c r="M11" s="38"/>
      <c r="N11" s="38" t="s">
        <v>38</v>
      </c>
      <c r="O11" s="39"/>
      <c r="P11" s="40"/>
      <c r="Q11" s="44"/>
      <c r="R11" s="38"/>
      <c r="S11" s="45"/>
      <c r="T11" s="46"/>
    </row>
    <row r="12" spans="1:20" s="24" customFormat="1" ht="15" x14ac:dyDescent="0.25">
      <c r="A12" s="24" t="s">
        <v>27</v>
      </c>
      <c r="B12" s="25"/>
      <c r="D12" s="26"/>
      <c r="E12" s="28"/>
      <c r="F12" s="29"/>
      <c r="M12" s="38"/>
      <c r="N12" s="43" t="s">
        <v>44</v>
      </c>
      <c r="O12" s="39" t="s">
        <v>45</v>
      </c>
      <c r="P12" s="40"/>
      <c r="Q12" s="62">
        <v>80</v>
      </c>
      <c r="R12" s="38" t="s">
        <v>24</v>
      </c>
      <c r="S12" s="61">
        <v>0.5</v>
      </c>
      <c r="T12" s="46">
        <f>+S12*Q12</f>
        <v>40</v>
      </c>
    </row>
    <row r="13" spans="1:20" s="24" customFormat="1" ht="15" x14ac:dyDescent="0.25">
      <c r="B13" s="25"/>
      <c r="D13" s="26"/>
      <c r="E13" s="28"/>
      <c r="F13" s="29"/>
      <c r="M13" s="38"/>
      <c r="N13" s="43"/>
      <c r="O13" s="39"/>
      <c r="P13" s="40"/>
      <c r="Q13" s="38"/>
      <c r="R13" s="38"/>
      <c r="S13" s="38"/>
      <c r="T13" s="38"/>
    </row>
    <row r="14" spans="1:20" s="24" customFormat="1" ht="18.75" customHeight="1" x14ac:dyDescent="0.25">
      <c r="D14" s="26"/>
      <c r="E14" s="26"/>
      <c r="F14" s="28"/>
      <c r="G14" s="26"/>
    </row>
    <row r="15" spans="1:20" s="24" customFormat="1" ht="15" x14ac:dyDescent="0.25">
      <c r="A15" s="32" t="s">
        <v>6</v>
      </c>
      <c r="B15" s="33"/>
      <c r="C15" s="32"/>
      <c r="D15" s="26"/>
      <c r="E15" s="26" t="s">
        <v>12</v>
      </c>
      <c r="F15" s="28" t="s">
        <v>14</v>
      </c>
      <c r="G15" s="26" t="s">
        <v>22</v>
      </c>
      <c r="H15" s="28" t="s">
        <v>7</v>
      </c>
    </row>
    <row r="16" spans="1:20" s="24" customFormat="1" ht="15" x14ac:dyDescent="0.25">
      <c r="A16" s="34" t="s">
        <v>8</v>
      </c>
      <c r="B16" s="34"/>
      <c r="C16" s="27" t="s">
        <v>36</v>
      </c>
      <c r="D16" s="35"/>
      <c r="E16" s="36" t="s">
        <v>13</v>
      </c>
      <c r="F16" s="36"/>
      <c r="G16" s="37" t="s">
        <v>23</v>
      </c>
      <c r="H16" s="27"/>
    </row>
    <row r="17" spans="1:9" s="38" customFormat="1" ht="13.5" x14ac:dyDescent="0.2">
      <c r="A17" s="38">
        <v>34</v>
      </c>
      <c r="B17" s="38" t="s">
        <v>40</v>
      </c>
      <c r="D17" s="40"/>
    </row>
    <row r="18" spans="1:9" s="38" customFormat="1" ht="13.5" x14ac:dyDescent="0.2">
      <c r="B18" s="43" t="s">
        <v>47</v>
      </c>
      <c r="C18" s="77" t="s">
        <v>48</v>
      </c>
      <c r="D18" s="40"/>
      <c r="E18" s="44">
        <v>9</v>
      </c>
      <c r="G18" s="45">
        <v>1</v>
      </c>
      <c r="H18" s="46">
        <f>+G18*E18</f>
        <v>9</v>
      </c>
    </row>
    <row r="19" spans="1:9" s="38" customFormat="1" ht="13.5" x14ac:dyDescent="0.2">
      <c r="B19" s="43" t="s">
        <v>28</v>
      </c>
      <c r="C19" s="39"/>
      <c r="D19" s="40"/>
    </row>
    <row r="20" spans="1:9" s="38" customFormat="1" ht="13.5" x14ac:dyDescent="0.2">
      <c r="B20" s="38" t="s">
        <v>29</v>
      </c>
      <c r="C20" s="39">
        <v>45681</v>
      </c>
      <c r="D20" s="40"/>
      <c r="E20" s="44">
        <v>15</v>
      </c>
      <c r="G20" s="45">
        <v>15</v>
      </c>
      <c r="H20" s="46">
        <f>+G20*E20</f>
        <v>225</v>
      </c>
    </row>
    <row r="21" spans="1:9" s="38" customFormat="1" ht="5.25" customHeight="1" x14ac:dyDescent="0.2">
      <c r="C21" s="39"/>
      <c r="D21" s="40"/>
      <c r="E21" s="44"/>
      <c r="G21" s="45"/>
      <c r="H21" s="46"/>
    </row>
    <row r="22" spans="1:9" s="38" customFormat="1" ht="13.5" x14ac:dyDescent="0.2">
      <c r="A22" s="38">
        <v>34</v>
      </c>
      <c r="B22" s="38" t="s">
        <v>41</v>
      </c>
      <c r="D22" s="40"/>
    </row>
    <row r="23" spans="1:9" s="38" customFormat="1" ht="13.5" x14ac:dyDescent="0.2">
      <c r="B23" s="43" t="s">
        <v>49</v>
      </c>
      <c r="C23" s="77" t="s">
        <v>42</v>
      </c>
      <c r="D23" s="40"/>
      <c r="E23" s="44">
        <v>9</v>
      </c>
      <c r="G23" s="45">
        <v>2</v>
      </c>
      <c r="H23" s="46">
        <f>+G23*E23</f>
        <v>18</v>
      </c>
    </row>
    <row r="24" spans="1:9" s="38" customFormat="1" ht="13.5" x14ac:dyDescent="0.2">
      <c r="B24" s="43" t="s">
        <v>28</v>
      </c>
      <c r="C24" s="39"/>
      <c r="D24" s="40"/>
    </row>
    <row r="25" spans="1:9" s="38" customFormat="1" ht="13.5" x14ac:dyDescent="0.2">
      <c r="B25" s="38" t="s">
        <v>29</v>
      </c>
      <c r="C25" s="39">
        <v>45708</v>
      </c>
      <c r="D25" s="40"/>
      <c r="E25" s="44">
        <v>15</v>
      </c>
      <c r="G25" s="45">
        <v>17</v>
      </c>
      <c r="H25" s="46">
        <f>+G25*E25</f>
        <v>255</v>
      </c>
    </row>
    <row r="26" spans="1:9" s="38" customFormat="1" ht="5.25" customHeight="1" x14ac:dyDescent="0.2">
      <c r="C26" s="39"/>
      <c r="D26" s="40"/>
      <c r="E26" s="44"/>
      <c r="G26" s="45"/>
      <c r="H26" s="46"/>
    </row>
    <row r="27" spans="1:9" s="38" customFormat="1" ht="13.5" x14ac:dyDescent="0.2">
      <c r="A27" s="38">
        <v>34</v>
      </c>
      <c r="B27" s="38" t="s">
        <v>43</v>
      </c>
      <c r="D27" s="40"/>
    </row>
    <row r="28" spans="1:9" s="38" customFormat="1" ht="13.5" x14ac:dyDescent="0.2">
      <c r="B28" s="43" t="s">
        <v>28</v>
      </c>
      <c r="C28" s="39"/>
      <c r="D28" s="40"/>
    </row>
    <row r="29" spans="1:9" s="38" customFormat="1" ht="13.5" x14ac:dyDescent="0.2">
      <c r="B29" s="38" t="s">
        <v>29</v>
      </c>
      <c r="C29" s="39">
        <v>45740</v>
      </c>
      <c r="D29" s="40"/>
      <c r="E29" s="44">
        <v>15</v>
      </c>
      <c r="G29" s="45">
        <v>17</v>
      </c>
      <c r="H29" s="46">
        <f>+G29*E29</f>
        <v>255</v>
      </c>
    </row>
    <row r="30" spans="1:9" s="38" customFormat="1" ht="5.25" customHeight="1" x14ac:dyDescent="0.2">
      <c r="C30" s="39"/>
      <c r="D30" s="40"/>
      <c r="E30" s="44"/>
      <c r="G30" s="45"/>
      <c r="H30" s="46"/>
    </row>
    <row r="31" spans="1:9" s="38" customFormat="1" ht="15" x14ac:dyDescent="0.25">
      <c r="I31" s="24"/>
    </row>
    <row r="32" spans="1:9" s="38" customFormat="1" ht="15" x14ac:dyDescent="0.25">
      <c r="I32" s="24"/>
    </row>
    <row r="33" spans="1:12" s="38" customFormat="1" ht="15" x14ac:dyDescent="0.25">
      <c r="C33" s="79"/>
      <c r="D33" s="40"/>
      <c r="E33" s="62"/>
      <c r="G33" s="61"/>
      <c r="H33" s="46"/>
      <c r="I33" s="24"/>
    </row>
    <row r="34" spans="1:12" s="38" customFormat="1" ht="3" customHeight="1" x14ac:dyDescent="0.2">
      <c r="C34" s="39"/>
      <c r="D34" s="40"/>
    </row>
    <row r="35" spans="1:12" s="38" customFormat="1" ht="13.5" x14ac:dyDescent="0.2">
      <c r="A35" s="38">
        <v>16</v>
      </c>
      <c r="B35" s="38" t="s">
        <v>25</v>
      </c>
      <c r="C35" s="39"/>
      <c r="D35" s="40"/>
      <c r="E35" s="44"/>
      <c r="G35" s="45"/>
      <c r="H35" s="46"/>
    </row>
    <row r="36" spans="1:12" s="38" customFormat="1" ht="13.5" x14ac:dyDescent="0.2">
      <c r="B36" s="38" t="s">
        <v>26</v>
      </c>
      <c r="C36" s="39" t="s">
        <v>45</v>
      </c>
      <c r="D36" s="40"/>
      <c r="E36" s="46">
        <f>SUM(H17:H30)*0.2</f>
        <v>152.4</v>
      </c>
      <c r="G36" s="46"/>
      <c r="H36" s="46">
        <v>60</v>
      </c>
    </row>
    <row r="37" spans="1:12" s="38" customFormat="1" ht="6.75" customHeight="1" x14ac:dyDescent="0.2">
      <c r="C37" s="40"/>
      <c r="D37" s="40"/>
      <c r="E37" s="47"/>
      <c r="F37" s="48"/>
      <c r="G37" s="49"/>
      <c r="H37" s="50"/>
    </row>
    <row r="38" spans="1:12" s="38" customFormat="1" ht="13.5" x14ac:dyDescent="0.2">
      <c r="A38" s="51"/>
      <c r="B38" s="51"/>
      <c r="E38" s="38" t="s">
        <v>9</v>
      </c>
      <c r="F38" s="51"/>
      <c r="G38" s="52"/>
      <c r="H38" s="46">
        <f>SUM(H17:H37)</f>
        <v>822</v>
      </c>
      <c r="J38" s="46"/>
      <c r="L38" s="46"/>
    </row>
    <row r="39" spans="1:12" s="38" customFormat="1" ht="13.5" x14ac:dyDescent="0.2">
      <c r="E39" s="53" t="s">
        <v>10</v>
      </c>
      <c r="F39" s="51"/>
      <c r="G39" s="52"/>
      <c r="H39" s="46">
        <f>+H38*0.19</f>
        <v>156.18</v>
      </c>
    </row>
    <row r="40" spans="1:12" s="38" customFormat="1" ht="14.25" thickBot="1" x14ac:dyDescent="0.25">
      <c r="E40" s="54" t="s">
        <v>11</v>
      </c>
      <c r="F40" s="55"/>
      <c r="G40" s="56"/>
      <c r="H40" s="57">
        <f>SUM(H38:H39)</f>
        <v>978.18000000000006</v>
      </c>
      <c r="J40" s="46"/>
    </row>
    <row r="41" spans="1:12" s="38" customFormat="1" ht="5.25" customHeight="1" thickTop="1" x14ac:dyDescent="0.2">
      <c r="E41" s="58"/>
      <c r="F41" s="41"/>
      <c r="G41" s="52"/>
      <c r="H41" s="46"/>
      <c r="J41" s="46"/>
    </row>
    <row r="42" spans="1:12" s="38" customFormat="1" ht="15" x14ac:dyDescent="0.25">
      <c r="A42" s="7" t="s">
        <v>33</v>
      </c>
      <c r="B42" s="51"/>
      <c r="D42" s="52"/>
      <c r="E42" s="41"/>
      <c r="F42" s="42"/>
    </row>
    <row r="43" spans="1:12" s="7" customFormat="1" ht="15" x14ac:dyDescent="0.25">
      <c r="D43" s="8"/>
      <c r="E43" s="9"/>
      <c r="F43" s="8"/>
      <c r="G43" s="10"/>
    </row>
    <row r="44" spans="1:12" s="7" customFormat="1" ht="15" customHeight="1" x14ac:dyDescent="0.25">
      <c r="D44" s="8"/>
      <c r="E44" s="9"/>
      <c r="F44" s="8"/>
      <c r="G44" s="10"/>
    </row>
    <row r="45" spans="1:12" s="7" customFormat="1" ht="19.5" customHeight="1" x14ac:dyDescent="0.25">
      <c r="B45" s="17"/>
      <c r="D45" s="8"/>
      <c r="E45" s="9"/>
      <c r="F45" s="8"/>
      <c r="G45" s="10"/>
    </row>
    <row r="47" spans="1:12" s="38" customFormat="1" ht="13.5" x14ac:dyDescent="0.2"/>
    <row r="48" spans="1:12" s="38" customFormat="1" ht="13.5" x14ac:dyDescent="0.2">
      <c r="C48" s="39"/>
      <c r="D48" s="40"/>
      <c r="E48" s="44"/>
      <c r="G48" s="45"/>
      <c r="H48" s="46"/>
    </row>
    <row r="49" spans="1:8" s="38" customFormat="1" ht="8.25" customHeight="1" x14ac:dyDescent="0.2">
      <c r="C49" s="39"/>
      <c r="D49" s="40"/>
      <c r="E49" s="44"/>
      <c r="G49" s="45"/>
      <c r="H49" s="46"/>
    </row>
    <row r="50" spans="1:8" s="38" customFormat="1" ht="13.5" x14ac:dyDescent="0.2">
      <c r="A50" s="85" t="s">
        <v>50</v>
      </c>
      <c r="B50" s="85"/>
      <c r="C50" s="85"/>
      <c r="D50" s="85"/>
      <c r="E50" s="85"/>
      <c r="F50" s="85"/>
      <c r="G50" s="85"/>
      <c r="H50" s="85"/>
    </row>
    <row r="52" spans="1:8" x14ac:dyDescent="0.25">
      <c r="D52" s="6"/>
      <c r="E52" s="6"/>
      <c r="F52" s="6"/>
    </row>
  </sheetData>
  <mergeCells count="4">
    <mergeCell ref="F4:H4"/>
    <mergeCell ref="F5:H5"/>
    <mergeCell ref="A10:H10"/>
    <mergeCell ref="A50:H50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7258-78B6-4638-9FCC-B2858464703B}">
  <dimension ref="A5:Q51"/>
  <sheetViews>
    <sheetView topLeftCell="A4" workbookViewId="0">
      <selection activeCell="H27" sqref="H27"/>
    </sheetView>
  </sheetViews>
  <sheetFormatPr baseColWidth="10" defaultColWidth="11.5703125" defaultRowHeight="15.75" x14ac:dyDescent="0.25"/>
  <cols>
    <col min="1" max="1" width="3.5703125" style="6" customWidth="1"/>
    <col min="2" max="2" width="28.5703125" style="6" customWidth="1"/>
    <col min="3" max="3" width="10.7109375" style="6" customWidth="1"/>
    <col min="4" max="4" width="3" style="3" customWidth="1"/>
    <col min="5" max="5" width="16.42578125" style="4" customWidth="1"/>
    <col min="6" max="6" width="7" style="5" customWidth="1"/>
    <col min="7" max="7" width="8.7109375" style="6" customWidth="1"/>
    <col min="8" max="8" width="10.7109375" style="6" bestFit="1" customWidth="1"/>
    <col min="9" max="9" width="1.140625" style="6" customWidth="1"/>
    <col min="10" max="16384" width="11.5703125" style="6"/>
  </cols>
  <sheetData>
    <row r="5" spans="1:8" x14ac:dyDescent="0.25">
      <c r="A5" s="1" t="s">
        <v>0</v>
      </c>
      <c r="B5" s="2"/>
      <c r="C5" s="2"/>
    </row>
    <row r="6" spans="1:8" ht="9" customHeight="1" x14ac:dyDescent="0.25">
      <c r="A6" s="1"/>
      <c r="B6" s="2"/>
      <c r="C6" s="2"/>
    </row>
    <row r="7" spans="1:8" s="7" customFormat="1" ht="15" x14ac:dyDescent="0.25">
      <c r="A7" s="7" t="s">
        <v>21</v>
      </c>
      <c r="B7" s="13"/>
      <c r="D7" s="8"/>
      <c r="E7" s="89" t="s">
        <v>1</v>
      </c>
      <c r="F7" s="90"/>
      <c r="G7" s="91">
        <v>45853</v>
      </c>
      <c r="H7" s="92"/>
    </row>
    <row r="8" spans="1:8" s="7" customFormat="1" ht="15" x14ac:dyDescent="0.25">
      <c r="A8" s="7" t="s">
        <v>19</v>
      </c>
      <c r="B8" s="13"/>
      <c r="D8" s="8"/>
      <c r="E8" s="93" t="s">
        <v>2</v>
      </c>
      <c r="F8" s="87"/>
      <c r="G8" s="88">
        <v>10113</v>
      </c>
      <c r="H8" s="94"/>
    </row>
    <row r="9" spans="1:8" s="7" customFormat="1" ht="15" x14ac:dyDescent="0.25">
      <c r="B9" s="13"/>
      <c r="D9" s="8"/>
      <c r="E9" s="95" t="s">
        <v>3</v>
      </c>
      <c r="F9" s="96"/>
      <c r="G9" s="97" t="s">
        <v>51</v>
      </c>
      <c r="H9" s="98"/>
    </row>
    <row r="10" spans="1:8" s="7" customFormat="1" ht="15" x14ac:dyDescent="0.25">
      <c r="A10" s="7" t="s">
        <v>20</v>
      </c>
      <c r="B10" s="13"/>
      <c r="D10" s="8"/>
      <c r="E10" s="63" t="s">
        <v>30</v>
      </c>
      <c r="F10" s="99" t="s">
        <v>31</v>
      </c>
      <c r="G10" s="99"/>
      <c r="H10" s="100"/>
    </row>
    <row r="11" spans="1:8" s="7" customFormat="1" ht="15" x14ac:dyDescent="0.25">
      <c r="D11" s="8"/>
      <c r="E11" s="60" t="s">
        <v>35</v>
      </c>
      <c r="F11" s="101" t="s">
        <v>32</v>
      </c>
      <c r="G11" s="101"/>
      <c r="H11" s="102"/>
    </row>
    <row r="12" spans="1:8" s="7" customFormat="1" ht="15" x14ac:dyDescent="0.25">
      <c r="D12" s="8"/>
      <c r="E12" s="9"/>
      <c r="F12" s="10"/>
    </row>
    <row r="13" spans="1:8" s="7" customFormat="1" ht="15" x14ac:dyDescent="0.25">
      <c r="D13" s="8"/>
      <c r="E13" s="9"/>
      <c r="F13" s="10"/>
    </row>
    <row r="14" spans="1:8" s="7" customFormat="1" ht="15" x14ac:dyDescent="0.25">
      <c r="D14" s="8"/>
      <c r="E14" s="9"/>
      <c r="F14" s="10"/>
    </row>
    <row r="15" spans="1:8" s="7" customFormat="1" ht="15" x14ac:dyDescent="0.25">
      <c r="D15" s="8"/>
      <c r="E15" s="9"/>
      <c r="F15" s="10"/>
    </row>
    <row r="16" spans="1:8" s="12" customFormat="1" ht="14.25" x14ac:dyDescent="0.2">
      <c r="A16" s="103" t="s">
        <v>4</v>
      </c>
      <c r="B16" s="103"/>
      <c r="C16" s="103"/>
      <c r="D16" s="103"/>
      <c r="E16" s="103"/>
      <c r="F16" s="103"/>
      <c r="G16" s="103"/>
      <c r="H16" s="103"/>
    </row>
    <row r="17" spans="1:17" s="12" customFormat="1" ht="14.25" x14ac:dyDescent="0.2">
      <c r="A17" s="11"/>
      <c r="B17" s="11"/>
      <c r="C17" s="11"/>
      <c r="D17" s="11"/>
      <c r="E17" s="11"/>
      <c r="F17" s="11"/>
      <c r="G17" s="11"/>
      <c r="H17" s="11"/>
    </row>
    <row r="18" spans="1:17" s="12" customFormat="1" ht="14.25" x14ac:dyDescent="0.2">
      <c r="A18" s="11"/>
      <c r="B18" s="11"/>
      <c r="C18" s="11"/>
      <c r="D18" s="11"/>
      <c r="E18" s="11"/>
      <c r="F18" s="11"/>
      <c r="G18" s="11"/>
      <c r="H18" s="11"/>
    </row>
    <row r="19" spans="1:17" s="7" customFormat="1" ht="15" x14ac:dyDescent="0.25">
      <c r="A19" s="7" t="s">
        <v>27</v>
      </c>
      <c r="B19" s="13"/>
      <c r="D19" s="8"/>
      <c r="E19" s="9"/>
      <c r="F19" s="10"/>
    </row>
    <row r="20" spans="1:17" s="7" customFormat="1" ht="15" x14ac:dyDescent="0.25">
      <c r="A20" s="7" t="s">
        <v>5</v>
      </c>
      <c r="B20" s="13"/>
      <c r="D20" s="8"/>
      <c r="E20" s="9"/>
      <c r="F20" s="10"/>
    </row>
    <row r="21" spans="1:17" s="7" customFormat="1" ht="8.25" customHeight="1" x14ac:dyDescent="0.25">
      <c r="D21" s="8"/>
      <c r="E21" s="8"/>
      <c r="F21" s="9"/>
      <c r="G21" s="8"/>
    </row>
    <row r="22" spans="1:17" s="7" customFormat="1" ht="15" x14ac:dyDescent="0.25">
      <c r="A22" s="14" t="s">
        <v>6</v>
      </c>
      <c r="B22" s="15"/>
      <c r="C22" s="14"/>
      <c r="D22" s="8"/>
      <c r="E22" s="8" t="s">
        <v>12</v>
      </c>
      <c r="F22" s="9" t="s">
        <v>14</v>
      </c>
      <c r="G22" s="8" t="s">
        <v>15</v>
      </c>
      <c r="H22" s="9" t="s">
        <v>7</v>
      </c>
      <c r="L22" s="66"/>
      <c r="M22" s="66"/>
      <c r="N22" s="59"/>
      <c r="O22" s="9"/>
      <c r="P22" s="16"/>
      <c r="Q22" s="21"/>
    </row>
    <row r="23" spans="1:17" s="7" customFormat="1" ht="15" x14ac:dyDescent="0.25">
      <c r="A23" s="17" t="s">
        <v>8</v>
      </c>
      <c r="B23" s="17"/>
      <c r="C23" s="17" t="s">
        <v>34</v>
      </c>
      <c r="D23" s="18"/>
      <c r="E23" s="19" t="s">
        <v>13</v>
      </c>
      <c r="F23" s="19"/>
      <c r="G23" s="65" t="s">
        <v>16</v>
      </c>
      <c r="H23" s="64"/>
      <c r="K23" s="67"/>
      <c r="L23" s="66"/>
      <c r="M23" s="66"/>
      <c r="N23" s="59"/>
      <c r="O23" s="9"/>
      <c r="P23" s="68"/>
      <c r="Q23" s="21"/>
    </row>
    <row r="24" spans="1:17" s="7" customFormat="1" ht="15" x14ac:dyDescent="0.25">
      <c r="A24" s="7">
        <v>33</v>
      </c>
      <c r="B24" s="7" t="s">
        <v>17</v>
      </c>
      <c r="C24" s="66"/>
      <c r="D24" s="66"/>
      <c r="E24" s="59">
        <f>338453*4</f>
        <v>1353812</v>
      </c>
      <c r="F24" s="20" t="s">
        <v>18</v>
      </c>
      <c r="G24" s="9">
        <v>4</v>
      </c>
      <c r="H24" s="21">
        <f>G24/10*1061</f>
        <v>424.40000000000003</v>
      </c>
      <c r="K24" s="67"/>
      <c r="L24" s="66"/>
      <c r="M24" s="66"/>
      <c r="N24" s="59"/>
      <c r="O24" s="9"/>
      <c r="P24" s="68"/>
      <c r="Q24" s="21"/>
    </row>
    <row r="25" spans="1:17" s="7" customFormat="1" ht="15" x14ac:dyDescent="0.25">
      <c r="B25" s="7" t="s">
        <v>52</v>
      </c>
      <c r="C25" s="78">
        <v>45726</v>
      </c>
      <c r="E25" s="59"/>
      <c r="F25" s="20"/>
      <c r="G25" s="9"/>
      <c r="H25" s="21"/>
    </row>
    <row r="26" spans="1:17" s="7" customFormat="1" ht="6.75" customHeight="1" x14ac:dyDescent="0.25">
      <c r="B26" s="67"/>
      <c r="C26" s="66"/>
      <c r="D26" s="66"/>
      <c r="E26" s="59"/>
      <c r="F26" s="9"/>
      <c r="G26" s="68"/>
      <c r="H26" s="21"/>
    </row>
    <row r="27" spans="1:17" s="7" customFormat="1" ht="15" x14ac:dyDescent="0.25">
      <c r="A27" s="7">
        <v>33</v>
      </c>
      <c r="B27" s="7" t="s">
        <v>17</v>
      </c>
      <c r="C27" s="66"/>
      <c r="D27" s="66"/>
      <c r="E27" s="59">
        <f>+E24</f>
        <v>1353812</v>
      </c>
      <c r="F27" s="20" t="s">
        <v>18</v>
      </c>
      <c r="G27" s="9">
        <v>4.5</v>
      </c>
      <c r="H27" s="21">
        <f>G27/10*1061</f>
        <v>477.45</v>
      </c>
    </row>
    <row r="28" spans="1:17" s="7" customFormat="1" ht="15" x14ac:dyDescent="0.25">
      <c r="B28" s="7" t="s">
        <v>53</v>
      </c>
      <c r="C28" s="104">
        <v>45755</v>
      </c>
      <c r="D28" s="104"/>
      <c r="E28" s="59"/>
      <c r="F28" s="20"/>
      <c r="G28" s="9"/>
      <c r="H28" s="21"/>
    </row>
    <row r="29" spans="1:17" s="7" customFormat="1" ht="6.75" customHeight="1" x14ac:dyDescent="0.25">
      <c r="B29" s="67"/>
      <c r="C29" s="66"/>
      <c r="D29" s="66"/>
      <c r="E29" s="59"/>
      <c r="F29" s="9"/>
      <c r="G29" s="68"/>
      <c r="H29" s="21"/>
    </row>
    <row r="30" spans="1:17" s="7" customFormat="1" ht="15" x14ac:dyDescent="0.25">
      <c r="A30" s="7">
        <v>33</v>
      </c>
      <c r="B30" s="7" t="s">
        <v>17</v>
      </c>
      <c r="C30" s="66"/>
      <c r="D30" s="66"/>
      <c r="E30" s="59">
        <f>+E27</f>
        <v>1353812</v>
      </c>
      <c r="F30" s="20" t="s">
        <v>18</v>
      </c>
      <c r="G30" s="9">
        <v>3</v>
      </c>
      <c r="H30" s="21">
        <f>G30/10*1061</f>
        <v>318.3</v>
      </c>
    </row>
    <row r="31" spans="1:17" s="7" customFormat="1" ht="15" x14ac:dyDescent="0.25">
      <c r="B31" s="7" t="s">
        <v>54</v>
      </c>
      <c r="C31" s="104">
        <v>45782</v>
      </c>
      <c r="D31" s="104"/>
      <c r="E31" s="59"/>
      <c r="F31" s="20"/>
      <c r="G31" s="9"/>
      <c r="H31" s="21"/>
    </row>
    <row r="32" spans="1:17" s="7" customFormat="1" ht="6.75" customHeight="1" x14ac:dyDescent="0.25">
      <c r="B32" s="67"/>
      <c r="C32" s="66"/>
      <c r="D32" s="66"/>
      <c r="E32" s="59"/>
      <c r="F32" s="9"/>
      <c r="G32" s="68"/>
      <c r="H32" s="21"/>
    </row>
    <row r="33" spans="1:10" s="7" customFormat="1" ht="15" x14ac:dyDescent="0.25">
      <c r="B33" s="67"/>
      <c r="E33" s="59"/>
      <c r="F33" s="20"/>
      <c r="G33" s="9"/>
      <c r="H33" s="21"/>
    </row>
    <row r="34" spans="1:10" s="7" customFormat="1" ht="15" x14ac:dyDescent="0.25"/>
    <row r="35" spans="1:10" s="7" customFormat="1" ht="15" x14ac:dyDescent="0.25"/>
    <row r="36" spans="1:10" s="7" customFormat="1" ht="6.75" customHeight="1" x14ac:dyDescent="0.25">
      <c r="C36" s="66"/>
      <c r="D36" s="66"/>
      <c r="E36" s="69"/>
      <c r="F36" s="19"/>
      <c r="G36" s="70"/>
      <c r="H36" s="71"/>
    </row>
    <row r="37" spans="1:10" s="7" customFormat="1" ht="15" x14ac:dyDescent="0.25">
      <c r="A37" s="13"/>
      <c r="B37" s="13"/>
      <c r="E37" s="7" t="s">
        <v>9</v>
      </c>
      <c r="F37" s="72"/>
      <c r="G37" s="8"/>
      <c r="H37" s="21">
        <f>SUM(H24:H36)</f>
        <v>1220.1500000000001</v>
      </c>
      <c r="J37" s="21"/>
    </row>
    <row r="38" spans="1:10" s="7" customFormat="1" ht="15" x14ac:dyDescent="0.25">
      <c r="E38" s="22" t="s">
        <v>10</v>
      </c>
      <c r="F38" s="72"/>
      <c r="G38" s="8"/>
      <c r="H38" s="21">
        <f>+H37*0.19</f>
        <v>231.82850000000002</v>
      </c>
    </row>
    <row r="39" spans="1:10" s="7" customFormat="1" thickBot="1" x14ac:dyDescent="0.3">
      <c r="E39" s="73" t="s">
        <v>11</v>
      </c>
      <c r="F39" s="74"/>
      <c r="G39" s="75"/>
      <c r="H39" s="23">
        <f>SUM(H37:H38)</f>
        <v>1451.9785000000002</v>
      </c>
      <c r="J39" s="21"/>
    </row>
    <row r="40" spans="1:10" s="7" customFormat="1" ht="6.75" customHeight="1" thickTop="1" x14ac:dyDescent="0.25">
      <c r="E40" s="76"/>
      <c r="F40" s="9"/>
      <c r="G40" s="8"/>
      <c r="H40" s="21"/>
    </row>
    <row r="41" spans="1:10" s="7" customFormat="1" ht="15" x14ac:dyDescent="0.25">
      <c r="A41" s="7" t="s">
        <v>33</v>
      </c>
      <c r="B41" s="13"/>
      <c r="D41" s="8"/>
      <c r="E41" s="9"/>
      <c r="F41" s="10"/>
    </row>
    <row r="42" spans="1:10" s="7" customFormat="1" ht="15" x14ac:dyDescent="0.25">
      <c r="D42" s="8"/>
      <c r="E42" s="9"/>
      <c r="F42" s="10"/>
    </row>
    <row r="43" spans="1:10" s="7" customFormat="1" ht="15" x14ac:dyDescent="0.25">
      <c r="D43" s="8"/>
      <c r="E43" s="9"/>
      <c r="F43" s="8"/>
      <c r="G43" s="10"/>
    </row>
    <row r="44" spans="1:10" s="7" customFormat="1" ht="15" x14ac:dyDescent="0.25">
      <c r="D44" s="8"/>
      <c r="E44" s="9"/>
      <c r="F44" s="8"/>
      <c r="G44" s="10"/>
    </row>
    <row r="45" spans="1:10" s="7" customFormat="1" ht="15" x14ac:dyDescent="0.25">
      <c r="D45" s="8"/>
      <c r="E45" s="9"/>
      <c r="F45" s="8"/>
      <c r="G45" s="10"/>
    </row>
    <row r="46" spans="1:10" s="7" customFormat="1" ht="15" x14ac:dyDescent="0.25">
      <c r="B46" s="17"/>
      <c r="D46" s="8"/>
      <c r="E46" s="9"/>
      <c r="F46" s="8"/>
      <c r="G46" s="10"/>
    </row>
    <row r="47" spans="1:10" s="7" customFormat="1" ht="15" x14ac:dyDescent="0.25"/>
    <row r="48" spans="1:10" ht="10.5" customHeight="1" x14ac:dyDescent="0.25"/>
    <row r="51" spans="1:8" x14ac:dyDescent="0.25">
      <c r="A51" s="85" t="s">
        <v>39</v>
      </c>
      <c r="B51" s="85"/>
      <c r="C51" s="85"/>
      <c r="D51" s="85"/>
      <c r="E51" s="85"/>
      <c r="F51" s="85"/>
      <c r="G51" s="85"/>
      <c r="H51" s="85"/>
    </row>
  </sheetData>
  <mergeCells count="12">
    <mergeCell ref="A51:H51"/>
    <mergeCell ref="F10:H10"/>
    <mergeCell ref="F11:H11"/>
    <mergeCell ref="A16:H16"/>
    <mergeCell ref="C28:D28"/>
    <mergeCell ref="C31:D31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BSO999929 xmlns="http://www.datev.de/BSOffice/999929">1d28246e-14ba-4cc0-81a1-cb88dde2d8b0</BSO999929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C7F0A-BA43-42EE-8028-BD5E49F6EA72}">
  <ds:schemaRefs>
    <ds:schemaRef ds:uri="http://www.datev.de/BSOffice/999929"/>
  </ds:schemaRefs>
</ds:datastoreItem>
</file>

<file path=customXml/itemProps2.xml><?xml version="1.0" encoding="utf-8"?>
<ds:datastoreItem xmlns:ds="http://schemas.openxmlformats.org/officeDocument/2006/customXml" ds:itemID="{330E81F0-4ACF-48BF-943C-170848BE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0C3BB6-D4D1-4F26-9CBA-63D1B9D0E2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B49CEB6-0EF6-4D55-A632-904C8543D061}">
  <ds:schemaRefs>
    <ds:schemaRef ds:uri="http://schemas.microsoft.com/office/2006/metadata/properties"/>
    <ds:schemaRef ds:uri="http://schemas.microsoft.com/office/infopath/2007/PartnerControls"/>
    <ds:schemaRef ds:uri="1b69345e-4f7f-4263-9167-af18e7b0a127"/>
    <ds:schemaRef ds:uri="39610a9a-d901-4909-bf1d-9eb88f698c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Löhne I-2025</vt:lpstr>
      <vt:lpstr>Fibu I-2025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Charis</cp:lastModifiedBy>
  <cp:lastPrinted>2026-03-10T11:56:27Z</cp:lastPrinted>
  <dcterms:created xsi:type="dcterms:W3CDTF">2009-01-10T15:13:38Z</dcterms:created>
  <dcterms:modified xsi:type="dcterms:W3CDTF">2026-04-19T20:55:18Z</dcterms:modified>
</cp:coreProperties>
</file>