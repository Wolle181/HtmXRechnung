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2.xml" ContentType="application/vnd.openxmlformats-officedocument.drawing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P:\Aktenkoffer\A - Rechnungen 2026\"/>
    </mc:Choice>
  </mc:AlternateContent>
  <xr:revisionPtr revIDLastSave="0" documentId="13_ncr:1_{29285AE2-F0DD-4A24-B67C-0E8EA5A2E6C2}" xr6:coauthVersionLast="47" xr6:coauthVersionMax="47" xr10:uidLastSave="{00000000-0000-0000-0000-000000000000}"/>
  <bookViews>
    <workbookView xWindow="-120" yWindow="-120" windowWidth="29040" windowHeight="15720" firstSheet="12" activeTab="21" xr2:uid="{35EE5A9F-282D-4F9E-A512-81F4EAD9C2DB}"/>
  </bookViews>
  <sheets>
    <sheet name="EÜR 2021 (Überarb.)" sheetId="1" r:id="rId1"/>
    <sheet name="EÜR 2022" sheetId="5" r:id="rId2"/>
    <sheet name="ESt 2022" sheetId="2" r:id="rId3"/>
    <sheet name="Fibu I-2024" sheetId="4" r:id="rId4"/>
    <sheet name="DRV-Prüfung 20-23" sheetId="6" r:id="rId5"/>
    <sheet name="Lohn I+II-2024" sheetId="3" r:id="rId6"/>
    <sheet name="Fibu II-2024" sheetId="7" r:id="rId7"/>
    <sheet name="Lohn III-2024" sheetId="8" r:id="rId8"/>
    <sheet name="Fibu III-2024" sheetId="9" r:id="rId9"/>
    <sheet name="Fibu IV-2024" sheetId="10" r:id="rId10"/>
    <sheet name="Lohn I+II-2025" sheetId="14" r:id="rId11"/>
    <sheet name="Lohn IV-2024" sheetId="11" r:id="rId12"/>
    <sheet name="EÜR 2023" sheetId="12" r:id="rId13"/>
    <sheet name="ESt 2023" sheetId="13" r:id="rId14"/>
    <sheet name="Fibu I-2025" sheetId="15" r:id="rId15"/>
    <sheet name="Fibu II-2025" sheetId="16" r:id="rId16"/>
    <sheet name="Lohn III-2025" sheetId="17" r:id="rId17"/>
    <sheet name="Fibu III-2025" sheetId="18" r:id="rId18"/>
    <sheet name="EÜR 2024" sheetId="19" r:id="rId19"/>
    <sheet name="ESt 2024" sheetId="20" r:id="rId20"/>
    <sheet name="Lohn IV-2025" sheetId="21" r:id="rId21"/>
    <sheet name="Fibu IV-2025" sheetId="22" r:id="rId2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26" i="22" l="1"/>
  <c r="H27" i="22"/>
  <c r="H25" i="22"/>
  <c r="G27" i="22"/>
  <c r="G26" i="22"/>
  <c r="H32" i="22"/>
  <c r="E26" i="22"/>
  <c r="E27" i="22" s="1"/>
  <c r="H28" i="21"/>
  <c r="H27" i="21"/>
  <c r="H26" i="21"/>
  <c r="E35" i="21" s="1"/>
  <c r="G35" i="21" s="1"/>
  <c r="H35" i="21" s="1"/>
  <c r="T15" i="21"/>
  <c r="S12" i="21"/>
  <c r="H33" i="22" l="1"/>
  <c r="H34" i="22" s="1"/>
  <c r="H37" i="21"/>
  <c r="H30" i="20"/>
  <c r="H27" i="20"/>
  <c r="H24" i="20"/>
  <c r="H38" i="20" s="1"/>
  <c r="H39" i="20" s="1"/>
  <c r="C28" i="20"/>
  <c r="C31" i="20" s="1"/>
  <c r="G10" i="20"/>
  <c r="H30" i="19"/>
  <c r="H28" i="19"/>
  <c r="H26" i="19"/>
  <c r="E26" i="19"/>
  <c r="C28" i="19"/>
  <c r="C30" i="19" s="1"/>
  <c r="G10" i="19"/>
  <c r="H25" i="18"/>
  <c r="G26" i="18"/>
  <c r="H26" i="18" s="1"/>
  <c r="E25" i="18"/>
  <c r="E26" i="18" s="1"/>
  <c r="E27" i="18" s="1"/>
  <c r="H28" i="17"/>
  <c r="H27" i="17"/>
  <c r="H26" i="17"/>
  <c r="T15" i="17"/>
  <c r="S12" i="17"/>
  <c r="G26" i="16"/>
  <c r="G27" i="16" s="1"/>
  <c r="H27" i="16" s="1"/>
  <c r="H25" i="16"/>
  <c r="E25" i="16"/>
  <c r="E26" i="16" s="1"/>
  <c r="E27" i="16" s="1"/>
  <c r="G26" i="15"/>
  <c r="G27" i="15" s="1"/>
  <c r="H27" i="15" s="1"/>
  <c r="H25" i="15"/>
  <c r="E25" i="15"/>
  <c r="E26" i="15" s="1"/>
  <c r="E27" i="15" s="1"/>
  <c r="H27" i="14"/>
  <c r="H28" i="14"/>
  <c r="H29" i="14"/>
  <c r="H30" i="14"/>
  <c r="H31" i="14"/>
  <c r="H26" i="14"/>
  <c r="T15" i="14"/>
  <c r="S12" i="14"/>
  <c r="H24" i="13"/>
  <c r="H30" i="12"/>
  <c r="H28" i="12"/>
  <c r="E26" i="12"/>
  <c r="H30" i="13"/>
  <c r="C28" i="13"/>
  <c r="C31" i="13" s="1"/>
  <c r="H27" i="13"/>
  <c r="G10" i="13"/>
  <c r="C28" i="12"/>
  <c r="C30" i="12" s="1"/>
  <c r="H26" i="12"/>
  <c r="H37" i="12" s="1"/>
  <c r="G10" i="12"/>
  <c r="H32" i="11"/>
  <c r="H29" i="11"/>
  <c r="H26" i="11"/>
  <c r="G27" i="10"/>
  <c r="G26" i="10"/>
  <c r="H38" i="21" l="1"/>
  <c r="H39" i="21" s="1"/>
  <c r="E32" i="12"/>
  <c r="E33" i="20"/>
  <c r="E38" i="11"/>
  <c r="G38" i="11" s="1"/>
  <c r="H38" i="11" s="1"/>
  <c r="H40" i="11" s="1"/>
  <c r="E35" i="17"/>
  <c r="G35" i="17" s="1"/>
  <c r="H35" i="17" s="1"/>
  <c r="H37" i="19"/>
  <c r="J37" i="19" s="1"/>
  <c r="J38" i="20"/>
  <c r="H40" i="20"/>
  <c r="H38" i="19"/>
  <c r="H39" i="19" s="1"/>
  <c r="E32" i="19"/>
  <c r="G27" i="18"/>
  <c r="H27" i="18" s="1"/>
  <c r="H32" i="18" s="1"/>
  <c r="H38" i="13"/>
  <c r="K37" i="19" s="1"/>
  <c r="E35" i="14"/>
  <c r="G35" i="14" s="1"/>
  <c r="H35" i="14" s="1"/>
  <c r="H37" i="14" s="1"/>
  <c r="H37" i="17"/>
  <c r="H38" i="17"/>
  <c r="H39" i="17" s="1"/>
  <c r="H26" i="16"/>
  <c r="H32" i="16" s="1"/>
  <c r="H33" i="16" s="1"/>
  <c r="H26" i="15"/>
  <c r="H32" i="15" s="1"/>
  <c r="H38" i="12"/>
  <c r="H39" i="12" s="1"/>
  <c r="E33" i="13"/>
  <c r="H41" i="11"/>
  <c r="H42" i="11" s="1"/>
  <c r="J38" i="13" l="1"/>
  <c r="H39" i="13"/>
  <c r="H40" i="13" s="1"/>
  <c r="H33" i="18"/>
  <c r="H34" i="18" s="1"/>
  <c r="H34" i="16"/>
  <c r="H33" i="15"/>
  <c r="H34" i="15" s="1"/>
  <c r="H38" i="14"/>
  <c r="H39" i="14" s="1"/>
  <c r="H27" i="10"/>
  <c r="H26" i="10"/>
  <c r="H25" i="10"/>
  <c r="E25" i="10"/>
  <c r="E26" i="10" s="1"/>
  <c r="E27" i="10" s="1"/>
  <c r="H28" i="9"/>
  <c r="C28" i="9"/>
  <c r="H27" i="9"/>
  <c r="H26" i="9"/>
  <c r="H25" i="9"/>
  <c r="E25" i="9"/>
  <c r="E26" i="9" s="1"/>
  <c r="E27" i="9" s="1"/>
  <c r="E28" i="9" s="1"/>
  <c r="H32" i="8"/>
  <c r="H29" i="8"/>
  <c r="H26" i="8"/>
  <c r="T16" i="8"/>
  <c r="S12" i="8"/>
  <c r="C27" i="7"/>
  <c r="H27" i="7"/>
  <c r="H26" i="7"/>
  <c r="H25" i="7"/>
  <c r="E25" i="7"/>
  <c r="E26" i="7" s="1"/>
  <c r="E27" i="7" s="1"/>
  <c r="G10" i="6"/>
  <c r="H24" i="6"/>
  <c r="H35" i="6" s="1"/>
  <c r="H26" i="4"/>
  <c r="H25" i="4"/>
  <c r="E25" i="4"/>
  <c r="E26" i="4" s="1"/>
  <c r="H27" i="2"/>
  <c r="H30" i="2"/>
  <c r="H24" i="2"/>
  <c r="G10" i="2"/>
  <c r="H30" i="5"/>
  <c r="H28" i="5"/>
  <c r="H26" i="5"/>
  <c r="H37" i="5" s="1"/>
  <c r="E26" i="5"/>
  <c r="C28" i="5"/>
  <c r="C30" i="5" s="1"/>
  <c r="G10" i="5"/>
  <c r="H25" i="1"/>
  <c r="H31" i="1"/>
  <c r="H29" i="1"/>
  <c r="H32" i="10" l="1"/>
  <c r="H33" i="10" s="1"/>
  <c r="H34" i="10" s="1"/>
  <c r="H32" i="9"/>
  <c r="H33" i="9" s="1"/>
  <c r="E38" i="8"/>
  <c r="G38" i="8" s="1"/>
  <c r="H38" i="8" s="1"/>
  <c r="H40" i="8" s="1"/>
  <c r="H31" i="7"/>
  <c r="H32" i="7"/>
  <c r="H33" i="7" s="1"/>
  <c r="H36" i="6"/>
  <c r="H37" i="6" s="1"/>
  <c r="E33" i="6"/>
  <c r="E32" i="5"/>
  <c r="H35" i="3"/>
  <c r="H32" i="3"/>
  <c r="H29" i="3"/>
  <c r="H26" i="3"/>
  <c r="H25" i="3"/>
  <c r="S12" i="3"/>
  <c r="C28" i="2"/>
  <c r="C31" i="2" s="1"/>
  <c r="E33" i="2"/>
  <c r="G10" i="1"/>
  <c r="H34" i="9" l="1"/>
  <c r="H41" i="8"/>
  <c r="H42" i="8" s="1"/>
  <c r="E38" i="3"/>
  <c r="G38" i="3" s="1"/>
  <c r="H38" i="3" s="1"/>
  <c r="H40" i="3" s="1"/>
  <c r="H38" i="5"/>
  <c r="H39" i="5" s="1"/>
  <c r="H38" i="2"/>
  <c r="H39" i="2" s="1"/>
  <c r="H36" i="1"/>
  <c r="E34" i="1"/>
  <c r="J38" i="2" l="1"/>
  <c r="H40" i="2"/>
  <c r="H37" i="1"/>
  <c r="H38" i="1" s="1"/>
  <c r="H41" i="3"/>
  <c r="H42" i="3" s="1"/>
  <c r="H31" i="4" l="1"/>
  <c r="E29" i="4"/>
  <c r="G29" i="4" s="1"/>
  <c r="H32" i="4" l="1"/>
  <c r="H33" i="4" s="1"/>
</calcChain>
</file>

<file path=xl/sharedStrings.xml><?xml version="1.0" encoding="utf-8"?>
<sst xmlns="http://schemas.openxmlformats.org/spreadsheetml/2006/main" count="923" uniqueCount="142">
  <si>
    <t>Hartmut Ahting, Steuerberater, Heerstrasse 50, 60488 Frankfurt</t>
  </si>
  <si>
    <t>Herr</t>
  </si>
  <si>
    <t>Rg-Datum:</t>
  </si>
  <si>
    <t xml:space="preserve">Kunden-Nr.: </t>
  </si>
  <si>
    <t>Rg-Nr.:</t>
  </si>
  <si>
    <t>Leistungsdatum:</t>
  </si>
  <si>
    <t xml:space="preserve">IBAN: </t>
  </si>
  <si>
    <t>DE13 50070024 0 4092862 00</t>
  </si>
  <si>
    <t xml:space="preserve">BIC: </t>
  </si>
  <si>
    <t>DEUTDEDBFRA</t>
  </si>
  <si>
    <t xml:space="preserve">Rechnung über Honorare </t>
  </si>
  <si>
    <t>Für die nachfolgend aufgeführten Leistungen erlaube ich mir, nach der Steuerberatervergütungs-</t>
  </si>
  <si>
    <t xml:space="preserve"> verordnung wie folgt abzurechnen:</t>
  </si>
  <si>
    <t>Leistung</t>
  </si>
  <si>
    <t>Wert/</t>
  </si>
  <si>
    <t>Tabelle</t>
  </si>
  <si>
    <t>Geb.-Satz/</t>
  </si>
  <si>
    <t>Gebühr</t>
  </si>
  <si>
    <t>§§</t>
  </si>
  <si>
    <t>Std.-Satz</t>
  </si>
  <si>
    <t>Stunden</t>
  </si>
  <si>
    <t>A</t>
  </si>
  <si>
    <t>B</t>
  </si>
  <si>
    <t xml:space="preserve">Auslagenersatz für Post- und </t>
  </si>
  <si>
    <t>Telekommunikation</t>
  </si>
  <si>
    <t>Gesamt</t>
  </si>
  <si>
    <t>USt 19%</t>
  </si>
  <si>
    <t>Rechnungsendbetrag</t>
  </si>
  <si>
    <t>Bitte überweisen Sie den Rechnungsbetrag ohne Abzüge auf das  angegebene Konto.</t>
  </si>
  <si>
    <t xml:space="preserve">Steuernummer: 012 801 35159       </t>
  </si>
  <si>
    <t>Einkommensteuererklärung ohne Ermittlung</t>
  </si>
  <si>
    <t xml:space="preserve">der einzelnen Einkünfte für </t>
  </si>
  <si>
    <t>siehe Einzelpos.</t>
  </si>
  <si>
    <t>Hilfeleistung bei sonstigen Tätigkeiten der</t>
  </si>
  <si>
    <t>Lohnbuchführung</t>
  </si>
  <si>
    <t>- LFZ-Anträge - Lina Haas am 27.02.; 15.03. u</t>
  </si>
  <si>
    <t>Zeitgeb.</t>
  </si>
  <si>
    <t xml:space="preserve">  22.03.20178</t>
  </si>
  <si>
    <t xml:space="preserve">Für die nachfolgend aufgeführten Leistungen erlaube ich mir, in Übereinstimmung mit der </t>
  </si>
  <si>
    <t>Steuerberatervergütungsverordnung wie folgt abzurechnen:</t>
  </si>
  <si>
    <t>Gegenstands-</t>
  </si>
  <si>
    <t>Geb.-</t>
  </si>
  <si>
    <t>am/in:</t>
  </si>
  <si>
    <t xml:space="preserve"> wert / AN</t>
  </si>
  <si>
    <t>Satz</t>
  </si>
  <si>
    <t>-</t>
  </si>
  <si>
    <t>Einrichten von Lohnkonten (Severin)</t>
  </si>
  <si>
    <t>Lohnabrechnungen inkl. Sozialversicherungsmeldungen</t>
  </si>
  <si>
    <t>Bitte überweisen Sie den Betrag ohne Abzüge auf die angegebene Bankverbindung.</t>
  </si>
  <si>
    <t>am/in</t>
  </si>
  <si>
    <t xml:space="preserve"> wert </t>
  </si>
  <si>
    <t>Buchführung einschl. Kontieren der Belege für:</t>
  </si>
  <si>
    <t>C</t>
  </si>
  <si>
    <t>Roger Detroy</t>
  </si>
  <si>
    <t>Heerstraße 60</t>
  </si>
  <si>
    <t>60488 Frankfurt</t>
  </si>
  <si>
    <t>60431-2024-001</t>
  </si>
  <si>
    <t xml:space="preserve">Einnahmenüberschußrechnung </t>
  </si>
  <si>
    <t>Gewerbesteuererklärung (Überarberitung)</t>
  </si>
  <si>
    <t>(Überarbeitung)</t>
  </si>
  <si>
    <t>0,5/10</t>
  </si>
  <si>
    <t>Roger u. Anita Detroy</t>
  </si>
  <si>
    <t>65933 Frankfurt</t>
  </si>
  <si>
    <t>Tarnowitzstr. 59</t>
  </si>
  <si>
    <t>Herr und Frau</t>
  </si>
  <si>
    <t xml:space="preserve">Umsatzsteuererklärung </t>
  </si>
  <si>
    <t>60431-2024-002</t>
  </si>
  <si>
    <t>60431-2024-003</t>
  </si>
  <si>
    <t>Überschußermittlung bei den sonstigen Einkünften</t>
  </si>
  <si>
    <t>hier: aus Renten (Frau Detroy)</t>
  </si>
  <si>
    <t>hier: aus Renten (Herr Detroy)</t>
  </si>
  <si>
    <t>Telekommunikation (pauschal)</t>
  </si>
  <si>
    <t>Telekommunikation für o.g. Posten</t>
  </si>
  <si>
    <t>Leistungsdatum:*</t>
  </si>
  <si>
    <t>* soweit nicht gesondert anders ausgewiesen</t>
  </si>
  <si>
    <t>Auslagenersatz nachgewiesener Kosten: DATEV-Archiv-CD</t>
  </si>
  <si>
    <t>gemäß beigefügter Rg-Kopie (Rg 498/2024 v. Haas u. Kollegen GmbH)**</t>
  </si>
  <si>
    <t>** Leistungszeitraum siehe dort</t>
  </si>
  <si>
    <t>60431-2024-004</t>
  </si>
  <si>
    <t xml:space="preserve">     USt-ID: DE212505221</t>
  </si>
  <si>
    <t xml:space="preserve"> wert</t>
  </si>
  <si>
    <t>satz/Std.</t>
  </si>
  <si>
    <t xml:space="preserve">Teilnahme an der Sozialversicherungsprüfug </t>
  </si>
  <si>
    <t>durch die DRV für 2020-2023</t>
  </si>
  <si>
    <t xml:space="preserve"> - Vorbereitung der Prüfung und Zusammen-</t>
  </si>
  <si>
    <t xml:space="preserve"> - Abschluß der Prüfung durch Prüfung der Prüfungs-</t>
  </si>
  <si>
    <t>Bitte überweisen Sie den Betrag ohne Abzüge innerhalb von 14 Tagen auf das angegebene Konto.</t>
  </si>
  <si>
    <t xml:space="preserve">   stellung von Unterlagen/Bereitstellung von DATEV-Lohnarchiv-CD-Daten </t>
  </si>
  <si>
    <t xml:space="preserve">   am 08.05.2024 und am 20.06.2024</t>
  </si>
  <si>
    <t xml:space="preserve">   schlußmitteilung am 01.07.2024</t>
  </si>
  <si>
    <t>60431-2024-005</t>
  </si>
  <si>
    <t>Löhne/Gehälter 03/2024</t>
  </si>
  <si>
    <t>Löhne/Gehälter 04/2024</t>
  </si>
  <si>
    <t>Löhne/Gehälter 05/2024</t>
  </si>
  <si>
    <t>Löhne/Gehälter 06/2024</t>
  </si>
  <si>
    <t>I+II/2024</t>
  </si>
  <si>
    <t>60431-2024-006</t>
  </si>
  <si>
    <t>60431-2024-007</t>
  </si>
  <si>
    <t xml:space="preserve">Steuernummer: 014 801 32096  </t>
  </si>
  <si>
    <t>siehe Einzelposition</t>
  </si>
  <si>
    <t>02.07.-06.08.2024</t>
  </si>
  <si>
    <t>Löhne/Gehälter 07/2024</t>
  </si>
  <si>
    <t>Löhne/Gehälter 08/2024</t>
  </si>
  <si>
    <t>Löhne/Gehälter 09/2024</t>
  </si>
  <si>
    <t>III/2024</t>
  </si>
  <si>
    <t>60431-2024-008</t>
  </si>
  <si>
    <t>60431-2024-009</t>
  </si>
  <si>
    <t>03.09.-25.10.2024</t>
  </si>
  <si>
    <t>Januar 2024 (Nachbuchung)</t>
  </si>
  <si>
    <t>60431-2025-001</t>
  </si>
  <si>
    <t>03.12.24-20.02.2025</t>
  </si>
  <si>
    <t>Löhne/Gehälter 10/2024</t>
  </si>
  <si>
    <t>Löhne/Gehälter 11/2024</t>
  </si>
  <si>
    <t>Löhne/Gehälter 12/2024</t>
  </si>
  <si>
    <t>IV/2024</t>
  </si>
  <si>
    <t>60431-2025-002</t>
  </si>
  <si>
    <t>Steuernummer: 014 801 32096</t>
  </si>
  <si>
    <t>60431-2025-003</t>
  </si>
  <si>
    <t>60431-2025-004</t>
  </si>
  <si>
    <t xml:space="preserve">Steuernummer: 014 801 32096            </t>
  </si>
  <si>
    <t xml:space="preserve">Steuernummer: 014 801 32096 </t>
  </si>
  <si>
    <t xml:space="preserve">Gewerbesteuererklärung </t>
  </si>
  <si>
    <t>60431-2025-006</t>
  </si>
  <si>
    <t>I+II/2025</t>
  </si>
  <si>
    <t>60431-2025-005</t>
  </si>
  <si>
    <t xml:space="preserve">Löhne/Gehälter </t>
  </si>
  <si>
    <t>Lohnabrechnungen inkl. Sozialversicherungsmeldungen für</t>
  </si>
  <si>
    <t xml:space="preserve">   Steuernummer: 014 801 32096</t>
  </si>
  <si>
    <t>20.02.-09.05.2025</t>
  </si>
  <si>
    <t>10.06.-05.08.2025</t>
  </si>
  <si>
    <t>60431-2025-007</t>
  </si>
  <si>
    <t>60431-2025-008</t>
  </si>
  <si>
    <t>III/2025</t>
  </si>
  <si>
    <t>60431-2025-009</t>
  </si>
  <si>
    <t>09.09.-27.10.2025</t>
  </si>
  <si>
    <t>60431-2025-010</t>
  </si>
  <si>
    <t>60431-2025-011</t>
  </si>
  <si>
    <t>Leistungszeitraum:</t>
  </si>
  <si>
    <t>IV. Vj. 2025</t>
  </si>
  <si>
    <t>60431-2026-001</t>
  </si>
  <si>
    <t>19.11.2025-10.01.2026</t>
  </si>
  <si>
    <t>60431-2026-002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</si>
</sst>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164" formatCode="d/\ mmmm\ yyyy"/>
    <numFmt numFmtId="165" formatCode="#,##0.00\ [$€-1]"/>
    <numFmt numFmtId="166" formatCode="??/10"/>
    <numFmt numFmtId="167" formatCode="#,##0.00\ _€"/>
    <numFmt numFmtId="168" formatCode="#,##0\ [$€-1]"/>
    <numFmt numFmtId="169" formatCode="#,##0.00\ &quot;€&quot;"/>
    <numFmt numFmtId="170" formatCode="??/20"/>
    <numFmt numFmtId="171" formatCode="#,##0.00\ &quot;€/AN&quot;"/>
    <numFmt numFmtId="172" formatCode="0\ &quot;AN&quot;"/>
    <numFmt numFmtId="173" formatCode="#,##0.00\ &quot;€/Std&quot;"/>
    <numFmt numFmtId="174" formatCode="0.00\ &quot;Std.&quot;"/>
    <numFmt numFmtId="175" formatCode="0.00\ &quot;€/AN&quot;"/>
    <numFmt numFmtId="176" formatCode="[$-407]mmmm\ yyyy;@"/>
    <numFmt numFmtId="177" formatCode="#,##0.00\ &quot;€/Std.&quot;"/>
    <numFmt numFmtId="178" formatCode="\ ??/??"/>
    <numFmt numFmtId="179" formatCode="mmm\ yyyy"/>
  </numFmts>
  <fonts count="12" x14ac:knownFonts="1">
    <font>
      <sz val="11"/>
      <color theme="1"/>
      <name val="Arial"/>
      <family val="2"/>
    </font>
    <font>
      <sz val="10"/>
      <name val="Arial"/>
      <family val="2"/>
    </font>
    <font>
      <sz val="12"/>
      <name val="Times New Roman"/>
      <family val="1"/>
    </font>
    <font>
      <sz val="6"/>
      <color indexed="8"/>
      <name val="Times New Roman"/>
      <family val="1"/>
    </font>
    <font>
      <i/>
      <sz val="12"/>
      <name val="Times New Roman"/>
      <family val="1"/>
    </font>
    <font>
      <sz val="11"/>
      <name val="Times New Roman"/>
      <family val="1"/>
    </font>
    <font>
      <sz val="11"/>
      <name val="Arial"/>
      <family val="2"/>
    </font>
    <font>
      <b/>
      <sz val="11"/>
      <name val="Times New Roman"/>
      <family val="1"/>
    </font>
    <font>
      <sz val="10"/>
      <name val="Times New Roman"/>
      <family val="1"/>
    </font>
    <font>
      <sz val="6"/>
      <name val="Times New Roman"/>
      <family val="1"/>
    </font>
    <font>
      <sz val="11"/>
      <color indexed="8"/>
      <name val="Times New Roman"/>
      <family val="1"/>
    </font>
    <font>
      <i/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0" fontId="1" fillId="0" borderId="0"/>
  </cellStyleXfs>
  <cellXfs count="145">
    <xf numFmtId="0" fontId="0" fillId="0" borderId="0" xfId="0"/>
    <xf numFmtId="0" fontId="2" fillId="0" borderId="0" xfId="1" applyFont="1"/>
    <xf numFmtId="3" fontId="2" fillId="0" borderId="0" xfId="1" applyNumberFormat="1" applyFont="1" applyAlignment="1">
      <alignment horizontal="center"/>
    </xf>
    <xf numFmtId="4" fontId="2" fillId="0" borderId="0" xfId="1" applyNumberFormat="1" applyFont="1" applyAlignment="1">
      <alignment horizontal="center"/>
    </xf>
    <xf numFmtId="0" fontId="3" fillId="0" borderId="0" xfId="1" applyFont="1"/>
    <xf numFmtId="0" fontId="4" fillId="0" borderId="0" xfId="1" applyFont="1"/>
    <xf numFmtId="4" fontId="2" fillId="0" borderId="0" xfId="1" applyNumberFormat="1" applyFont="1"/>
    <xf numFmtId="0" fontId="5" fillId="0" borderId="0" xfId="1" applyFont="1"/>
    <xf numFmtId="0" fontId="6" fillId="0" borderId="0" xfId="1" applyFont="1"/>
    <xf numFmtId="3" fontId="5" fillId="0" borderId="0" xfId="1" applyNumberFormat="1" applyFont="1" applyAlignment="1">
      <alignment horizontal="center"/>
    </xf>
    <xf numFmtId="4" fontId="5" fillId="0" borderId="1" xfId="1" applyNumberFormat="1" applyFont="1" applyBorder="1" applyAlignment="1">
      <alignment horizontal="left"/>
    </xf>
    <xf numFmtId="0" fontId="5" fillId="0" borderId="5" xfId="1" applyFont="1" applyBorder="1" applyAlignment="1">
      <alignment horizontal="left"/>
    </xf>
    <xf numFmtId="0" fontId="5" fillId="0" borderId="0" xfId="1" applyFont="1" applyAlignment="1">
      <alignment horizontal="center"/>
    </xf>
    <xf numFmtId="4" fontId="5" fillId="0" borderId="6" xfId="1" applyNumberFormat="1" applyFont="1" applyBorder="1" applyAlignment="1">
      <alignment horizontal="left"/>
    </xf>
    <xf numFmtId="4" fontId="5" fillId="0" borderId="7" xfId="1" applyNumberFormat="1" applyFont="1" applyBorder="1"/>
    <xf numFmtId="0" fontId="7" fillId="0" borderId="0" xfId="1" applyFont="1"/>
    <xf numFmtId="4" fontId="5" fillId="0" borderId="7" xfId="1" applyNumberFormat="1" applyFont="1" applyBorder="1" applyAlignment="1">
      <alignment horizontal="center"/>
    </xf>
    <xf numFmtId="4" fontId="5" fillId="0" borderId="0" xfId="1" applyNumberFormat="1" applyFont="1" applyAlignment="1">
      <alignment horizontal="center"/>
    </xf>
    <xf numFmtId="4" fontId="5" fillId="0" borderId="0" xfId="1" applyNumberFormat="1" applyFont="1"/>
    <xf numFmtId="0" fontId="7" fillId="0" borderId="0" xfId="1" applyFont="1" applyAlignment="1">
      <alignment horizontal="center"/>
    </xf>
    <xf numFmtId="0" fontId="5" fillId="0" borderId="0" xfId="1" applyFont="1" applyAlignment="1">
      <alignment horizontal="centerContinuous"/>
    </xf>
    <xf numFmtId="0" fontId="6" fillId="0" borderId="0" xfId="1" applyFont="1" applyAlignment="1">
      <alignment horizontal="centerContinuous"/>
    </xf>
    <xf numFmtId="0" fontId="5" fillId="0" borderId="7" xfId="1" applyFont="1" applyBorder="1" applyAlignment="1">
      <alignment horizontal="center"/>
    </xf>
    <xf numFmtId="0" fontId="5" fillId="0" borderId="7" xfId="1" applyFont="1" applyBorder="1"/>
    <xf numFmtId="3" fontId="5" fillId="0" borderId="7" xfId="1" applyNumberFormat="1" applyFont="1" applyBorder="1" applyAlignment="1">
      <alignment horizontal="center"/>
    </xf>
    <xf numFmtId="9" fontId="5" fillId="0" borderId="7" xfId="1" applyNumberFormat="1" applyFont="1" applyBorder="1" applyAlignment="1">
      <alignment horizontal="center"/>
    </xf>
    <xf numFmtId="165" fontId="5" fillId="0" borderId="0" xfId="1" applyNumberFormat="1" applyFont="1" applyAlignment="1">
      <alignment horizontal="center"/>
    </xf>
    <xf numFmtId="166" fontId="5" fillId="0" borderId="0" xfId="1" applyNumberFormat="1" applyFont="1" applyAlignment="1">
      <alignment horizontal="center"/>
    </xf>
    <xf numFmtId="165" fontId="5" fillId="0" borderId="0" xfId="1" applyNumberFormat="1" applyFont="1"/>
    <xf numFmtId="3" fontId="5" fillId="0" borderId="0" xfId="1" applyNumberFormat="1" applyFont="1"/>
    <xf numFmtId="167" fontId="5" fillId="0" borderId="0" xfId="1" applyNumberFormat="1" applyFont="1"/>
    <xf numFmtId="167" fontId="5" fillId="0" borderId="7" xfId="1" applyNumberFormat="1" applyFont="1" applyBorder="1"/>
    <xf numFmtId="165" fontId="5" fillId="0" borderId="7" xfId="1" applyNumberFormat="1" applyFont="1" applyBorder="1"/>
    <xf numFmtId="4" fontId="5" fillId="0" borderId="0" xfId="1" applyNumberFormat="1" applyFont="1" applyAlignment="1">
      <alignment horizontal="left"/>
    </xf>
    <xf numFmtId="3" fontId="5" fillId="0" borderId="9" xfId="1" applyNumberFormat="1" applyFont="1" applyBorder="1" applyAlignment="1">
      <alignment horizontal="left"/>
    </xf>
    <xf numFmtId="4" fontId="5" fillId="0" borderId="9" xfId="1" applyNumberFormat="1" applyFont="1" applyBorder="1" applyAlignment="1">
      <alignment horizontal="center"/>
    </xf>
    <xf numFmtId="167" fontId="5" fillId="0" borderId="9" xfId="1" applyNumberFormat="1" applyFont="1" applyBorder="1"/>
    <xf numFmtId="165" fontId="5" fillId="0" borderId="9" xfId="1" applyNumberFormat="1" applyFont="1" applyBorder="1"/>
    <xf numFmtId="3" fontId="5" fillId="0" borderId="0" xfId="1" applyNumberFormat="1" applyFont="1" applyAlignment="1">
      <alignment horizontal="left"/>
    </xf>
    <xf numFmtId="2" fontId="5" fillId="0" borderId="0" xfId="1" applyNumberFormat="1" applyFont="1"/>
    <xf numFmtId="168" fontId="5" fillId="0" borderId="0" xfId="1" applyNumberFormat="1" applyFont="1" applyAlignment="1">
      <alignment horizontal="center"/>
    </xf>
    <xf numFmtId="169" fontId="5" fillId="0" borderId="0" xfId="1" applyNumberFormat="1" applyFont="1" applyAlignment="1">
      <alignment horizontal="right"/>
    </xf>
    <xf numFmtId="166" fontId="5" fillId="0" borderId="0" xfId="1" applyNumberFormat="1" applyFont="1"/>
    <xf numFmtId="170" fontId="5" fillId="0" borderId="0" xfId="1" applyNumberFormat="1" applyFont="1" applyAlignment="1">
      <alignment horizontal="center"/>
    </xf>
    <xf numFmtId="14" fontId="5" fillId="0" borderId="0" xfId="1" applyNumberFormat="1" applyFont="1" applyAlignment="1">
      <alignment horizontal="center"/>
    </xf>
    <xf numFmtId="17" fontId="5" fillId="0" borderId="0" xfId="1" applyNumberFormat="1" applyFont="1" applyAlignment="1">
      <alignment horizontal="center"/>
    </xf>
    <xf numFmtId="171" fontId="5" fillId="0" borderId="0" xfId="1" applyNumberFormat="1" applyFont="1" applyAlignment="1">
      <alignment horizontal="center"/>
    </xf>
    <xf numFmtId="172" fontId="5" fillId="0" borderId="0" xfId="1" applyNumberFormat="1" applyFont="1" applyAlignment="1">
      <alignment horizontal="center"/>
    </xf>
    <xf numFmtId="0" fontId="5" fillId="0" borderId="0" xfId="1" quotePrefix="1" applyFont="1"/>
    <xf numFmtId="173" fontId="5" fillId="0" borderId="0" xfId="1" applyNumberFormat="1" applyFont="1" applyAlignment="1">
      <alignment horizontal="center"/>
    </xf>
    <xf numFmtId="174" fontId="5" fillId="0" borderId="0" xfId="1" applyNumberFormat="1" applyFont="1"/>
    <xf numFmtId="164" fontId="5" fillId="0" borderId="0" xfId="1" applyNumberFormat="1" applyFont="1" applyAlignment="1">
      <alignment horizontal="center"/>
    </xf>
    <xf numFmtId="0" fontId="5" fillId="0" borderId="0" xfId="1" quotePrefix="1" applyFont="1" applyAlignment="1">
      <alignment horizontal="center"/>
    </xf>
    <xf numFmtId="17" fontId="5" fillId="0" borderId="0" xfId="1" applyNumberFormat="1" applyFont="1" applyAlignment="1">
      <alignment horizontal="left"/>
    </xf>
    <xf numFmtId="175" fontId="5" fillId="0" borderId="0" xfId="1" applyNumberFormat="1" applyFont="1" applyAlignment="1">
      <alignment horizontal="center"/>
    </xf>
    <xf numFmtId="176" fontId="5" fillId="0" borderId="0" xfId="1" applyNumberFormat="1" applyFont="1" applyAlignment="1">
      <alignment horizontal="left"/>
    </xf>
    <xf numFmtId="14" fontId="5" fillId="0" borderId="0" xfId="1" quotePrefix="1" applyNumberFormat="1" applyFont="1" applyAlignment="1">
      <alignment horizontal="right"/>
    </xf>
    <xf numFmtId="165" fontId="5" fillId="0" borderId="7" xfId="1" applyNumberFormat="1" applyFont="1" applyBorder="1" applyAlignment="1">
      <alignment horizontal="center"/>
    </xf>
    <xf numFmtId="169" fontId="5" fillId="0" borderId="7" xfId="1" applyNumberFormat="1" applyFont="1" applyBorder="1" applyAlignment="1">
      <alignment horizontal="right"/>
    </xf>
    <xf numFmtId="169" fontId="5" fillId="0" borderId="0" xfId="1" applyNumberFormat="1" applyFont="1"/>
    <xf numFmtId="3" fontId="5" fillId="0" borderId="9" xfId="1" applyNumberFormat="1" applyFont="1" applyBorder="1" applyAlignment="1">
      <alignment horizontal="center"/>
    </xf>
    <xf numFmtId="169" fontId="5" fillId="0" borderId="9" xfId="1" applyNumberFormat="1" applyFont="1" applyBorder="1" applyAlignment="1">
      <alignment horizontal="right"/>
    </xf>
    <xf numFmtId="14" fontId="5" fillId="0" borderId="0" xfId="1" applyNumberFormat="1" applyFont="1"/>
    <xf numFmtId="0" fontId="5" fillId="0" borderId="0" xfId="0" applyFont="1"/>
    <xf numFmtId="166" fontId="5" fillId="0" borderId="0" xfId="1" quotePrefix="1" applyNumberFormat="1" applyFont="1" applyAlignment="1">
      <alignment horizontal="center"/>
    </xf>
    <xf numFmtId="168" fontId="5" fillId="0" borderId="7" xfId="1" applyNumberFormat="1" applyFont="1" applyBorder="1" applyAlignment="1">
      <alignment horizontal="center"/>
    </xf>
    <xf numFmtId="166" fontId="5" fillId="0" borderId="7" xfId="1" applyNumberFormat="1" applyFont="1" applyBorder="1" applyAlignment="1">
      <alignment horizontal="center"/>
    </xf>
    <xf numFmtId="0" fontId="9" fillId="0" borderId="0" xfId="1" applyFont="1"/>
    <xf numFmtId="0" fontId="7" fillId="0" borderId="0" xfId="0" applyFont="1" applyAlignment="1">
      <alignment horizontal="center"/>
    </xf>
    <xf numFmtId="0" fontId="7" fillId="0" borderId="0" xfId="0" applyFont="1"/>
    <xf numFmtId="3" fontId="5" fillId="0" borderId="0" xfId="0" applyNumberFormat="1" applyFont="1" applyAlignment="1">
      <alignment horizontal="center"/>
    </xf>
    <xf numFmtId="4" fontId="5" fillId="0" borderId="0" xfId="0" applyNumberFormat="1" applyFont="1" applyAlignment="1">
      <alignment horizontal="center"/>
    </xf>
    <xf numFmtId="4" fontId="5" fillId="0" borderId="0" xfId="0" applyNumberFormat="1" applyFont="1"/>
    <xf numFmtId="0" fontId="6" fillId="0" borderId="0" xfId="0" applyFont="1"/>
    <xf numFmtId="2" fontId="5" fillId="0" borderId="0" xfId="0" applyNumberFormat="1" applyFont="1"/>
    <xf numFmtId="165" fontId="5" fillId="0" borderId="0" xfId="0" applyNumberFormat="1" applyFont="1"/>
    <xf numFmtId="0" fontId="5" fillId="0" borderId="0" xfId="0" applyFont="1" applyAlignment="1">
      <alignment horizontal="centerContinuous"/>
    </xf>
    <xf numFmtId="0" fontId="6" fillId="0" borderId="0" xfId="0" applyFont="1" applyAlignment="1">
      <alignment horizontal="centerContinuous"/>
    </xf>
    <xf numFmtId="0" fontId="5" fillId="0" borderId="7" xfId="0" applyFont="1" applyBorder="1"/>
    <xf numFmtId="0" fontId="5" fillId="0" borderId="7" xfId="0" applyFont="1" applyBorder="1" applyAlignment="1">
      <alignment horizontal="center"/>
    </xf>
    <xf numFmtId="3" fontId="5" fillId="0" borderId="7" xfId="0" applyNumberFormat="1" applyFont="1" applyBorder="1" applyAlignment="1">
      <alignment horizontal="center"/>
    </xf>
    <xf numFmtId="4" fontId="5" fillId="0" borderId="7" xfId="0" applyNumberFormat="1" applyFont="1" applyBorder="1" applyAlignment="1">
      <alignment horizontal="center"/>
    </xf>
    <xf numFmtId="4" fontId="5" fillId="0" borderId="7" xfId="0" applyNumberFormat="1" applyFont="1" applyBorder="1"/>
    <xf numFmtId="14" fontId="5" fillId="0" borderId="0" xfId="0" applyNumberFormat="1" applyFont="1" applyAlignment="1">
      <alignment horizontal="center"/>
    </xf>
    <xf numFmtId="17" fontId="5" fillId="0" borderId="0" xfId="0" applyNumberFormat="1" applyFont="1" applyAlignment="1">
      <alignment horizontal="center"/>
    </xf>
    <xf numFmtId="177" fontId="5" fillId="0" borderId="0" xfId="0" applyNumberFormat="1" applyFont="1"/>
    <xf numFmtId="174" fontId="5" fillId="0" borderId="0" xfId="0" applyNumberFormat="1" applyFont="1"/>
    <xf numFmtId="0" fontId="5" fillId="0" borderId="0" xfId="0" quotePrefix="1" applyFont="1"/>
    <xf numFmtId="171" fontId="5" fillId="0" borderId="0" xfId="0" applyNumberFormat="1" applyFont="1" applyAlignment="1">
      <alignment horizontal="center"/>
    </xf>
    <xf numFmtId="172" fontId="5" fillId="0" borderId="0" xfId="0" applyNumberFormat="1" applyFont="1" applyAlignment="1">
      <alignment horizontal="center"/>
    </xf>
    <xf numFmtId="173" fontId="5" fillId="0" borderId="0" xfId="0" applyNumberFormat="1" applyFont="1" applyAlignment="1">
      <alignment horizontal="center"/>
    </xf>
    <xf numFmtId="178" fontId="5" fillId="0" borderId="0" xfId="0" applyNumberFormat="1" applyFont="1"/>
    <xf numFmtId="165" fontId="5" fillId="0" borderId="0" xfId="0" applyNumberFormat="1" applyFont="1" applyAlignment="1">
      <alignment horizontal="center"/>
    </xf>
    <xf numFmtId="178" fontId="5" fillId="0" borderId="0" xfId="0" applyNumberFormat="1" applyFont="1" applyAlignment="1">
      <alignment horizontal="center"/>
    </xf>
    <xf numFmtId="168" fontId="5" fillId="0" borderId="7" xfId="0" applyNumberFormat="1" applyFont="1" applyBorder="1" applyAlignment="1">
      <alignment horizontal="center"/>
    </xf>
    <xf numFmtId="165" fontId="5" fillId="0" borderId="7" xfId="0" applyNumberFormat="1" applyFont="1" applyBorder="1"/>
    <xf numFmtId="0" fontId="9" fillId="0" borderId="0" xfId="0" applyFont="1"/>
    <xf numFmtId="4" fontId="5" fillId="0" borderId="0" xfId="0" applyNumberFormat="1" applyFont="1" applyAlignment="1">
      <alignment horizontal="left"/>
    </xf>
    <xf numFmtId="3" fontId="5" fillId="0" borderId="0" xfId="0" applyNumberFormat="1" applyFont="1" applyAlignment="1">
      <alignment horizontal="left"/>
    </xf>
    <xf numFmtId="3" fontId="5" fillId="0" borderId="9" xfId="0" applyNumberFormat="1" applyFont="1" applyBorder="1" applyAlignment="1">
      <alignment horizontal="left"/>
    </xf>
    <xf numFmtId="4" fontId="5" fillId="0" borderId="9" xfId="0" applyNumberFormat="1" applyFont="1" applyBorder="1" applyAlignment="1">
      <alignment horizontal="center"/>
    </xf>
    <xf numFmtId="3" fontId="5" fillId="0" borderId="9" xfId="0" applyNumberFormat="1" applyFont="1" applyBorder="1" applyAlignment="1">
      <alignment horizontal="center"/>
    </xf>
    <xf numFmtId="165" fontId="5" fillId="0" borderId="9" xfId="0" applyNumberFormat="1" applyFont="1" applyBorder="1"/>
    <xf numFmtId="0" fontId="2" fillId="0" borderId="0" xfId="0" applyFont="1"/>
    <xf numFmtId="3" fontId="2" fillId="0" borderId="0" xfId="0" applyNumberFormat="1" applyFont="1" applyAlignment="1">
      <alignment horizontal="center"/>
    </xf>
    <xf numFmtId="4" fontId="2" fillId="0" borderId="0" xfId="0" applyNumberFormat="1" applyFont="1" applyAlignment="1">
      <alignment horizontal="center"/>
    </xf>
    <xf numFmtId="165" fontId="2" fillId="0" borderId="0" xfId="0" applyNumberFormat="1" applyFont="1"/>
    <xf numFmtId="4" fontId="2" fillId="0" borderId="0" xfId="0" applyNumberFormat="1" applyFont="1"/>
    <xf numFmtId="179" fontId="2" fillId="0" borderId="0" xfId="1" applyNumberFormat="1" applyFont="1" applyAlignment="1">
      <alignment horizontal="left"/>
    </xf>
    <xf numFmtId="0" fontId="10" fillId="0" borderId="0" xfId="1" applyFont="1"/>
    <xf numFmtId="0" fontId="11" fillId="0" borderId="0" xfId="1" applyFont="1"/>
    <xf numFmtId="179" fontId="5" fillId="0" borderId="0" xfId="1" applyNumberFormat="1" applyFont="1" applyAlignment="1">
      <alignment horizontal="left"/>
    </xf>
    <xf numFmtId="0" fontId="5" fillId="0" borderId="0" xfId="0" applyFont="1" applyAlignment="1">
      <alignment horizontal="center"/>
    </xf>
    <xf numFmtId="4" fontId="5" fillId="0" borderId="7" xfId="1" applyNumberFormat="1" applyFont="1" applyBorder="1" applyAlignment="1">
      <alignment horizontal="center"/>
    </xf>
    <xf numFmtId="0" fontId="7" fillId="0" borderId="0" xfId="1" applyFont="1" applyAlignment="1">
      <alignment horizontal="center"/>
    </xf>
    <xf numFmtId="4" fontId="5" fillId="0" borderId="1" xfId="1" applyNumberFormat="1" applyFont="1" applyBorder="1" applyAlignment="1">
      <alignment horizontal="left"/>
    </xf>
    <xf numFmtId="0" fontId="5" fillId="0" borderId="0" xfId="1" applyFont="1" applyAlignment="1">
      <alignment horizontal="center"/>
    </xf>
    <xf numFmtId="0" fontId="2" fillId="0" borderId="7" xfId="1" applyFont="1" applyBorder="1"/>
    <xf numFmtId="3" fontId="2" fillId="0" borderId="7" xfId="1" applyNumberFormat="1" applyFont="1" applyBorder="1" applyAlignment="1">
      <alignment horizontal="center"/>
    </xf>
    <xf numFmtId="4" fontId="2" fillId="0" borderId="7" xfId="1" applyNumberFormat="1" applyFont="1" applyBorder="1" applyAlignment="1">
      <alignment horizontal="center"/>
    </xf>
    <xf numFmtId="4" fontId="2" fillId="0" borderId="7" xfId="1" applyNumberFormat="1" applyFont="1" applyBorder="1"/>
    <xf numFmtId="0" fontId="2" fillId="0" borderId="0" xfId="1" applyFont="1" applyBorder="1"/>
    <xf numFmtId="3" fontId="2" fillId="0" borderId="0" xfId="1" applyNumberFormat="1" applyFont="1" applyBorder="1" applyAlignment="1">
      <alignment horizontal="center"/>
    </xf>
    <xf numFmtId="4" fontId="2" fillId="0" borderId="0" xfId="1" applyNumberFormat="1" applyFont="1" applyBorder="1" applyAlignment="1">
      <alignment horizontal="center"/>
    </xf>
    <xf numFmtId="4" fontId="2" fillId="0" borderId="0" xfId="1" applyNumberFormat="1" applyFont="1" applyBorder="1"/>
    <xf numFmtId="4" fontId="5" fillId="0" borderId="2" xfId="1" applyNumberFormat="1" applyFont="1" applyBorder="1" applyAlignment="1">
      <alignment horizontal="center"/>
    </xf>
    <xf numFmtId="4" fontId="5" fillId="0" borderId="3" xfId="1" applyNumberFormat="1" applyFont="1" applyBorder="1" applyAlignment="1">
      <alignment horizontal="center"/>
    </xf>
    <xf numFmtId="4" fontId="5" fillId="0" borderId="7" xfId="1" applyNumberFormat="1" applyFont="1" applyBorder="1" applyAlignment="1">
      <alignment horizontal="center"/>
    </xf>
    <xf numFmtId="4" fontId="5" fillId="0" borderId="8" xfId="1" applyNumberFormat="1" applyFont="1" applyBorder="1" applyAlignment="1">
      <alignment horizontal="center"/>
    </xf>
    <xf numFmtId="0" fontId="7" fillId="0" borderId="0" xfId="1" applyFont="1" applyAlignment="1">
      <alignment horizontal="center"/>
    </xf>
    <xf numFmtId="0" fontId="8" fillId="0" borderId="0" xfId="1" applyFont="1" applyAlignment="1">
      <alignment horizontal="center"/>
    </xf>
    <xf numFmtId="4" fontId="5" fillId="0" borderId="1" xfId="1" applyNumberFormat="1" applyFont="1" applyBorder="1" applyAlignment="1">
      <alignment horizontal="left"/>
    </xf>
    <xf numFmtId="4" fontId="5" fillId="0" borderId="2" xfId="1" applyNumberFormat="1" applyFont="1" applyBorder="1" applyAlignment="1">
      <alignment horizontal="left"/>
    </xf>
    <xf numFmtId="164" fontId="5" fillId="0" borderId="2" xfId="1" applyNumberFormat="1" applyFont="1" applyBorder="1" applyAlignment="1">
      <alignment horizontal="center"/>
    </xf>
    <xf numFmtId="164" fontId="5" fillId="0" borderId="3" xfId="1" applyNumberFormat="1" applyFont="1" applyBorder="1" applyAlignment="1">
      <alignment horizontal="center"/>
    </xf>
    <xf numFmtId="0" fontId="5" fillId="0" borderId="4" xfId="1" applyFont="1" applyBorder="1" applyAlignment="1">
      <alignment horizontal="lef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center"/>
    </xf>
    <xf numFmtId="0" fontId="5" fillId="0" borderId="5" xfId="1" applyFont="1" applyBorder="1" applyAlignment="1">
      <alignment horizontal="center"/>
    </xf>
    <xf numFmtId="164" fontId="5" fillId="0" borderId="7" xfId="1" applyNumberFormat="1" applyFont="1" applyBorder="1" applyAlignment="1">
      <alignment horizontal="center"/>
    </xf>
    <xf numFmtId="164" fontId="5" fillId="0" borderId="8" xfId="1" applyNumberFormat="1" applyFont="1" applyBorder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164" fontId="5" fillId="0" borderId="7" xfId="1" quotePrefix="1" applyNumberFormat="1" applyFont="1" applyBorder="1" applyAlignment="1">
      <alignment horizontal="center"/>
    </xf>
  </cellXfs>
  <cellStyles count="2">
    <cellStyle name="Standard" xfId="0" builtinId="0"/>
    <cellStyle name="Standard 2" xfId="1" xr:uid="{FA316E3A-1894-4A75-B66A-A5749593ABD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28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190500</xdr:colOff>
      <xdr:row>40</xdr:row>
      <xdr:rowOff>0</xdr:rowOff>
    </xdr:from>
    <xdr:to>
      <xdr:col>1</xdr:col>
      <xdr:colOff>2242040</xdr:colOff>
      <xdr:row>47</xdr:row>
      <xdr:rowOff>28575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839B8C68-2F0B-438C-CC00-0B11DDD256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7296150"/>
          <a:ext cx="2289665" cy="13525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34</xdr:row>
      <xdr:rowOff>57150</xdr:rowOff>
    </xdr:from>
    <xdr:to>
      <xdr:col>2</xdr:col>
      <xdr:colOff>410505</xdr:colOff>
      <xdr:row>42</xdr:row>
      <xdr:rowOff>28575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EB847D5A-7BCF-502E-11F3-7B38AAA2E4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305550"/>
          <a:ext cx="2896530" cy="14192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D2D20-876D-4557-8D11-5D4649F90A6E}">
  <dimension ref="A1:L49"/>
  <sheetViews>
    <sheetView topLeftCell="A19" workbookViewId="0">
      <selection activeCell="G8" sqref="G8"/>
    </sheetView>
  </sheetViews>
  <sheetFormatPr baseColWidth="10" defaultColWidth="10.125" defaultRowHeight="15.75" x14ac:dyDescent="0.25"/>
  <cols>
    <col min="1" max="1" width="3.125" style="1" customWidth="1"/>
    <col min="2" max="2" width="32.875" style="1" customWidth="1"/>
    <col min="3" max="3" width="5" style="1" customWidth="1"/>
    <col min="4" max="4" width="1.75" style="2" customWidth="1"/>
    <col min="5" max="5" width="10" style="3" customWidth="1"/>
    <col min="6" max="6" width="7" style="6" bestFit="1" customWidth="1"/>
    <col min="7" max="7" width="8.125" style="1" bestFit="1" customWidth="1"/>
    <col min="8" max="8" width="9.375" style="1" customWidth="1"/>
    <col min="9" max="9" width="4.375" style="1" customWidth="1"/>
    <col min="10" max="12" width="10.125" style="1" customWidth="1"/>
    <col min="13" max="13" width="72.75" style="1" customWidth="1"/>
    <col min="14" max="256" width="10.125" style="1"/>
    <col min="257" max="257" width="3.125" style="1" customWidth="1"/>
    <col min="258" max="258" width="30.875" style="1" customWidth="1"/>
    <col min="259" max="259" width="5.75" style="1" customWidth="1"/>
    <col min="260" max="260" width="1.75" style="1" customWidth="1"/>
    <col min="261" max="261" width="10" style="1" customWidth="1"/>
    <col min="262" max="262" width="7" style="1" bestFit="1" customWidth="1"/>
    <col min="263" max="263" width="8.125" style="1" bestFit="1" customWidth="1"/>
    <col min="264" max="264" width="9.375" style="1" customWidth="1"/>
    <col min="265" max="265" width="4.375" style="1" customWidth="1"/>
    <col min="266" max="268" width="10.125" style="1"/>
    <col min="269" max="269" width="72.75" style="1" customWidth="1"/>
    <col min="270" max="512" width="10.125" style="1"/>
    <col min="513" max="513" width="3.125" style="1" customWidth="1"/>
    <col min="514" max="514" width="30.875" style="1" customWidth="1"/>
    <col min="515" max="515" width="5.75" style="1" customWidth="1"/>
    <col min="516" max="516" width="1.75" style="1" customWidth="1"/>
    <col min="517" max="517" width="10" style="1" customWidth="1"/>
    <col min="518" max="518" width="7" style="1" bestFit="1" customWidth="1"/>
    <col min="519" max="519" width="8.125" style="1" bestFit="1" customWidth="1"/>
    <col min="520" max="520" width="9.375" style="1" customWidth="1"/>
    <col min="521" max="521" width="4.375" style="1" customWidth="1"/>
    <col min="522" max="524" width="10.125" style="1"/>
    <col min="525" max="525" width="72.75" style="1" customWidth="1"/>
    <col min="526" max="768" width="10.125" style="1"/>
    <col min="769" max="769" width="3.125" style="1" customWidth="1"/>
    <col min="770" max="770" width="30.875" style="1" customWidth="1"/>
    <col min="771" max="771" width="5.75" style="1" customWidth="1"/>
    <col min="772" max="772" width="1.75" style="1" customWidth="1"/>
    <col min="773" max="773" width="10" style="1" customWidth="1"/>
    <col min="774" max="774" width="7" style="1" bestFit="1" customWidth="1"/>
    <col min="775" max="775" width="8.125" style="1" bestFit="1" customWidth="1"/>
    <col min="776" max="776" width="9.375" style="1" customWidth="1"/>
    <col min="777" max="777" width="4.375" style="1" customWidth="1"/>
    <col min="778" max="780" width="10.125" style="1"/>
    <col min="781" max="781" width="72.75" style="1" customWidth="1"/>
    <col min="782" max="1024" width="10.125" style="1"/>
    <col min="1025" max="1025" width="3.125" style="1" customWidth="1"/>
    <col min="1026" max="1026" width="30.875" style="1" customWidth="1"/>
    <col min="1027" max="1027" width="5.75" style="1" customWidth="1"/>
    <col min="1028" max="1028" width="1.75" style="1" customWidth="1"/>
    <col min="1029" max="1029" width="10" style="1" customWidth="1"/>
    <col min="1030" max="1030" width="7" style="1" bestFit="1" customWidth="1"/>
    <col min="1031" max="1031" width="8.125" style="1" bestFit="1" customWidth="1"/>
    <col min="1032" max="1032" width="9.375" style="1" customWidth="1"/>
    <col min="1033" max="1033" width="4.375" style="1" customWidth="1"/>
    <col min="1034" max="1036" width="10.125" style="1"/>
    <col min="1037" max="1037" width="72.75" style="1" customWidth="1"/>
    <col min="1038" max="1280" width="10.125" style="1"/>
    <col min="1281" max="1281" width="3.125" style="1" customWidth="1"/>
    <col min="1282" max="1282" width="30.875" style="1" customWidth="1"/>
    <col min="1283" max="1283" width="5.75" style="1" customWidth="1"/>
    <col min="1284" max="1284" width="1.75" style="1" customWidth="1"/>
    <col min="1285" max="1285" width="10" style="1" customWidth="1"/>
    <col min="1286" max="1286" width="7" style="1" bestFit="1" customWidth="1"/>
    <col min="1287" max="1287" width="8.125" style="1" bestFit="1" customWidth="1"/>
    <col min="1288" max="1288" width="9.375" style="1" customWidth="1"/>
    <col min="1289" max="1289" width="4.375" style="1" customWidth="1"/>
    <col min="1290" max="1292" width="10.125" style="1"/>
    <col min="1293" max="1293" width="72.75" style="1" customWidth="1"/>
    <col min="1294" max="1536" width="10.125" style="1"/>
    <col min="1537" max="1537" width="3.125" style="1" customWidth="1"/>
    <col min="1538" max="1538" width="30.875" style="1" customWidth="1"/>
    <col min="1539" max="1539" width="5.75" style="1" customWidth="1"/>
    <col min="1540" max="1540" width="1.75" style="1" customWidth="1"/>
    <col min="1541" max="1541" width="10" style="1" customWidth="1"/>
    <col min="1542" max="1542" width="7" style="1" bestFit="1" customWidth="1"/>
    <col min="1543" max="1543" width="8.125" style="1" bestFit="1" customWidth="1"/>
    <col min="1544" max="1544" width="9.375" style="1" customWidth="1"/>
    <col min="1545" max="1545" width="4.375" style="1" customWidth="1"/>
    <col min="1546" max="1548" width="10.125" style="1"/>
    <col min="1549" max="1549" width="72.75" style="1" customWidth="1"/>
    <col min="1550" max="1792" width="10.125" style="1"/>
    <col min="1793" max="1793" width="3.125" style="1" customWidth="1"/>
    <col min="1794" max="1794" width="30.875" style="1" customWidth="1"/>
    <col min="1795" max="1795" width="5.75" style="1" customWidth="1"/>
    <col min="1796" max="1796" width="1.75" style="1" customWidth="1"/>
    <col min="1797" max="1797" width="10" style="1" customWidth="1"/>
    <col min="1798" max="1798" width="7" style="1" bestFit="1" customWidth="1"/>
    <col min="1799" max="1799" width="8.125" style="1" bestFit="1" customWidth="1"/>
    <col min="1800" max="1800" width="9.375" style="1" customWidth="1"/>
    <col min="1801" max="1801" width="4.375" style="1" customWidth="1"/>
    <col min="1802" max="1804" width="10.125" style="1"/>
    <col min="1805" max="1805" width="72.75" style="1" customWidth="1"/>
    <col min="1806" max="2048" width="10.125" style="1"/>
    <col min="2049" max="2049" width="3.125" style="1" customWidth="1"/>
    <col min="2050" max="2050" width="30.875" style="1" customWidth="1"/>
    <col min="2051" max="2051" width="5.75" style="1" customWidth="1"/>
    <col min="2052" max="2052" width="1.75" style="1" customWidth="1"/>
    <col min="2053" max="2053" width="10" style="1" customWidth="1"/>
    <col min="2054" max="2054" width="7" style="1" bestFit="1" customWidth="1"/>
    <col min="2055" max="2055" width="8.125" style="1" bestFit="1" customWidth="1"/>
    <col min="2056" max="2056" width="9.375" style="1" customWidth="1"/>
    <col min="2057" max="2057" width="4.375" style="1" customWidth="1"/>
    <col min="2058" max="2060" width="10.125" style="1"/>
    <col min="2061" max="2061" width="72.75" style="1" customWidth="1"/>
    <col min="2062" max="2304" width="10.125" style="1"/>
    <col min="2305" max="2305" width="3.125" style="1" customWidth="1"/>
    <col min="2306" max="2306" width="30.875" style="1" customWidth="1"/>
    <col min="2307" max="2307" width="5.75" style="1" customWidth="1"/>
    <col min="2308" max="2308" width="1.75" style="1" customWidth="1"/>
    <col min="2309" max="2309" width="10" style="1" customWidth="1"/>
    <col min="2310" max="2310" width="7" style="1" bestFit="1" customWidth="1"/>
    <col min="2311" max="2311" width="8.125" style="1" bestFit="1" customWidth="1"/>
    <col min="2312" max="2312" width="9.375" style="1" customWidth="1"/>
    <col min="2313" max="2313" width="4.375" style="1" customWidth="1"/>
    <col min="2314" max="2316" width="10.125" style="1"/>
    <col min="2317" max="2317" width="72.75" style="1" customWidth="1"/>
    <col min="2318" max="2560" width="10.125" style="1"/>
    <col min="2561" max="2561" width="3.125" style="1" customWidth="1"/>
    <col min="2562" max="2562" width="30.875" style="1" customWidth="1"/>
    <col min="2563" max="2563" width="5.75" style="1" customWidth="1"/>
    <col min="2564" max="2564" width="1.75" style="1" customWidth="1"/>
    <col min="2565" max="2565" width="10" style="1" customWidth="1"/>
    <col min="2566" max="2566" width="7" style="1" bestFit="1" customWidth="1"/>
    <col min="2567" max="2567" width="8.125" style="1" bestFit="1" customWidth="1"/>
    <col min="2568" max="2568" width="9.375" style="1" customWidth="1"/>
    <col min="2569" max="2569" width="4.375" style="1" customWidth="1"/>
    <col min="2570" max="2572" width="10.125" style="1"/>
    <col min="2573" max="2573" width="72.75" style="1" customWidth="1"/>
    <col min="2574" max="2816" width="10.125" style="1"/>
    <col min="2817" max="2817" width="3.125" style="1" customWidth="1"/>
    <col min="2818" max="2818" width="30.875" style="1" customWidth="1"/>
    <col min="2819" max="2819" width="5.75" style="1" customWidth="1"/>
    <col min="2820" max="2820" width="1.75" style="1" customWidth="1"/>
    <col min="2821" max="2821" width="10" style="1" customWidth="1"/>
    <col min="2822" max="2822" width="7" style="1" bestFit="1" customWidth="1"/>
    <col min="2823" max="2823" width="8.125" style="1" bestFit="1" customWidth="1"/>
    <col min="2824" max="2824" width="9.375" style="1" customWidth="1"/>
    <col min="2825" max="2825" width="4.375" style="1" customWidth="1"/>
    <col min="2826" max="2828" width="10.125" style="1"/>
    <col min="2829" max="2829" width="72.75" style="1" customWidth="1"/>
    <col min="2830" max="3072" width="10.125" style="1"/>
    <col min="3073" max="3073" width="3.125" style="1" customWidth="1"/>
    <col min="3074" max="3074" width="30.875" style="1" customWidth="1"/>
    <col min="3075" max="3075" width="5.75" style="1" customWidth="1"/>
    <col min="3076" max="3076" width="1.75" style="1" customWidth="1"/>
    <col min="3077" max="3077" width="10" style="1" customWidth="1"/>
    <col min="3078" max="3078" width="7" style="1" bestFit="1" customWidth="1"/>
    <col min="3079" max="3079" width="8.125" style="1" bestFit="1" customWidth="1"/>
    <col min="3080" max="3080" width="9.375" style="1" customWidth="1"/>
    <col min="3081" max="3081" width="4.375" style="1" customWidth="1"/>
    <col min="3082" max="3084" width="10.125" style="1"/>
    <col min="3085" max="3085" width="72.75" style="1" customWidth="1"/>
    <col min="3086" max="3328" width="10.125" style="1"/>
    <col min="3329" max="3329" width="3.125" style="1" customWidth="1"/>
    <col min="3330" max="3330" width="30.875" style="1" customWidth="1"/>
    <col min="3331" max="3331" width="5.75" style="1" customWidth="1"/>
    <col min="3332" max="3332" width="1.75" style="1" customWidth="1"/>
    <col min="3333" max="3333" width="10" style="1" customWidth="1"/>
    <col min="3334" max="3334" width="7" style="1" bestFit="1" customWidth="1"/>
    <col min="3335" max="3335" width="8.125" style="1" bestFit="1" customWidth="1"/>
    <col min="3336" max="3336" width="9.375" style="1" customWidth="1"/>
    <col min="3337" max="3337" width="4.375" style="1" customWidth="1"/>
    <col min="3338" max="3340" width="10.125" style="1"/>
    <col min="3341" max="3341" width="72.75" style="1" customWidth="1"/>
    <col min="3342" max="3584" width="10.125" style="1"/>
    <col min="3585" max="3585" width="3.125" style="1" customWidth="1"/>
    <col min="3586" max="3586" width="30.875" style="1" customWidth="1"/>
    <col min="3587" max="3587" width="5.75" style="1" customWidth="1"/>
    <col min="3588" max="3588" width="1.75" style="1" customWidth="1"/>
    <col min="3589" max="3589" width="10" style="1" customWidth="1"/>
    <col min="3590" max="3590" width="7" style="1" bestFit="1" customWidth="1"/>
    <col min="3591" max="3591" width="8.125" style="1" bestFit="1" customWidth="1"/>
    <col min="3592" max="3592" width="9.375" style="1" customWidth="1"/>
    <col min="3593" max="3593" width="4.375" style="1" customWidth="1"/>
    <col min="3594" max="3596" width="10.125" style="1"/>
    <col min="3597" max="3597" width="72.75" style="1" customWidth="1"/>
    <col min="3598" max="3840" width="10.125" style="1"/>
    <col min="3841" max="3841" width="3.125" style="1" customWidth="1"/>
    <col min="3842" max="3842" width="30.875" style="1" customWidth="1"/>
    <col min="3843" max="3843" width="5.75" style="1" customWidth="1"/>
    <col min="3844" max="3844" width="1.75" style="1" customWidth="1"/>
    <col min="3845" max="3845" width="10" style="1" customWidth="1"/>
    <col min="3846" max="3846" width="7" style="1" bestFit="1" customWidth="1"/>
    <col min="3847" max="3847" width="8.125" style="1" bestFit="1" customWidth="1"/>
    <col min="3848" max="3848" width="9.375" style="1" customWidth="1"/>
    <col min="3849" max="3849" width="4.375" style="1" customWidth="1"/>
    <col min="3850" max="3852" width="10.125" style="1"/>
    <col min="3853" max="3853" width="72.75" style="1" customWidth="1"/>
    <col min="3854" max="4096" width="10.125" style="1"/>
    <col min="4097" max="4097" width="3.125" style="1" customWidth="1"/>
    <col min="4098" max="4098" width="30.875" style="1" customWidth="1"/>
    <col min="4099" max="4099" width="5.75" style="1" customWidth="1"/>
    <col min="4100" max="4100" width="1.75" style="1" customWidth="1"/>
    <col min="4101" max="4101" width="10" style="1" customWidth="1"/>
    <col min="4102" max="4102" width="7" style="1" bestFit="1" customWidth="1"/>
    <col min="4103" max="4103" width="8.125" style="1" bestFit="1" customWidth="1"/>
    <col min="4104" max="4104" width="9.375" style="1" customWidth="1"/>
    <col min="4105" max="4105" width="4.375" style="1" customWidth="1"/>
    <col min="4106" max="4108" width="10.125" style="1"/>
    <col min="4109" max="4109" width="72.75" style="1" customWidth="1"/>
    <col min="4110" max="4352" width="10.125" style="1"/>
    <col min="4353" max="4353" width="3.125" style="1" customWidth="1"/>
    <col min="4354" max="4354" width="30.875" style="1" customWidth="1"/>
    <col min="4355" max="4355" width="5.75" style="1" customWidth="1"/>
    <col min="4356" max="4356" width="1.75" style="1" customWidth="1"/>
    <col min="4357" max="4357" width="10" style="1" customWidth="1"/>
    <col min="4358" max="4358" width="7" style="1" bestFit="1" customWidth="1"/>
    <col min="4359" max="4359" width="8.125" style="1" bestFit="1" customWidth="1"/>
    <col min="4360" max="4360" width="9.375" style="1" customWidth="1"/>
    <col min="4361" max="4361" width="4.375" style="1" customWidth="1"/>
    <col min="4362" max="4364" width="10.125" style="1"/>
    <col min="4365" max="4365" width="72.75" style="1" customWidth="1"/>
    <col min="4366" max="4608" width="10.125" style="1"/>
    <col min="4609" max="4609" width="3.125" style="1" customWidth="1"/>
    <col min="4610" max="4610" width="30.875" style="1" customWidth="1"/>
    <col min="4611" max="4611" width="5.75" style="1" customWidth="1"/>
    <col min="4612" max="4612" width="1.75" style="1" customWidth="1"/>
    <col min="4613" max="4613" width="10" style="1" customWidth="1"/>
    <col min="4614" max="4614" width="7" style="1" bestFit="1" customWidth="1"/>
    <col min="4615" max="4615" width="8.125" style="1" bestFit="1" customWidth="1"/>
    <col min="4616" max="4616" width="9.375" style="1" customWidth="1"/>
    <col min="4617" max="4617" width="4.375" style="1" customWidth="1"/>
    <col min="4618" max="4620" width="10.125" style="1"/>
    <col min="4621" max="4621" width="72.75" style="1" customWidth="1"/>
    <col min="4622" max="4864" width="10.125" style="1"/>
    <col min="4865" max="4865" width="3.125" style="1" customWidth="1"/>
    <col min="4866" max="4866" width="30.875" style="1" customWidth="1"/>
    <col min="4867" max="4867" width="5.75" style="1" customWidth="1"/>
    <col min="4868" max="4868" width="1.75" style="1" customWidth="1"/>
    <col min="4869" max="4869" width="10" style="1" customWidth="1"/>
    <col min="4870" max="4870" width="7" style="1" bestFit="1" customWidth="1"/>
    <col min="4871" max="4871" width="8.125" style="1" bestFit="1" customWidth="1"/>
    <col min="4872" max="4872" width="9.375" style="1" customWidth="1"/>
    <col min="4873" max="4873" width="4.375" style="1" customWidth="1"/>
    <col min="4874" max="4876" width="10.125" style="1"/>
    <col min="4877" max="4877" width="72.75" style="1" customWidth="1"/>
    <col min="4878" max="5120" width="10.125" style="1"/>
    <col min="5121" max="5121" width="3.125" style="1" customWidth="1"/>
    <col min="5122" max="5122" width="30.875" style="1" customWidth="1"/>
    <col min="5123" max="5123" width="5.75" style="1" customWidth="1"/>
    <col min="5124" max="5124" width="1.75" style="1" customWidth="1"/>
    <col min="5125" max="5125" width="10" style="1" customWidth="1"/>
    <col min="5126" max="5126" width="7" style="1" bestFit="1" customWidth="1"/>
    <col min="5127" max="5127" width="8.125" style="1" bestFit="1" customWidth="1"/>
    <col min="5128" max="5128" width="9.375" style="1" customWidth="1"/>
    <col min="5129" max="5129" width="4.375" style="1" customWidth="1"/>
    <col min="5130" max="5132" width="10.125" style="1"/>
    <col min="5133" max="5133" width="72.75" style="1" customWidth="1"/>
    <col min="5134" max="5376" width="10.125" style="1"/>
    <col min="5377" max="5377" width="3.125" style="1" customWidth="1"/>
    <col min="5378" max="5378" width="30.875" style="1" customWidth="1"/>
    <col min="5379" max="5379" width="5.75" style="1" customWidth="1"/>
    <col min="5380" max="5380" width="1.75" style="1" customWidth="1"/>
    <col min="5381" max="5381" width="10" style="1" customWidth="1"/>
    <col min="5382" max="5382" width="7" style="1" bestFit="1" customWidth="1"/>
    <col min="5383" max="5383" width="8.125" style="1" bestFit="1" customWidth="1"/>
    <col min="5384" max="5384" width="9.375" style="1" customWidth="1"/>
    <col min="5385" max="5385" width="4.375" style="1" customWidth="1"/>
    <col min="5386" max="5388" width="10.125" style="1"/>
    <col min="5389" max="5389" width="72.75" style="1" customWidth="1"/>
    <col min="5390" max="5632" width="10.125" style="1"/>
    <col min="5633" max="5633" width="3.125" style="1" customWidth="1"/>
    <col min="5634" max="5634" width="30.875" style="1" customWidth="1"/>
    <col min="5635" max="5635" width="5.75" style="1" customWidth="1"/>
    <col min="5636" max="5636" width="1.75" style="1" customWidth="1"/>
    <col min="5637" max="5637" width="10" style="1" customWidth="1"/>
    <col min="5638" max="5638" width="7" style="1" bestFit="1" customWidth="1"/>
    <col min="5639" max="5639" width="8.125" style="1" bestFit="1" customWidth="1"/>
    <col min="5640" max="5640" width="9.375" style="1" customWidth="1"/>
    <col min="5641" max="5641" width="4.375" style="1" customWidth="1"/>
    <col min="5642" max="5644" width="10.125" style="1"/>
    <col min="5645" max="5645" width="72.75" style="1" customWidth="1"/>
    <col min="5646" max="5888" width="10.125" style="1"/>
    <col min="5889" max="5889" width="3.125" style="1" customWidth="1"/>
    <col min="5890" max="5890" width="30.875" style="1" customWidth="1"/>
    <col min="5891" max="5891" width="5.75" style="1" customWidth="1"/>
    <col min="5892" max="5892" width="1.75" style="1" customWidth="1"/>
    <col min="5893" max="5893" width="10" style="1" customWidth="1"/>
    <col min="5894" max="5894" width="7" style="1" bestFit="1" customWidth="1"/>
    <col min="5895" max="5895" width="8.125" style="1" bestFit="1" customWidth="1"/>
    <col min="5896" max="5896" width="9.375" style="1" customWidth="1"/>
    <col min="5897" max="5897" width="4.375" style="1" customWidth="1"/>
    <col min="5898" max="5900" width="10.125" style="1"/>
    <col min="5901" max="5901" width="72.75" style="1" customWidth="1"/>
    <col min="5902" max="6144" width="10.125" style="1"/>
    <col min="6145" max="6145" width="3.125" style="1" customWidth="1"/>
    <col min="6146" max="6146" width="30.875" style="1" customWidth="1"/>
    <col min="6147" max="6147" width="5.75" style="1" customWidth="1"/>
    <col min="6148" max="6148" width="1.75" style="1" customWidth="1"/>
    <col min="6149" max="6149" width="10" style="1" customWidth="1"/>
    <col min="6150" max="6150" width="7" style="1" bestFit="1" customWidth="1"/>
    <col min="6151" max="6151" width="8.125" style="1" bestFit="1" customWidth="1"/>
    <col min="6152" max="6152" width="9.375" style="1" customWidth="1"/>
    <col min="6153" max="6153" width="4.375" style="1" customWidth="1"/>
    <col min="6154" max="6156" width="10.125" style="1"/>
    <col min="6157" max="6157" width="72.75" style="1" customWidth="1"/>
    <col min="6158" max="6400" width="10.125" style="1"/>
    <col min="6401" max="6401" width="3.125" style="1" customWidth="1"/>
    <col min="6402" max="6402" width="30.875" style="1" customWidth="1"/>
    <col min="6403" max="6403" width="5.75" style="1" customWidth="1"/>
    <col min="6404" max="6404" width="1.75" style="1" customWidth="1"/>
    <col min="6405" max="6405" width="10" style="1" customWidth="1"/>
    <col min="6406" max="6406" width="7" style="1" bestFit="1" customWidth="1"/>
    <col min="6407" max="6407" width="8.125" style="1" bestFit="1" customWidth="1"/>
    <col min="6408" max="6408" width="9.375" style="1" customWidth="1"/>
    <col min="6409" max="6409" width="4.375" style="1" customWidth="1"/>
    <col min="6410" max="6412" width="10.125" style="1"/>
    <col min="6413" max="6413" width="72.75" style="1" customWidth="1"/>
    <col min="6414" max="6656" width="10.125" style="1"/>
    <col min="6657" max="6657" width="3.125" style="1" customWidth="1"/>
    <col min="6658" max="6658" width="30.875" style="1" customWidth="1"/>
    <col min="6659" max="6659" width="5.75" style="1" customWidth="1"/>
    <col min="6660" max="6660" width="1.75" style="1" customWidth="1"/>
    <col min="6661" max="6661" width="10" style="1" customWidth="1"/>
    <col min="6662" max="6662" width="7" style="1" bestFit="1" customWidth="1"/>
    <col min="6663" max="6663" width="8.125" style="1" bestFit="1" customWidth="1"/>
    <col min="6664" max="6664" width="9.375" style="1" customWidth="1"/>
    <col min="6665" max="6665" width="4.375" style="1" customWidth="1"/>
    <col min="6666" max="6668" width="10.125" style="1"/>
    <col min="6669" max="6669" width="72.75" style="1" customWidth="1"/>
    <col min="6670" max="6912" width="10.125" style="1"/>
    <col min="6913" max="6913" width="3.125" style="1" customWidth="1"/>
    <col min="6914" max="6914" width="30.875" style="1" customWidth="1"/>
    <col min="6915" max="6915" width="5.75" style="1" customWidth="1"/>
    <col min="6916" max="6916" width="1.75" style="1" customWidth="1"/>
    <col min="6917" max="6917" width="10" style="1" customWidth="1"/>
    <col min="6918" max="6918" width="7" style="1" bestFit="1" customWidth="1"/>
    <col min="6919" max="6919" width="8.125" style="1" bestFit="1" customWidth="1"/>
    <col min="6920" max="6920" width="9.375" style="1" customWidth="1"/>
    <col min="6921" max="6921" width="4.375" style="1" customWidth="1"/>
    <col min="6922" max="6924" width="10.125" style="1"/>
    <col min="6925" max="6925" width="72.75" style="1" customWidth="1"/>
    <col min="6926" max="7168" width="10.125" style="1"/>
    <col min="7169" max="7169" width="3.125" style="1" customWidth="1"/>
    <col min="7170" max="7170" width="30.875" style="1" customWidth="1"/>
    <col min="7171" max="7171" width="5.75" style="1" customWidth="1"/>
    <col min="7172" max="7172" width="1.75" style="1" customWidth="1"/>
    <col min="7173" max="7173" width="10" style="1" customWidth="1"/>
    <col min="7174" max="7174" width="7" style="1" bestFit="1" customWidth="1"/>
    <col min="7175" max="7175" width="8.125" style="1" bestFit="1" customWidth="1"/>
    <col min="7176" max="7176" width="9.375" style="1" customWidth="1"/>
    <col min="7177" max="7177" width="4.375" style="1" customWidth="1"/>
    <col min="7178" max="7180" width="10.125" style="1"/>
    <col min="7181" max="7181" width="72.75" style="1" customWidth="1"/>
    <col min="7182" max="7424" width="10.125" style="1"/>
    <col min="7425" max="7425" width="3.125" style="1" customWidth="1"/>
    <col min="7426" max="7426" width="30.875" style="1" customWidth="1"/>
    <col min="7427" max="7427" width="5.75" style="1" customWidth="1"/>
    <col min="7428" max="7428" width="1.75" style="1" customWidth="1"/>
    <col min="7429" max="7429" width="10" style="1" customWidth="1"/>
    <col min="7430" max="7430" width="7" style="1" bestFit="1" customWidth="1"/>
    <col min="7431" max="7431" width="8.125" style="1" bestFit="1" customWidth="1"/>
    <col min="7432" max="7432" width="9.375" style="1" customWidth="1"/>
    <col min="7433" max="7433" width="4.375" style="1" customWidth="1"/>
    <col min="7434" max="7436" width="10.125" style="1"/>
    <col min="7437" max="7437" width="72.75" style="1" customWidth="1"/>
    <col min="7438" max="7680" width="10.125" style="1"/>
    <col min="7681" max="7681" width="3.125" style="1" customWidth="1"/>
    <col min="7682" max="7682" width="30.875" style="1" customWidth="1"/>
    <col min="7683" max="7683" width="5.75" style="1" customWidth="1"/>
    <col min="7684" max="7684" width="1.75" style="1" customWidth="1"/>
    <col min="7685" max="7685" width="10" style="1" customWidth="1"/>
    <col min="7686" max="7686" width="7" style="1" bestFit="1" customWidth="1"/>
    <col min="7687" max="7687" width="8.125" style="1" bestFit="1" customWidth="1"/>
    <col min="7688" max="7688" width="9.375" style="1" customWidth="1"/>
    <col min="7689" max="7689" width="4.375" style="1" customWidth="1"/>
    <col min="7690" max="7692" width="10.125" style="1"/>
    <col min="7693" max="7693" width="72.75" style="1" customWidth="1"/>
    <col min="7694" max="7936" width="10.125" style="1"/>
    <col min="7937" max="7937" width="3.125" style="1" customWidth="1"/>
    <col min="7938" max="7938" width="30.875" style="1" customWidth="1"/>
    <col min="7939" max="7939" width="5.75" style="1" customWidth="1"/>
    <col min="7940" max="7940" width="1.75" style="1" customWidth="1"/>
    <col min="7941" max="7941" width="10" style="1" customWidth="1"/>
    <col min="7942" max="7942" width="7" style="1" bestFit="1" customWidth="1"/>
    <col min="7943" max="7943" width="8.125" style="1" bestFit="1" customWidth="1"/>
    <col min="7944" max="7944" width="9.375" style="1" customWidth="1"/>
    <col min="7945" max="7945" width="4.375" style="1" customWidth="1"/>
    <col min="7946" max="7948" width="10.125" style="1"/>
    <col min="7949" max="7949" width="72.75" style="1" customWidth="1"/>
    <col min="7950" max="8192" width="10.125" style="1"/>
    <col min="8193" max="8193" width="3.125" style="1" customWidth="1"/>
    <col min="8194" max="8194" width="30.875" style="1" customWidth="1"/>
    <col min="8195" max="8195" width="5.75" style="1" customWidth="1"/>
    <col min="8196" max="8196" width="1.75" style="1" customWidth="1"/>
    <col min="8197" max="8197" width="10" style="1" customWidth="1"/>
    <col min="8198" max="8198" width="7" style="1" bestFit="1" customWidth="1"/>
    <col min="8199" max="8199" width="8.125" style="1" bestFit="1" customWidth="1"/>
    <col min="8200" max="8200" width="9.375" style="1" customWidth="1"/>
    <col min="8201" max="8201" width="4.375" style="1" customWidth="1"/>
    <col min="8202" max="8204" width="10.125" style="1"/>
    <col min="8205" max="8205" width="72.75" style="1" customWidth="1"/>
    <col min="8206" max="8448" width="10.125" style="1"/>
    <col min="8449" max="8449" width="3.125" style="1" customWidth="1"/>
    <col min="8450" max="8450" width="30.875" style="1" customWidth="1"/>
    <col min="8451" max="8451" width="5.75" style="1" customWidth="1"/>
    <col min="8452" max="8452" width="1.75" style="1" customWidth="1"/>
    <col min="8453" max="8453" width="10" style="1" customWidth="1"/>
    <col min="8454" max="8454" width="7" style="1" bestFit="1" customWidth="1"/>
    <col min="8455" max="8455" width="8.125" style="1" bestFit="1" customWidth="1"/>
    <col min="8456" max="8456" width="9.375" style="1" customWidth="1"/>
    <col min="8457" max="8457" width="4.375" style="1" customWidth="1"/>
    <col min="8458" max="8460" width="10.125" style="1"/>
    <col min="8461" max="8461" width="72.75" style="1" customWidth="1"/>
    <col min="8462" max="8704" width="10.125" style="1"/>
    <col min="8705" max="8705" width="3.125" style="1" customWidth="1"/>
    <col min="8706" max="8706" width="30.875" style="1" customWidth="1"/>
    <col min="8707" max="8707" width="5.75" style="1" customWidth="1"/>
    <col min="8708" max="8708" width="1.75" style="1" customWidth="1"/>
    <col min="8709" max="8709" width="10" style="1" customWidth="1"/>
    <col min="8710" max="8710" width="7" style="1" bestFit="1" customWidth="1"/>
    <col min="8711" max="8711" width="8.125" style="1" bestFit="1" customWidth="1"/>
    <col min="8712" max="8712" width="9.375" style="1" customWidth="1"/>
    <col min="8713" max="8713" width="4.375" style="1" customWidth="1"/>
    <col min="8714" max="8716" width="10.125" style="1"/>
    <col min="8717" max="8717" width="72.75" style="1" customWidth="1"/>
    <col min="8718" max="8960" width="10.125" style="1"/>
    <col min="8961" max="8961" width="3.125" style="1" customWidth="1"/>
    <col min="8962" max="8962" width="30.875" style="1" customWidth="1"/>
    <col min="8963" max="8963" width="5.75" style="1" customWidth="1"/>
    <col min="8964" max="8964" width="1.75" style="1" customWidth="1"/>
    <col min="8965" max="8965" width="10" style="1" customWidth="1"/>
    <col min="8966" max="8966" width="7" style="1" bestFit="1" customWidth="1"/>
    <col min="8967" max="8967" width="8.125" style="1" bestFit="1" customWidth="1"/>
    <col min="8968" max="8968" width="9.375" style="1" customWidth="1"/>
    <col min="8969" max="8969" width="4.375" style="1" customWidth="1"/>
    <col min="8970" max="8972" width="10.125" style="1"/>
    <col min="8973" max="8973" width="72.75" style="1" customWidth="1"/>
    <col min="8974" max="9216" width="10.125" style="1"/>
    <col min="9217" max="9217" width="3.125" style="1" customWidth="1"/>
    <col min="9218" max="9218" width="30.875" style="1" customWidth="1"/>
    <col min="9219" max="9219" width="5.75" style="1" customWidth="1"/>
    <col min="9220" max="9220" width="1.75" style="1" customWidth="1"/>
    <col min="9221" max="9221" width="10" style="1" customWidth="1"/>
    <col min="9222" max="9222" width="7" style="1" bestFit="1" customWidth="1"/>
    <col min="9223" max="9223" width="8.125" style="1" bestFit="1" customWidth="1"/>
    <col min="9224" max="9224" width="9.375" style="1" customWidth="1"/>
    <col min="9225" max="9225" width="4.375" style="1" customWidth="1"/>
    <col min="9226" max="9228" width="10.125" style="1"/>
    <col min="9229" max="9229" width="72.75" style="1" customWidth="1"/>
    <col min="9230" max="9472" width="10.125" style="1"/>
    <col min="9473" max="9473" width="3.125" style="1" customWidth="1"/>
    <col min="9474" max="9474" width="30.875" style="1" customWidth="1"/>
    <col min="9475" max="9475" width="5.75" style="1" customWidth="1"/>
    <col min="9476" max="9476" width="1.75" style="1" customWidth="1"/>
    <col min="9477" max="9477" width="10" style="1" customWidth="1"/>
    <col min="9478" max="9478" width="7" style="1" bestFit="1" customWidth="1"/>
    <col min="9479" max="9479" width="8.125" style="1" bestFit="1" customWidth="1"/>
    <col min="9480" max="9480" width="9.375" style="1" customWidth="1"/>
    <col min="9481" max="9481" width="4.375" style="1" customWidth="1"/>
    <col min="9482" max="9484" width="10.125" style="1"/>
    <col min="9485" max="9485" width="72.75" style="1" customWidth="1"/>
    <col min="9486" max="9728" width="10.125" style="1"/>
    <col min="9729" max="9729" width="3.125" style="1" customWidth="1"/>
    <col min="9730" max="9730" width="30.875" style="1" customWidth="1"/>
    <col min="9731" max="9731" width="5.75" style="1" customWidth="1"/>
    <col min="9732" max="9732" width="1.75" style="1" customWidth="1"/>
    <col min="9733" max="9733" width="10" style="1" customWidth="1"/>
    <col min="9734" max="9734" width="7" style="1" bestFit="1" customWidth="1"/>
    <col min="9735" max="9735" width="8.125" style="1" bestFit="1" customWidth="1"/>
    <col min="9736" max="9736" width="9.375" style="1" customWidth="1"/>
    <col min="9737" max="9737" width="4.375" style="1" customWidth="1"/>
    <col min="9738" max="9740" width="10.125" style="1"/>
    <col min="9741" max="9741" width="72.75" style="1" customWidth="1"/>
    <col min="9742" max="9984" width="10.125" style="1"/>
    <col min="9985" max="9985" width="3.125" style="1" customWidth="1"/>
    <col min="9986" max="9986" width="30.875" style="1" customWidth="1"/>
    <col min="9987" max="9987" width="5.75" style="1" customWidth="1"/>
    <col min="9988" max="9988" width="1.75" style="1" customWidth="1"/>
    <col min="9989" max="9989" width="10" style="1" customWidth="1"/>
    <col min="9990" max="9990" width="7" style="1" bestFit="1" customWidth="1"/>
    <col min="9991" max="9991" width="8.125" style="1" bestFit="1" customWidth="1"/>
    <col min="9992" max="9992" width="9.375" style="1" customWidth="1"/>
    <col min="9993" max="9993" width="4.375" style="1" customWidth="1"/>
    <col min="9994" max="9996" width="10.125" style="1"/>
    <col min="9997" max="9997" width="72.75" style="1" customWidth="1"/>
    <col min="9998" max="10240" width="10.125" style="1"/>
    <col min="10241" max="10241" width="3.125" style="1" customWidth="1"/>
    <col min="10242" max="10242" width="30.875" style="1" customWidth="1"/>
    <col min="10243" max="10243" width="5.75" style="1" customWidth="1"/>
    <col min="10244" max="10244" width="1.75" style="1" customWidth="1"/>
    <col min="10245" max="10245" width="10" style="1" customWidth="1"/>
    <col min="10246" max="10246" width="7" style="1" bestFit="1" customWidth="1"/>
    <col min="10247" max="10247" width="8.125" style="1" bestFit="1" customWidth="1"/>
    <col min="10248" max="10248" width="9.375" style="1" customWidth="1"/>
    <col min="10249" max="10249" width="4.375" style="1" customWidth="1"/>
    <col min="10250" max="10252" width="10.125" style="1"/>
    <col min="10253" max="10253" width="72.75" style="1" customWidth="1"/>
    <col min="10254" max="10496" width="10.125" style="1"/>
    <col min="10497" max="10497" width="3.125" style="1" customWidth="1"/>
    <col min="10498" max="10498" width="30.875" style="1" customWidth="1"/>
    <col min="10499" max="10499" width="5.75" style="1" customWidth="1"/>
    <col min="10500" max="10500" width="1.75" style="1" customWidth="1"/>
    <col min="10501" max="10501" width="10" style="1" customWidth="1"/>
    <col min="10502" max="10502" width="7" style="1" bestFit="1" customWidth="1"/>
    <col min="10503" max="10503" width="8.125" style="1" bestFit="1" customWidth="1"/>
    <col min="10504" max="10504" width="9.375" style="1" customWidth="1"/>
    <col min="10505" max="10505" width="4.375" style="1" customWidth="1"/>
    <col min="10506" max="10508" width="10.125" style="1"/>
    <col min="10509" max="10509" width="72.75" style="1" customWidth="1"/>
    <col min="10510" max="10752" width="10.125" style="1"/>
    <col min="10753" max="10753" width="3.125" style="1" customWidth="1"/>
    <col min="10754" max="10754" width="30.875" style="1" customWidth="1"/>
    <col min="10755" max="10755" width="5.75" style="1" customWidth="1"/>
    <col min="10756" max="10756" width="1.75" style="1" customWidth="1"/>
    <col min="10757" max="10757" width="10" style="1" customWidth="1"/>
    <col min="10758" max="10758" width="7" style="1" bestFit="1" customWidth="1"/>
    <col min="10759" max="10759" width="8.125" style="1" bestFit="1" customWidth="1"/>
    <col min="10760" max="10760" width="9.375" style="1" customWidth="1"/>
    <col min="10761" max="10761" width="4.375" style="1" customWidth="1"/>
    <col min="10762" max="10764" width="10.125" style="1"/>
    <col min="10765" max="10765" width="72.75" style="1" customWidth="1"/>
    <col min="10766" max="11008" width="10.125" style="1"/>
    <col min="11009" max="11009" width="3.125" style="1" customWidth="1"/>
    <col min="11010" max="11010" width="30.875" style="1" customWidth="1"/>
    <col min="11011" max="11011" width="5.75" style="1" customWidth="1"/>
    <col min="11012" max="11012" width="1.75" style="1" customWidth="1"/>
    <col min="11013" max="11013" width="10" style="1" customWidth="1"/>
    <col min="11014" max="11014" width="7" style="1" bestFit="1" customWidth="1"/>
    <col min="11015" max="11015" width="8.125" style="1" bestFit="1" customWidth="1"/>
    <col min="11016" max="11016" width="9.375" style="1" customWidth="1"/>
    <col min="11017" max="11017" width="4.375" style="1" customWidth="1"/>
    <col min="11018" max="11020" width="10.125" style="1"/>
    <col min="11021" max="11021" width="72.75" style="1" customWidth="1"/>
    <col min="11022" max="11264" width="10.125" style="1"/>
    <col min="11265" max="11265" width="3.125" style="1" customWidth="1"/>
    <col min="11266" max="11266" width="30.875" style="1" customWidth="1"/>
    <col min="11267" max="11267" width="5.75" style="1" customWidth="1"/>
    <col min="11268" max="11268" width="1.75" style="1" customWidth="1"/>
    <col min="11269" max="11269" width="10" style="1" customWidth="1"/>
    <col min="11270" max="11270" width="7" style="1" bestFit="1" customWidth="1"/>
    <col min="11271" max="11271" width="8.125" style="1" bestFit="1" customWidth="1"/>
    <col min="11272" max="11272" width="9.375" style="1" customWidth="1"/>
    <col min="11273" max="11273" width="4.375" style="1" customWidth="1"/>
    <col min="11274" max="11276" width="10.125" style="1"/>
    <col min="11277" max="11277" width="72.75" style="1" customWidth="1"/>
    <col min="11278" max="11520" width="10.125" style="1"/>
    <col min="11521" max="11521" width="3.125" style="1" customWidth="1"/>
    <col min="11522" max="11522" width="30.875" style="1" customWidth="1"/>
    <col min="11523" max="11523" width="5.75" style="1" customWidth="1"/>
    <col min="11524" max="11524" width="1.75" style="1" customWidth="1"/>
    <col min="11525" max="11525" width="10" style="1" customWidth="1"/>
    <col min="11526" max="11526" width="7" style="1" bestFit="1" customWidth="1"/>
    <col min="11527" max="11527" width="8.125" style="1" bestFit="1" customWidth="1"/>
    <col min="11528" max="11528" width="9.375" style="1" customWidth="1"/>
    <col min="11529" max="11529" width="4.375" style="1" customWidth="1"/>
    <col min="11530" max="11532" width="10.125" style="1"/>
    <col min="11533" max="11533" width="72.75" style="1" customWidth="1"/>
    <col min="11534" max="11776" width="10.125" style="1"/>
    <col min="11777" max="11777" width="3.125" style="1" customWidth="1"/>
    <col min="11778" max="11778" width="30.875" style="1" customWidth="1"/>
    <col min="11779" max="11779" width="5.75" style="1" customWidth="1"/>
    <col min="11780" max="11780" width="1.75" style="1" customWidth="1"/>
    <col min="11781" max="11781" width="10" style="1" customWidth="1"/>
    <col min="11782" max="11782" width="7" style="1" bestFit="1" customWidth="1"/>
    <col min="11783" max="11783" width="8.125" style="1" bestFit="1" customWidth="1"/>
    <col min="11784" max="11784" width="9.375" style="1" customWidth="1"/>
    <col min="11785" max="11785" width="4.375" style="1" customWidth="1"/>
    <col min="11786" max="11788" width="10.125" style="1"/>
    <col min="11789" max="11789" width="72.75" style="1" customWidth="1"/>
    <col min="11790" max="12032" width="10.125" style="1"/>
    <col min="12033" max="12033" width="3.125" style="1" customWidth="1"/>
    <col min="12034" max="12034" width="30.875" style="1" customWidth="1"/>
    <col min="12035" max="12035" width="5.75" style="1" customWidth="1"/>
    <col min="12036" max="12036" width="1.75" style="1" customWidth="1"/>
    <col min="12037" max="12037" width="10" style="1" customWidth="1"/>
    <col min="12038" max="12038" width="7" style="1" bestFit="1" customWidth="1"/>
    <col min="12039" max="12039" width="8.125" style="1" bestFit="1" customWidth="1"/>
    <col min="12040" max="12040" width="9.375" style="1" customWidth="1"/>
    <col min="12041" max="12041" width="4.375" style="1" customWidth="1"/>
    <col min="12042" max="12044" width="10.125" style="1"/>
    <col min="12045" max="12045" width="72.75" style="1" customWidth="1"/>
    <col min="12046" max="12288" width="10.125" style="1"/>
    <col min="12289" max="12289" width="3.125" style="1" customWidth="1"/>
    <col min="12290" max="12290" width="30.875" style="1" customWidth="1"/>
    <col min="12291" max="12291" width="5.75" style="1" customWidth="1"/>
    <col min="12292" max="12292" width="1.75" style="1" customWidth="1"/>
    <col min="12293" max="12293" width="10" style="1" customWidth="1"/>
    <col min="12294" max="12294" width="7" style="1" bestFit="1" customWidth="1"/>
    <col min="12295" max="12295" width="8.125" style="1" bestFit="1" customWidth="1"/>
    <col min="12296" max="12296" width="9.375" style="1" customWidth="1"/>
    <col min="12297" max="12297" width="4.375" style="1" customWidth="1"/>
    <col min="12298" max="12300" width="10.125" style="1"/>
    <col min="12301" max="12301" width="72.75" style="1" customWidth="1"/>
    <col min="12302" max="12544" width="10.125" style="1"/>
    <col min="12545" max="12545" width="3.125" style="1" customWidth="1"/>
    <col min="12546" max="12546" width="30.875" style="1" customWidth="1"/>
    <col min="12547" max="12547" width="5.75" style="1" customWidth="1"/>
    <col min="12548" max="12548" width="1.75" style="1" customWidth="1"/>
    <col min="12549" max="12549" width="10" style="1" customWidth="1"/>
    <col min="12550" max="12550" width="7" style="1" bestFit="1" customWidth="1"/>
    <col min="12551" max="12551" width="8.125" style="1" bestFit="1" customWidth="1"/>
    <col min="12552" max="12552" width="9.375" style="1" customWidth="1"/>
    <col min="12553" max="12553" width="4.375" style="1" customWidth="1"/>
    <col min="12554" max="12556" width="10.125" style="1"/>
    <col min="12557" max="12557" width="72.75" style="1" customWidth="1"/>
    <col min="12558" max="12800" width="10.125" style="1"/>
    <col min="12801" max="12801" width="3.125" style="1" customWidth="1"/>
    <col min="12802" max="12802" width="30.875" style="1" customWidth="1"/>
    <col min="12803" max="12803" width="5.75" style="1" customWidth="1"/>
    <col min="12804" max="12804" width="1.75" style="1" customWidth="1"/>
    <col min="12805" max="12805" width="10" style="1" customWidth="1"/>
    <col min="12806" max="12806" width="7" style="1" bestFit="1" customWidth="1"/>
    <col min="12807" max="12807" width="8.125" style="1" bestFit="1" customWidth="1"/>
    <col min="12808" max="12808" width="9.375" style="1" customWidth="1"/>
    <col min="12809" max="12809" width="4.375" style="1" customWidth="1"/>
    <col min="12810" max="12812" width="10.125" style="1"/>
    <col min="12813" max="12813" width="72.75" style="1" customWidth="1"/>
    <col min="12814" max="13056" width="10.125" style="1"/>
    <col min="13057" max="13057" width="3.125" style="1" customWidth="1"/>
    <col min="13058" max="13058" width="30.875" style="1" customWidth="1"/>
    <col min="13059" max="13059" width="5.75" style="1" customWidth="1"/>
    <col min="13060" max="13060" width="1.75" style="1" customWidth="1"/>
    <col min="13061" max="13061" width="10" style="1" customWidth="1"/>
    <col min="13062" max="13062" width="7" style="1" bestFit="1" customWidth="1"/>
    <col min="13063" max="13063" width="8.125" style="1" bestFit="1" customWidth="1"/>
    <col min="13064" max="13064" width="9.375" style="1" customWidth="1"/>
    <col min="13065" max="13065" width="4.375" style="1" customWidth="1"/>
    <col min="13066" max="13068" width="10.125" style="1"/>
    <col min="13069" max="13069" width="72.75" style="1" customWidth="1"/>
    <col min="13070" max="13312" width="10.125" style="1"/>
    <col min="13313" max="13313" width="3.125" style="1" customWidth="1"/>
    <col min="13314" max="13314" width="30.875" style="1" customWidth="1"/>
    <col min="13315" max="13315" width="5.75" style="1" customWidth="1"/>
    <col min="13316" max="13316" width="1.75" style="1" customWidth="1"/>
    <col min="13317" max="13317" width="10" style="1" customWidth="1"/>
    <col min="13318" max="13318" width="7" style="1" bestFit="1" customWidth="1"/>
    <col min="13319" max="13319" width="8.125" style="1" bestFit="1" customWidth="1"/>
    <col min="13320" max="13320" width="9.375" style="1" customWidth="1"/>
    <col min="13321" max="13321" width="4.375" style="1" customWidth="1"/>
    <col min="13322" max="13324" width="10.125" style="1"/>
    <col min="13325" max="13325" width="72.75" style="1" customWidth="1"/>
    <col min="13326" max="13568" width="10.125" style="1"/>
    <col min="13569" max="13569" width="3.125" style="1" customWidth="1"/>
    <col min="13570" max="13570" width="30.875" style="1" customWidth="1"/>
    <col min="13571" max="13571" width="5.75" style="1" customWidth="1"/>
    <col min="13572" max="13572" width="1.75" style="1" customWidth="1"/>
    <col min="13573" max="13573" width="10" style="1" customWidth="1"/>
    <col min="13574" max="13574" width="7" style="1" bestFit="1" customWidth="1"/>
    <col min="13575" max="13575" width="8.125" style="1" bestFit="1" customWidth="1"/>
    <col min="13576" max="13576" width="9.375" style="1" customWidth="1"/>
    <col min="13577" max="13577" width="4.375" style="1" customWidth="1"/>
    <col min="13578" max="13580" width="10.125" style="1"/>
    <col min="13581" max="13581" width="72.75" style="1" customWidth="1"/>
    <col min="13582" max="13824" width="10.125" style="1"/>
    <col min="13825" max="13825" width="3.125" style="1" customWidth="1"/>
    <col min="13826" max="13826" width="30.875" style="1" customWidth="1"/>
    <col min="13827" max="13827" width="5.75" style="1" customWidth="1"/>
    <col min="13828" max="13828" width="1.75" style="1" customWidth="1"/>
    <col min="13829" max="13829" width="10" style="1" customWidth="1"/>
    <col min="13830" max="13830" width="7" style="1" bestFit="1" customWidth="1"/>
    <col min="13831" max="13831" width="8.125" style="1" bestFit="1" customWidth="1"/>
    <col min="13832" max="13832" width="9.375" style="1" customWidth="1"/>
    <col min="13833" max="13833" width="4.375" style="1" customWidth="1"/>
    <col min="13834" max="13836" width="10.125" style="1"/>
    <col min="13837" max="13837" width="72.75" style="1" customWidth="1"/>
    <col min="13838" max="14080" width="10.125" style="1"/>
    <col min="14081" max="14081" width="3.125" style="1" customWidth="1"/>
    <col min="14082" max="14082" width="30.875" style="1" customWidth="1"/>
    <col min="14083" max="14083" width="5.75" style="1" customWidth="1"/>
    <col min="14084" max="14084" width="1.75" style="1" customWidth="1"/>
    <col min="14085" max="14085" width="10" style="1" customWidth="1"/>
    <col min="14086" max="14086" width="7" style="1" bestFit="1" customWidth="1"/>
    <col min="14087" max="14087" width="8.125" style="1" bestFit="1" customWidth="1"/>
    <col min="14088" max="14088" width="9.375" style="1" customWidth="1"/>
    <col min="14089" max="14089" width="4.375" style="1" customWidth="1"/>
    <col min="14090" max="14092" width="10.125" style="1"/>
    <col min="14093" max="14093" width="72.75" style="1" customWidth="1"/>
    <col min="14094" max="14336" width="10.125" style="1"/>
    <col min="14337" max="14337" width="3.125" style="1" customWidth="1"/>
    <col min="14338" max="14338" width="30.875" style="1" customWidth="1"/>
    <col min="14339" max="14339" width="5.75" style="1" customWidth="1"/>
    <col min="14340" max="14340" width="1.75" style="1" customWidth="1"/>
    <col min="14341" max="14341" width="10" style="1" customWidth="1"/>
    <col min="14342" max="14342" width="7" style="1" bestFit="1" customWidth="1"/>
    <col min="14343" max="14343" width="8.125" style="1" bestFit="1" customWidth="1"/>
    <col min="14344" max="14344" width="9.375" style="1" customWidth="1"/>
    <col min="14345" max="14345" width="4.375" style="1" customWidth="1"/>
    <col min="14346" max="14348" width="10.125" style="1"/>
    <col min="14349" max="14349" width="72.75" style="1" customWidth="1"/>
    <col min="14350" max="14592" width="10.125" style="1"/>
    <col min="14593" max="14593" width="3.125" style="1" customWidth="1"/>
    <col min="14594" max="14594" width="30.875" style="1" customWidth="1"/>
    <col min="14595" max="14595" width="5.75" style="1" customWidth="1"/>
    <col min="14596" max="14596" width="1.75" style="1" customWidth="1"/>
    <col min="14597" max="14597" width="10" style="1" customWidth="1"/>
    <col min="14598" max="14598" width="7" style="1" bestFit="1" customWidth="1"/>
    <col min="14599" max="14599" width="8.125" style="1" bestFit="1" customWidth="1"/>
    <col min="14600" max="14600" width="9.375" style="1" customWidth="1"/>
    <col min="14601" max="14601" width="4.375" style="1" customWidth="1"/>
    <col min="14602" max="14604" width="10.125" style="1"/>
    <col min="14605" max="14605" width="72.75" style="1" customWidth="1"/>
    <col min="14606" max="14848" width="10.125" style="1"/>
    <col min="14849" max="14849" width="3.125" style="1" customWidth="1"/>
    <col min="14850" max="14850" width="30.875" style="1" customWidth="1"/>
    <col min="14851" max="14851" width="5.75" style="1" customWidth="1"/>
    <col min="14852" max="14852" width="1.75" style="1" customWidth="1"/>
    <col min="14853" max="14853" width="10" style="1" customWidth="1"/>
    <col min="14854" max="14854" width="7" style="1" bestFit="1" customWidth="1"/>
    <col min="14855" max="14855" width="8.125" style="1" bestFit="1" customWidth="1"/>
    <col min="14856" max="14856" width="9.375" style="1" customWidth="1"/>
    <col min="14857" max="14857" width="4.375" style="1" customWidth="1"/>
    <col min="14858" max="14860" width="10.125" style="1"/>
    <col min="14861" max="14861" width="72.75" style="1" customWidth="1"/>
    <col min="14862" max="15104" width="10.125" style="1"/>
    <col min="15105" max="15105" width="3.125" style="1" customWidth="1"/>
    <col min="15106" max="15106" width="30.875" style="1" customWidth="1"/>
    <col min="15107" max="15107" width="5.75" style="1" customWidth="1"/>
    <col min="15108" max="15108" width="1.75" style="1" customWidth="1"/>
    <col min="15109" max="15109" width="10" style="1" customWidth="1"/>
    <col min="15110" max="15110" width="7" style="1" bestFit="1" customWidth="1"/>
    <col min="15111" max="15111" width="8.125" style="1" bestFit="1" customWidth="1"/>
    <col min="15112" max="15112" width="9.375" style="1" customWidth="1"/>
    <col min="15113" max="15113" width="4.375" style="1" customWidth="1"/>
    <col min="15114" max="15116" width="10.125" style="1"/>
    <col min="15117" max="15117" width="72.75" style="1" customWidth="1"/>
    <col min="15118" max="15360" width="10.125" style="1"/>
    <col min="15361" max="15361" width="3.125" style="1" customWidth="1"/>
    <col min="15362" max="15362" width="30.875" style="1" customWidth="1"/>
    <col min="15363" max="15363" width="5.75" style="1" customWidth="1"/>
    <col min="15364" max="15364" width="1.75" style="1" customWidth="1"/>
    <col min="15365" max="15365" width="10" style="1" customWidth="1"/>
    <col min="15366" max="15366" width="7" style="1" bestFit="1" customWidth="1"/>
    <col min="15367" max="15367" width="8.125" style="1" bestFit="1" customWidth="1"/>
    <col min="15368" max="15368" width="9.375" style="1" customWidth="1"/>
    <col min="15369" max="15369" width="4.375" style="1" customWidth="1"/>
    <col min="15370" max="15372" width="10.125" style="1"/>
    <col min="15373" max="15373" width="72.75" style="1" customWidth="1"/>
    <col min="15374" max="15616" width="10.125" style="1"/>
    <col min="15617" max="15617" width="3.125" style="1" customWidth="1"/>
    <col min="15618" max="15618" width="30.875" style="1" customWidth="1"/>
    <col min="15619" max="15619" width="5.75" style="1" customWidth="1"/>
    <col min="15620" max="15620" width="1.75" style="1" customWidth="1"/>
    <col min="15621" max="15621" width="10" style="1" customWidth="1"/>
    <col min="15622" max="15622" width="7" style="1" bestFit="1" customWidth="1"/>
    <col min="15623" max="15623" width="8.125" style="1" bestFit="1" customWidth="1"/>
    <col min="15624" max="15624" width="9.375" style="1" customWidth="1"/>
    <col min="15625" max="15625" width="4.375" style="1" customWidth="1"/>
    <col min="15626" max="15628" width="10.125" style="1"/>
    <col min="15629" max="15629" width="72.75" style="1" customWidth="1"/>
    <col min="15630" max="15872" width="10.125" style="1"/>
    <col min="15873" max="15873" width="3.125" style="1" customWidth="1"/>
    <col min="15874" max="15874" width="30.875" style="1" customWidth="1"/>
    <col min="15875" max="15875" width="5.75" style="1" customWidth="1"/>
    <col min="15876" max="15876" width="1.75" style="1" customWidth="1"/>
    <col min="15877" max="15877" width="10" style="1" customWidth="1"/>
    <col min="15878" max="15878" width="7" style="1" bestFit="1" customWidth="1"/>
    <col min="15879" max="15879" width="8.125" style="1" bestFit="1" customWidth="1"/>
    <col min="15880" max="15880" width="9.375" style="1" customWidth="1"/>
    <col min="15881" max="15881" width="4.375" style="1" customWidth="1"/>
    <col min="15882" max="15884" width="10.125" style="1"/>
    <col min="15885" max="15885" width="72.75" style="1" customWidth="1"/>
    <col min="15886" max="16128" width="10.125" style="1"/>
    <col min="16129" max="16129" width="3.125" style="1" customWidth="1"/>
    <col min="16130" max="16130" width="30.875" style="1" customWidth="1"/>
    <col min="16131" max="16131" width="5.75" style="1" customWidth="1"/>
    <col min="16132" max="16132" width="1.75" style="1" customWidth="1"/>
    <col min="16133" max="16133" width="10" style="1" customWidth="1"/>
    <col min="16134" max="16134" width="7" style="1" bestFit="1" customWidth="1"/>
    <col min="16135" max="16135" width="8.125" style="1" bestFit="1" customWidth="1"/>
    <col min="16136" max="16136" width="9.375" style="1" customWidth="1"/>
    <col min="16137" max="16137" width="4.375" style="1" customWidth="1"/>
    <col min="16138" max="16140" width="10.125" style="1"/>
    <col min="16141" max="16141" width="72.75" style="1" customWidth="1"/>
    <col min="16142" max="16384" width="10.125" style="1"/>
  </cols>
  <sheetData>
    <row r="1" spans="1:8" x14ac:dyDescent="0.25">
      <c r="F1" s="3"/>
    </row>
    <row r="5" spans="1:8" x14ac:dyDescent="0.25">
      <c r="A5" s="4" t="s">
        <v>0</v>
      </c>
      <c r="B5" s="5"/>
      <c r="C5" s="5"/>
    </row>
    <row r="6" spans="1:8" ht="9" customHeight="1" x14ac:dyDescent="0.25">
      <c r="A6" s="4"/>
      <c r="B6" s="5"/>
      <c r="C6" s="5"/>
    </row>
    <row r="7" spans="1:8" s="7" customFormat="1" ht="15" x14ac:dyDescent="0.25">
      <c r="A7" s="7" t="s">
        <v>1</v>
      </c>
      <c r="B7" s="8"/>
      <c r="D7" s="9"/>
      <c r="E7" s="131" t="s">
        <v>2</v>
      </c>
      <c r="F7" s="132"/>
      <c r="G7" s="133">
        <v>45405</v>
      </c>
      <c r="H7" s="134"/>
    </row>
    <row r="8" spans="1:8" s="7" customFormat="1" ht="15" x14ac:dyDescent="0.25">
      <c r="A8" s="7" t="s">
        <v>53</v>
      </c>
      <c r="B8" s="8"/>
      <c r="D8" s="9"/>
      <c r="E8" s="135" t="s">
        <v>3</v>
      </c>
      <c r="F8" s="136"/>
      <c r="H8" s="11">
        <v>60431</v>
      </c>
    </row>
    <row r="9" spans="1:8" s="7" customFormat="1" ht="15" x14ac:dyDescent="0.25">
      <c r="A9" s="7" t="s">
        <v>54</v>
      </c>
      <c r="B9" s="8"/>
      <c r="D9" s="9"/>
      <c r="E9" s="135" t="s">
        <v>4</v>
      </c>
      <c r="F9" s="136"/>
      <c r="G9" s="137" t="s">
        <v>56</v>
      </c>
      <c r="H9" s="138"/>
    </row>
    <row r="10" spans="1:8" s="7" customFormat="1" ht="15" x14ac:dyDescent="0.25">
      <c r="B10" s="8"/>
      <c r="D10" s="9"/>
      <c r="E10" s="13" t="s">
        <v>5</v>
      </c>
      <c r="F10" s="14"/>
      <c r="G10" s="139">
        <f>+G7</f>
        <v>45405</v>
      </c>
      <c r="H10" s="140"/>
    </row>
    <row r="11" spans="1:8" s="7" customFormat="1" ht="15" x14ac:dyDescent="0.25">
      <c r="A11" s="15" t="s">
        <v>55</v>
      </c>
      <c r="B11" s="8"/>
      <c r="D11" s="9"/>
      <c r="E11" s="10" t="s">
        <v>6</v>
      </c>
      <c r="F11" s="125" t="s">
        <v>7</v>
      </c>
      <c r="G11" s="125"/>
      <c r="H11" s="126"/>
    </row>
    <row r="12" spans="1:8" s="7" customFormat="1" ht="15" x14ac:dyDescent="0.25">
      <c r="A12" s="15"/>
      <c r="B12" s="8"/>
      <c r="D12" s="9"/>
      <c r="E12" s="13" t="s">
        <v>8</v>
      </c>
      <c r="F12" s="127" t="s">
        <v>9</v>
      </c>
      <c r="G12" s="127"/>
      <c r="H12" s="128"/>
    </row>
    <row r="13" spans="1:8" s="7" customFormat="1" ht="15" x14ac:dyDescent="0.25">
      <c r="D13" s="9"/>
      <c r="E13" s="17"/>
      <c r="F13" s="18"/>
    </row>
    <row r="14" spans="1:8" s="15" customFormat="1" ht="14.25" x14ac:dyDescent="0.2"/>
    <row r="15" spans="1:8" s="15" customFormat="1" ht="14.25" x14ac:dyDescent="0.2"/>
    <row r="16" spans="1:8" s="15" customFormat="1" ht="14.25" x14ac:dyDescent="0.2"/>
    <row r="17" spans="1:11" s="15" customFormat="1" ht="14.25" x14ac:dyDescent="0.2"/>
    <row r="18" spans="1:11" s="15" customFormat="1" ht="14.25" x14ac:dyDescent="0.2">
      <c r="A18" s="129" t="s">
        <v>10</v>
      </c>
      <c r="B18" s="129"/>
      <c r="C18" s="129"/>
      <c r="D18" s="129"/>
      <c r="E18" s="129"/>
      <c r="F18" s="129"/>
      <c r="G18" s="129"/>
      <c r="H18" s="129"/>
    </row>
    <row r="19" spans="1:11" s="15" customFormat="1" ht="14.25" x14ac:dyDescent="0.2">
      <c r="A19" s="19"/>
      <c r="B19" s="19"/>
      <c r="C19" s="19"/>
      <c r="D19" s="19"/>
      <c r="E19" s="19"/>
      <c r="F19" s="19"/>
      <c r="G19" s="19"/>
      <c r="H19" s="19"/>
    </row>
    <row r="20" spans="1:11" s="7" customFormat="1" ht="15" x14ac:dyDescent="0.25">
      <c r="D20" s="9"/>
      <c r="E20" s="17"/>
      <c r="F20" s="18"/>
    </row>
    <row r="21" spans="1:11" s="7" customFormat="1" ht="15" x14ac:dyDescent="0.25">
      <c r="A21" s="7" t="s">
        <v>11</v>
      </c>
      <c r="B21" s="8"/>
      <c r="D21" s="9"/>
      <c r="E21" s="17"/>
      <c r="F21" s="18"/>
    </row>
    <row r="22" spans="1:11" s="7" customFormat="1" ht="15" x14ac:dyDescent="0.25">
      <c r="A22" s="7" t="s">
        <v>12</v>
      </c>
      <c r="D22" s="9"/>
      <c r="E22" s="9"/>
      <c r="F22" s="17"/>
      <c r="G22" s="9"/>
    </row>
    <row r="23" spans="1:11" s="7" customFormat="1" ht="15" x14ac:dyDescent="0.25">
      <c r="A23" s="20" t="s">
        <v>13</v>
      </c>
      <c r="B23" s="21"/>
      <c r="C23" s="20"/>
      <c r="D23" s="9"/>
      <c r="E23" s="9" t="s">
        <v>14</v>
      </c>
      <c r="F23" s="17" t="s">
        <v>15</v>
      </c>
      <c r="G23" s="9" t="s">
        <v>16</v>
      </c>
      <c r="H23" s="17" t="s">
        <v>17</v>
      </c>
    </row>
    <row r="24" spans="1:11" s="7" customFormat="1" ht="15" x14ac:dyDescent="0.25">
      <c r="A24" s="22" t="s">
        <v>18</v>
      </c>
      <c r="B24" s="23"/>
      <c r="C24" s="22"/>
      <c r="D24" s="24"/>
      <c r="E24" s="16" t="s">
        <v>19</v>
      </c>
      <c r="F24" s="16"/>
      <c r="G24" s="25" t="s">
        <v>20</v>
      </c>
      <c r="H24" s="22"/>
    </row>
    <row r="25" spans="1:11" s="7" customFormat="1" ht="15" x14ac:dyDescent="0.25">
      <c r="A25" s="7">
        <v>24</v>
      </c>
      <c r="B25" s="7" t="s">
        <v>30</v>
      </c>
      <c r="E25" s="40">
        <v>60596</v>
      </c>
      <c r="F25" s="26" t="s">
        <v>21</v>
      </c>
      <c r="G25" s="64" t="s">
        <v>60</v>
      </c>
      <c r="H25" s="41">
        <f>0.5/10*1320</f>
        <v>66</v>
      </c>
    </row>
    <row r="26" spans="1:11" s="7" customFormat="1" ht="15" x14ac:dyDescent="0.25">
      <c r="B26" s="7" t="s">
        <v>31</v>
      </c>
      <c r="C26" s="12">
        <v>2021</v>
      </c>
      <c r="D26" s="40"/>
      <c r="E26" s="17"/>
      <c r="F26" s="9"/>
      <c r="G26" s="42"/>
    </row>
    <row r="27" spans="1:11" s="7" customFormat="1" ht="15" x14ac:dyDescent="0.25">
      <c r="B27" s="7" t="s">
        <v>59</v>
      </c>
      <c r="C27" s="12"/>
      <c r="D27" s="40"/>
      <c r="E27" s="17"/>
      <c r="F27" s="9"/>
      <c r="G27" s="42"/>
    </row>
    <row r="28" spans="1:11" s="7" customFormat="1" ht="15" x14ac:dyDescent="0.25">
      <c r="C28" s="12"/>
      <c r="D28" s="40"/>
      <c r="E28" s="17"/>
      <c r="F28" s="9"/>
      <c r="G28" s="42"/>
    </row>
    <row r="29" spans="1:11" s="7" customFormat="1" ht="15" x14ac:dyDescent="0.25">
      <c r="A29" s="7">
        <v>24</v>
      </c>
      <c r="B29" s="7" t="s">
        <v>58</v>
      </c>
      <c r="C29" s="12">
        <v>2021</v>
      </c>
      <c r="E29" s="26">
        <v>32730.58</v>
      </c>
      <c r="F29" s="17" t="s">
        <v>21</v>
      </c>
      <c r="G29" s="27">
        <v>0.1</v>
      </c>
      <c r="H29" s="28">
        <f>+G29*977</f>
        <v>97.7</v>
      </c>
    </row>
    <row r="30" spans="1:11" s="7" customFormat="1" ht="15" x14ac:dyDescent="0.25">
      <c r="C30" s="12"/>
      <c r="E30" s="26"/>
      <c r="F30" s="17"/>
      <c r="G30" s="27"/>
      <c r="H30" s="28"/>
    </row>
    <row r="31" spans="1:11" s="7" customFormat="1" ht="15" x14ac:dyDescent="0.25">
      <c r="A31" s="7">
        <v>25</v>
      </c>
      <c r="B31" s="63" t="s">
        <v>57</v>
      </c>
      <c r="C31" s="63">
        <v>2021</v>
      </c>
      <c r="D31" s="63"/>
      <c r="E31" s="26">
        <v>140239.26999999999</v>
      </c>
      <c r="F31" s="17" t="s">
        <v>22</v>
      </c>
      <c r="G31" s="27">
        <v>0.6</v>
      </c>
      <c r="H31" s="28">
        <f>+G31*444</f>
        <v>266.39999999999998</v>
      </c>
      <c r="I31" s="29"/>
      <c r="J31" s="26"/>
      <c r="K31" s="26"/>
    </row>
    <row r="32" spans="1:11" s="7" customFormat="1" ht="15" x14ac:dyDescent="0.25">
      <c r="B32" s="63" t="s">
        <v>59</v>
      </c>
      <c r="C32" s="63"/>
      <c r="D32" s="63"/>
      <c r="E32" s="26"/>
      <c r="F32" s="17"/>
      <c r="G32" s="27"/>
      <c r="H32" s="28"/>
      <c r="I32" s="29"/>
      <c r="J32" s="26"/>
      <c r="K32" s="26"/>
    </row>
    <row r="33" spans="1:12" s="7" customFormat="1" ht="15" x14ac:dyDescent="0.25">
      <c r="C33" s="12"/>
      <c r="E33" s="9"/>
      <c r="F33" s="17"/>
      <c r="G33" s="30"/>
      <c r="H33" s="28"/>
    </row>
    <row r="34" spans="1:12" s="7" customFormat="1" ht="15" x14ac:dyDescent="0.25">
      <c r="A34" s="7">
        <v>16</v>
      </c>
      <c r="B34" s="7" t="s">
        <v>23</v>
      </c>
      <c r="E34" s="26">
        <f>SUM(H25:H31)*0.12</f>
        <v>51.611999999999995</v>
      </c>
      <c r="F34" s="17"/>
      <c r="G34" s="30"/>
      <c r="H34" s="28">
        <v>0</v>
      </c>
    </row>
    <row r="35" spans="1:12" s="7" customFormat="1" ht="15" x14ac:dyDescent="0.25">
      <c r="B35" s="7" t="s">
        <v>24</v>
      </c>
      <c r="E35" s="24"/>
      <c r="F35" s="16"/>
      <c r="G35" s="31"/>
      <c r="H35" s="32"/>
      <c r="J35" s="28"/>
    </row>
    <row r="36" spans="1:12" s="7" customFormat="1" ht="15" x14ac:dyDescent="0.25">
      <c r="A36" s="8"/>
      <c r="B36" s="8"/>
      <c r="E36" s="7" t="s">
        <v>25</v>
      </c>
      <c r="F36" s="8"/>
      <c r="G36" s="30"/>
      <c r="H36" s="28">
        <f>SUM(H25:H35)</f>
        <v>430.09999999999997</v>
      </c>
      <c r="J36" s="28"/>
      <c r="K36" s="28"/>
      <c r="L36" s="28"/>
    </row>
    <row r="37" spans="1:12" s="7" customFormat="1" ht="15" x14ac:dyDescent="0.25">
      <c r="E37" s="33" t="s">
        <v>26</v>
      </c>
      <c r="F37" s="8"/>
      <c r="G37" s="30"/>
      <c r="H37" s="28">
        <f>+H36*0.19</f>
        <v>81.718999999999994</v>
      </c>
    </row>
    <row r="38" spans="1:12" s="7" customFormat="1" thickBot="1" x14ac:dyDescent="0.3">
      <c r="E38" s="34" t="s">
        <v>27</v>
      </c>
      <c r="F38" s="35"/>
      <c r="G38" s="36"/>
      <c r="H38" s="37">
        <f>SUM(H36:H37)</f>
        <v>511.81899999999996</v>
      </c>
    </row>
    <row r="39" spans="1:12" s="7" customFormat="1" ht="7.5" customHeight="1" thickTop="1" x14ac:dyDescent="0.25">
      <c r="E39" s="38"/>
      <c r="F39" s="17"/>
      <c r="G39" s="30"/>
      <c r="H39" s="28"/>
    </row>
    <row r="40" spans="1:12" s="7" customFormat="1" ht="15" x14ac:dyDescent="0.25">
      <c r="A40" s="7" t="s">
        <v>28</v>
      </c>
      <c r="B40" s="8"/>
      <c r="D40" s="9"/>
      <c r="E40" s="17"/>
      <c r="F40" s="18"/>
      <c r="G40" s="39"/>
    </row>
    <row r="41" spans="1:12" s="7" customFormat="1" ht="15" x14ac:dyDescent="0.25">
      <c r="D41" s="9"/>
      <c r="E41" s="17"/>
      <c r="F41" s="18"/>
      <c r="G41" s="30"/>
    </row>
    <row r="42" spans="1:12" s="7" customFormat="1" ht="15" x14ac:dyDescent="0.25">
      <c r="D42" s="9"/>
      <c r="E42" s="17"/>
      <c r="F42" s="18"/>
      <c r="G42" s="30"/>
    </row>
    <row r="43" spans="1:12" s="7" customFormat="1" ht="15" x14ac:dyDescent="0.25">
      <c r="D43" s="9"/>
      <c r="E43" s="17"/>
      <c r="F43" s="18"/>
      <c r="G43" s="30"/>
    </row>
    <row r="44" spans="1:12" s="7" customFormat="1" ht="15" x14ac:dyDescent="0.25">
      <c r="B44" s="23"/>
      <c r="D44" s="9"/>
      <c r="E44" s="17"/>
      <c r="F44" s="18"/>
      <c r="G44" s="30"/>
    </row>
    <row r="45" spans="1:12" x14ac:dyDescent="0.25">
      <c r="A45" s="7"/>
      <c r="B45" s="7"/>
      <c r="C45" s="7"/>
      <c r="D45" s="9"/>
      <c r="E45" s="17"/>
      <c r="F45" s="18"/>
      <c r="G45" s="30"/>
      <c r="H45" s="7"/>
    </row>
    <row r="46" spans="1:12" s="7" customFormat="1" x14ac:dyDescent="0.25">
      <c r="A46" s="1"/>
      <c r="B46" s="1"/>
      <c r="C46" s="1"/>
      <c r="D46" s="2"/>
      <c r="E46" s="3"/>
      <c r="F46" s="6"/>
      <c r="G46" s="1"/>
      <c r="H46" s="1"/>
    </row>
    <row r="47" spans="1:12" s="7" customFormat="1" ht="15" x14ac:dyDescent="0.25">
      <c r="D47" s="9"/>
      <c r="E47" s="17"/>
      <c r="F47" s="18"/>
      <c r="G47" s="30"/>
    </row>
    <row r="48" spans="1:12" s="7" customFormat="1" ht="15" x14ac:dyDescent="0.25">
      <c r="D48" s="9"/>
      <c r="E48" s="17"/>
      <c r="F48" s="18"/>
      <c r="G48" s="30"/>
    </row>
    <row r="49" spans="1:8" x14ac:dyDescent="0.25">
      <c r="A49" s="130" t="s">
        <v>29</v>
      </c>
      <c r="B49" s="130"/>
      <c r="C49" s="130"/>
      <c r="D49" s="130"/>
      <c r="E49" s="130"/>
      <c r="F49" s="130"/>
      <c r="G49" s="130"/>
      <c r="H49" s="130"/>
    </row>
  </sheetData>
  <mergeCells count="10">
    <mergeCell ref="F11:H11"/>
    <mergeCell ref="F12:H12"/>
    <mergeCell ref="A18:H18"/>
    <mergeCell ref="A49:H49"/>
    <mergeCell ref="E7:F7"/>
    <mergeCell ref="G7:H7"/>
    <mergeCell ref="E8:F8"/>
    <mergeCell ref="E9:F9"/>
    <mergeCell ref="G9:H9"/>
    <mergeCell ref="G10:H10"/>
  </mergeCells>
  <printOptions horizontalCentered="1"/>
  <pageMargins left="0.78740157480314965" right="0.59055118110236227" top="0.98425196850393704" bottom="0.98425196850393704" header="0.51181102362204722" footer="0.51181102362204722"/>
  <pageSetup paperSize="9" orientation="portrait" horizontalDpi="300" verticalDpi="300" r:id="rId1"/>
  <headerFooter alignWithMargins="0">
    <oddHeader>&amp;C&amp;"Times New Roman,Standard"&amp;16Hartmut Ahting
Steuerberater
Diplom-Wirtschaftsingenieur</oddHeader>
    <oddFooter>&amp;L&amp;"Times New Roman,Standard"Heerstrasse 50
60488 Frankfurt
&amp;C&amp;"Times New Roman,Standard"Deutsche Bank
BLZ 500 700 24
Konto 409 28 62&amp;R&amp;"Times New Roman,Standard"Tel:      069 / 788 031-71
Fax:     069 / 788 031-72
Mobil:  0174 / 326 99 58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10DDA-35B3-464F-9B68-DA5010A84E08}">
  <dimension ref="A1:L49"/>
  <sheetViews>
    <sheetView topLeftCell="A28" workbookViewId="0">
      <selection activeCell="H32" sqref="H32"/>
    </sheetView>
  </sheetViews>
  <sheetFormatPr baseColWidth="10" defaultColWidth="10.125" defaultRowHeight="15.75" x14ac:dyDescent="0.25"/>
  <cols>
    <col min="1" max="1" width="3.125" style="1" customWidth="1"/>
    <col min="2" max="2" width="32.875" style="1" customWidth="1"/>
    <col min="3" max="3" width="5" style="1" customWidth="1"/>
    <col min="4" max="4" width="1.75" style="2" customWidth="1"/>
    <col min="5" max="5" width="10" style="3" customWidth="1"/>
    <col min="6" max="6" width="7" style="6" bestFit="1" customWidth="1"/>
    <col min="7" max="7" width="8.125" style="1" bestFit="1" customWidth="1"/>
    <col min="8" max="8" width="9.375" style="1" customWidth="1"/>
    <col min="9" max="9" width="4.375" style="1" customWidth="1"/>
    <col min="10" max="12" width="10.125" style="1" customWidth="1"/>
    <col min="13" max="13" width="72.75" style="1" customWidth="1"/>
    <col min="14" max="256" width="10.125" style="1"/>
    <col min="257" max="257" width="3.125" style="1" customWidth="1"/>
    <col min="258" max="258" width="30.875" style="1" customWidth="1"/>
    <col min="259" max="259" width="5.75" style="1" customWidth="1"/>
    <col min="260" max="260" width="1.75" style="1" customWidth="1"/>
    <col min="261" max="261" width="10" style="1" customWidth="1"/>
    <col min="262" max="262" width="7" style="1" bestFit="1" customWidth="1"/>
    <col min="263" max="263" width="8.125" style="1" bestFit="1" customWidth="1"/>
    <col min="264" max="264" width="9.375" style="1" customWidth="1"/>
    <col min="265" max="265" width="4.375" style="1" customWidth="1"/>
    <col min="266" max="268" width="10.125" style="1"/>
    <col min="269" max="269" width="72.75" style="1" customWidth="1"/>
    <col min="270" max="512" width="10.125" style="1"/>
    <col min="513" max="513" width="3.125" style="1" customWidth="1"/>
    <col min="514" max="514" width="30.875" style="1" customWidth="1"/>
    <col min="515" max="515" width="5.75" style="1" customWidth="1"/>
    <col min="516" max="516" width="1.75" style="1" customWidth="1"/>
    <col min="517" max="517" width="10" style="1" customWidth="1"/>
    <col min="518" max="518" width="7" style="1" bestFit="1" customWidth="1"/>
    <col min="519" max="519" width="8.125" style="1" bestFit="1" customWidth="1"/>
    <col min="520" max="520" width="9.375" style="1" customWidth="1"/>
    <col min="521" max="521" width="4.375" style="1" customWidth="1"/>
    <col min="522" max="524" width="10.125" style="1"/>
    <col min="525" max="525" width="72.75" style="1" customWidth="1"/>
    <col min="526" max="768" width="10.125" style="1"/>
    <col min="769" max="769" width="3.125" style="1" customWidth="1"/>
    <col min="770" max="770" width="30.875" style="1" customWidth="1"/>
    <col min="771" max="771" width="5.75" style="1" customWidth="1"/>
    <col min="772" max="772" width="1.75" style="1" customWidth="1"/>
    <col min="773" max="773" width="10" style="1" customWidth="1"/>
    <col min="774" max="774" width="7" style="1" bestFit="1" customWidth="1"/>
    <col min="775" max="775" width="8.125" style="1" bestFit="1" customWidth="1"/>
    <col min="776" max="776" width="9.375" style="1" customWidth="1"/>
    <col min="777" max="777" width="4.375" style="1" customWidth="1"/>
    <col min="778" max="780" width="10.125" style="1"/>
    <col min="781" max="781" width="72.75" style="1" customWidth="1"/>
    <col min="782" max="1024" width="10.125" style="1"/>
    <col min="1025" max="1025" width="3.125" style="1" customWidth="1"/>
    <col min="1026" max="1026" width="30.875" style="1" customWidth="1"/>
    <col min="1027" max="1027" width="5.75" style="1" customWidth="1"/>
    <col min="1028" max="1028" width="1.75" style="1" customWidth="1"/>
    <col min="1029" max="1029" width="10" style="1" customWidth="1"/>
    <col min="1030" max="1030" width="7" style="1" bestFit="1" customWidth="1"/>
    <col min="1031" max="1031" width="8.125" style="1" bestFit="1" customWidth="1"/>
    <col min="1032" max="1032" width="9.375" style="1" customWidth="1"/>
    <col min="1033" max="1033" width="4.375" style="1" customWidth="1"/>
    <col min="1034" max="1036" width="10.125" style="1"/>
    <col min="1037" max="1037" width="72.75" style="1" customWidth="1"/>
    <col min="1038" max="1280" width="10.125" style="1"/>
    <col min="1281" max="1281" width="3.125" style="1" customWidth="1"/>
    <col min="1282" max="1282" width="30.875" style="1" customWidth="1"/>
    <col min="1283" max="1283" width="5.75" style="1" customWidth="1"/>
    <col min="1284" max="1284" width="1.75" style="1" customWidth="1"/>
    <col min="1285" max="1285" width="10" style="1" customWidth="1"/>
    <col min="1286" max="1286" width="7" style="1" bestFit="1" customWidth="1"/>
    <col min="1287" max="1287" width="8.125" style="1" bestFit="1" customWidth="1"/>
    <col min="1288" max="1288" width="9.375" style="1" customWidth="1"/>
    <col min="1289" max="1289" width="4.375" style="1" customWidth="1"/>
    <col min="1290" max="1292" width="10.125" style="1"/>
    <col min="1293" max="1293" width="72.75" style="1" customWidth="1"/>
    <col min="1294" max="1536" width="10.125" style="1"/>
    <col min="1537" max="1537" width="3.125" style="1" customWidth="1"/>
    <col min="1538" max="1538" width="30.875" style="1" customWidth="1"/>
    <col min="1539" max="1539" width="5.75" style="1" customWidth="1"/>
    <col min="1540" max="1540" width="1.75" style="1" customWidth="1"/>
    <col min="1541" max="1541" width="10" style="1" customWidth="1"/>
    <col min="1542" max="1542" width="7" style="1" bestFit="1" customWidth="1"/>
    <col min="1543" max="1543" width="8.125" style="1" bestFit="1" customWidth="1"/>
    <col min="1544" max="1544" width="9.375" style="1" customWidth="1"/>
    <col min="1545" max="1545" width="4.375" style="1" customWidth="1"/>
    <col min="1546" max="1548" width="10.125" style="1"/>
    <col min="1549" max="1549" width="72.75" style="1" customWidth="1"/>
    <col min="1550" max="1792" width="10.125" style="1"/>
    <col min="1793" max="1793" width="3.125" style="1" customWidth="1"/>
    <col min="1794" max="1794" width="30.875" style="1" customWidth="1"/>
    <col min="1795" max="1795" width="5.75" style="1" customWidth="1"/>
    <col min="1796" max="1796" width="1.75" style="1" customWidth="1"/>
    <col min="1797" max="1797" width="10" style="1" customWidth="1"/>
    <col min="1798" max="1798" width="7" style="1" bestFit="1" customWidth="1"/>
    <col min="1799" max="1799" width="8.125" style="1" bestFit="1" customWidth="1"/>
    <col min="1800" max="1800" width="9.375" style="1" customWidth="1"/>
    <col min="1801" max="1801" width="4.375" style="1" customWidth="1"/>
    <col min="1802" max="1804" width="10.125" style="1"/>
    <col min="1805" max="1805" width="72.75" style="1" customWidth="1"/>
    <col min="1806" max="2048" width="10.125" style="1"/>
    <col min="2049" max="2049" width="3.125" style="1" customWidth="1"/>
    <col min="2050" max="2050" width="30.875" style="1" customWidth="1"/>
    <col min="2051" max="2051" width="5.75" style="1" customWidth="1"/>
    <col min="2052" max="2052" width="1.75" style="1" customWidth="1"/>
    <col min="2053" max="2053" width="10" style="1" customWidth="1"/>
    <col min="2054" max="2054" width="7" style="1" bestFit="1" customWidth="1"/>
    <col min="2055" max="2055" width="8.125" style="1" bestFit="1" customWidth="1"/>
    <col min="2056" max="2056" width="9.375" style="1" customWidth="1"/>
    <col min="2057" max="2057" width="4.375" style="1" customWidth="1"/>
    <col min="2058" max="2060" width="10.125" style="1"/>
    <col min="2061" max="2061" width="72.75" style="1" customWidth="1"/>
    <col min="2062" max="2304" width="10.125" style="1"/>
    <col min="2305" max="2305" width="3.125" style="1" customWidth="1"/>
    <col min="2306" max="2306" width="30.875" style="1" customWidth="1"/>
    <col min="2307" max="2307" width="5.75" style="1" customWidth="1"/>
    <col min="2308" max="2308" width="1.75" style="1" customWidth="1"/>
    <col min="2309" max="2309" width="10" style="1" customWidth="1"/>
    <col min="2310" max="2310" width="7" style="1" bestFit="1" customWidth="1"/>
    <col min="2311" max="2311" width="8.125" style="1" bestFit="1" customWidth="1"/>
    <col min="2312" max="2312" width="9.375" style="1" customWidth="1"/>
    <col min="2313" max="2313" width="4.375" style="1" customWidth="1"/>
    <col min="2314" max="2316" width="10.125" style="1"/>
    <col min="2317" max="2317" width="72.75" style="1" customWidth="1"/>
    <col min="2318" max="2560" width="10.125" style="1"/>
    <col min="2561" max="2561" width="3.125" style="1" customWidth="1"/>
    <col min="2562" max="2562" width="30.875" style="1" customWidth="1"/>
    <col min="2563" max="2563" width="5.75" style="1" customWidth="1"/>
    <col min="2564" max="2564" width="1.75" style="1" customWidth="1"/>
    <col min="2565" max="2565" width="10" style="1" customWidth="1"/>
    <col min="2566" max="2566" width="7" style="1" bestFit="1" customWidth="1"/>
    <col min="2567" max="2567" width="8.125" style="1" bestFit="1" customWidth="1"/>
    <col min="2568" max="2568" width="9.375" style="1" customWidth="1"/>
    <col min="2569" max="2569" width="4.375" style="1" customWidth="1"/>
    <col min="2570" max="2572" width="10.125" style="1"/>
    <col min="2573" max="2573" width="72.75" style="1" customWidth="1"/>
    <col min="2574" max="2816" width="10.125" style="1"/>
    <col min="2817" max="2817" width="3.125" style="1" customWidth="1"/>
    <col min="2818" max="2818" width="30.875" style="1" customWidth="1"/>
    <col min="2819" max="2819" width="5.75" style="1" customWidth="1"/>
    <col min="2820" max="2820" width="1.75" style="1" customWidth="1"/>
    <col min="2821" max="2821" width="10" style="1" customWidth="1"/>
    <col min="2822" max="2822" width="7" style="1" bestFit="1" customWidth="1"/>
    <col min="2823" max="2823" width="8.125" style="1" bestFit="1" customWidth="1"/>
    <col min="2824" max="2824" width="9.375" style="1" customWidth="1"/>
    <col min="2825" max="2825" width="4.375" style="1" customWidth="1"/>
    <col min="2826" max="2828" width="10.125" style="1"/>
    <col min="2829" max="2829" width="72.75" style="1" customWidth="1"/>
    <col min="2830" max="3072" width="10.125" style="1"/>
    <col min="3073" max="3073" width="3.125" style="1" customWidth="1"/>
    <col min="3074" max="3074" width="30.875" style="1" customWidth="1"/>
    <col min="3075" max="3075" width="5.75" style="1" customWidth="1"/>
    <col min="3076" max="3076" width="1.75" style="1" customWidth="1"/>
    <col min="3077" max="3077" width="10" style="1" customWidth="1"/>
    <col min="3078" max="3078" width="7" style="1" bestFit="1" customWidth="1"/>
    <col min="3079" max="3079" width="8.125" style="1" bestFit="1" customWidth="1"/>
    <col min="3080" max="3080" width="9.375" style="1" customWidth="1"/>
    <col min="3081" max="3081" width="4.375" style="1" customWidth="1"/>
    <col min="3082" max="3084" width="10.125" style="1"/>
    <col min="3085" max="3085" width="72.75" style="1" customWidth="1"/>
    <col min="3086" max="3328" width="10.125" style="1"/>
    <col min="3329" max="3329" width="3.125" style="1" customWidth="1"/>
    <col min="3330" max="3330" width="30.875" style="1" customWidth="1"/>
    <col min="3331" max="3331" width="5.75" style="1" customWidth="1"/>
    <col min="3332" max="3332" width="1.75" style="1" customWidth="1"/>
    <col min="3333" max="3333" width="10" style="1" customWidth="1"/>
    <col min="3334" max="3334" width="7" style="1" bestFit="1" customWidth="1"/>
    <col min="3335" max="3335" width="8.125" style="1" bestFit="1" customWidth="1"/>
    <col min="3336" max="3336" width="9.375" style="1" customWidth="1"/>
    <col min="3337" max="3337" width="4.375" style="1" customWidth="1"/>
    <col min="3338" max="3340" width="10.125" style="1"/>
    <col min="3341" max="3341" width="72.75" style="1" customWidth="1"/>
    <col min="3342" max="3584" width="10.125" style="1"/>
    <col min="3585" max="3585" width="3.125" style="1" customWidth="1"/>
    <col min="3586" max="3586" width="30.875" style="1" customWidth="1"/>
    <col min="3587" max="3587" width="5.75" style="1" customWidth="1"/>
    <col min="3588" max="3588" width="1.75" style="1" customWidth="1"/>
    <col min="3589" max="3589" width="10" style="1" customWidth="1"/>
    <col min="3590" max="3590" width="7" style="1" bestFit="1" customWidth="1"/>
    <col min="3591" max="3591" width="8.125" style="1" bestFit="1" customWidth="1"/>
    <col min="3592" max="3592" width="9.375" style="1" customWidth="1"/>
    <col min="3593" max="3593" width="4.375" style="1" customWidth="1"/>
    <col min="3594" max="3596" width="10.125" style="1"/>
    <col min="3597" max="3597" width="72.75" style="1" customWidth="1"/>
    <col min="3598" max="3840" width="10.125" style="1"/>
    <col min="3841" max="3841" width="3.125" style="1" customWidth="1"/>
    <col min="3842" max="3842" width="30.875" style="1" customWidth="1"/>
    <col min="3843" max="3843" width="5.75" style="1" customWidth="1"/>
    <col min="3844" max="3844" width="1.75" style="1" customWidth="1"/>
    <col min="3845" max="3845" width="10" style="1" customWidth="1"/>
    <col min="3846" max="3846" width="7" style="1" bestFit="1" customWidth="1"/>
    <col min="3847" max="3847" width="8.125" style="1" bestFit="1" customWidth="1"/>
    <col min="3848" max="3848" width="9.375" style="1" customWidth="1"/>
    <col min="3849" max="3849" width="4.375" style="1" customWidth="1"/>
    <col min="3850" max="3852" width="10.125" style="1"/>
    <col min="3853" max="3853" width="72.75" style="1" customWidth="1"/>
    <col min="3854" max="4096" width="10.125" style="1"/>
    <col min="4097" max="4097" width="3.125" style="1" customWidth="1"/>
    <col min="4098" max="4098" width="30.875" style="1" customWidth="1"/>
    <col min="4099" max="4099" width="5.75" style="1" customWidth="1"/>
    <col min="4100" max="4100" width="1.75" style="1" customWidth="1"/>
    <col min="4101" max="4101" width="10" style="1" customWidth="1"/>
    <col min="4102" max="4102" width="7" style="1" bestFit="1" customWidth="1"/>
    <col min="4103" max="4103" width="8.125" style="1" bestFit="1" customWidth="1"/>
    <col min="4104" max="4104" width="9.375" style="1" customWidth="1"/>
    <col min="4105" max="4105" width="4.375" style="1" customWidth="1"/>
    <col min="4106" max="4108" width="10.125" style="1"/>
    <col min="4109" max="4109" width="72.75" style="1" customWidth="1"/>
    <col min="4110" max="4352" width="10.125" style="1"/>
    <col min="4353" max="4353" width="3.125" style="1" customWidth="1"/>
    <col min="4354" max="4354" width="30.875" style="1" customWidth="1"/>
    <col min="4355" max="4355" width="5.75" style="1" customWidth="1"/>
    <col min="4356" max="4356" width="1.75" style="1" customWidth="1"/>
    <col min="4357" max="4357" width="10" style="1" customWidth="1"/>
    <col min="4358" max="4358" width="7" style="1" bestFit="1" customWidth="1"/>
    <col min="4359" max="4359" width="8.125" style="1" bestFit="1" customWidth="1"/>
    <col min="4360" max="4360" width="9.375" style="1" customWidth="1"/>
    <col min="4361" max="4361" width="4.375" style="1" customWidth="1"/>
    <col min="4362" max="4364" width="10.125" style="1"/>
    <col min="4365" max="4365" width="72.75" style="1" customWidth="1"/>
    <col min="4366" max="4608" width="10.125" style="1"/>
    <col min="4609" max="4609" width="3.125" style="1" customWidth="1"/>
    <col min="4610" max="4610" width="30.875" style="1" customWidth="1"/>
    <col min="4611" max="4611" width="5.75" style="1" customWidth="1"/>
    <col min="4612" max="4612" width="1.75" style="1" customWidth="1"/>
    <col min="4613" max="4613" width="10" style="1" customWidth="1"/>
    <col min="4614" max="4614" width="7" style="1" bestFit="1" customWidth="1"/>
    <col min="4615" max="4615" width="8.125" style="1" bestFit="1" customWidth="1"/>
    <col min="4616" max="4616" width="9.375" style="1" customWidth="1"/>
    <col min="4617" max="4617" width="4.375" style="1" customWidth="1"/>
    <col min="4618" max="4620" width="10.125" style="1"/>
    <col min="4621" max="4621" width="72.75" style="1" customWidth="1"/>
    <col min="4622" max="4864" width="10.125" style="1"/>
    <col min="4865" max="4865" width="3.125" style="1" customWidth="1"/>
    <col min="4866" max="4866" width="30.875" style="1" customWidth="1"/>
    <col min="4867" max="4867" width="5.75" style="1" customWidth="1"/>
    <col min="4868" max="4868" width="1.75" style="1" customWidth="1"/>
    <col min="4869" max="4869" width="10" style="1" customWidth="1"/>
    <col min="4870" max="4870" width="7" style="1" bestFit="1" customWidth="1"/>
    <col min="4871" max="4871" width="8.125" style="1" bestFit="1" customWidth="1"/>
    <col min="4872" max="4872" width="9.375" style="1" customWidth="1"/>
    <col min="4873" max="4873" width="4.375" style="1" customWidth="1"/>
    <col min="4874" max="4876" width="10.125" style="1"/>
    <col min="4877" max="4877" width="72.75" style="1" customWidth="1"/>
    <col min="4878" max="5120" width="10.125" style="1"/>
    <col min="5121" max="5121" width="3.125" style="1" customWidth="1"/>
    <col min="5122" max="5122" width="30.875" style="1" customWidth="1"/>
    <col min="5123" max="5123" width="5.75" style="1" customWidth="1"/>
    <col min="5124" max="5124" width="1.75" style="1" customWidth="1"/>
    <col min="5125" max="5125" width="10" style="1" customWidth="1"/>
    <col min="5126" max="5126" width="7" style="1" bestFit="1" customWidth="1"/>
    <col min="5127" max="5127" width="8.125" style="1" bestFit="1" customWidth="1"/>
    <col min="5128" max="5128" width="9.375" style="1" customWidth="1"/>
    <col min="5129" max="5129" width="4.375" style="1" customWidth="1"/>
    <col min="5130" max="5132" width="10.125" style="1"/>
    <col min="5133" max="5133" width="72.75" style="1" customWidth="1"/>
    <col min="5134" max="5376" width="10.125" style="1"/>
    <col min="5377" max="5377" width="3.125" style="1" customWidth="1"/>
    <col min="5378" max="5378" width="30.875" style="1" customWidth="1"/>
    <col min="5379" max="5379" width="5.75" style="1" customWidth="1"/>
    <col min="5380" max="5380" width="1.75" style="1" customWidth="1"/>
    <col min="5381" max="5381" width="10" style="1" customWidth="1"/>
    <col min="5382" max="5382" width="7" style="1" bestFit="1" customWidth="1"/>
    <col min="5383" max="5383" width="8.125" style="1" bestFit="1" customWidth="1"/>
    <col min="5384" max="5384" width="9.375" style="1" customWidth="1"/>
    <col min="5385" max="5385" width="4.375" style="1" customWidth="1"/>
    <col min="5386" max="5388" width="10.125" style="1"/>
    <col min="5389" max="5389" width="72.75" style="1" customWidth="1"/>
    <col min="5390" max="5632" width="10.125" style="1"/>
    <col min="5633" max="5633" width="3.125" style="1" customWidth="1"/>
    <col min="5634" max="5634" width="30.875" style="1" customWidth="1"/>
    <col min="5635" max="5635" width="5.75" style="1" customWidth="1"/>
    <col min="5636" max="5636" width="1.75" style="1" customWidth="1"/>
    <col min="5637" max="5637" width="10" style="1" customWidth="1"/>
    <col min="5638" max="5638" width="7" style="1" bestFit="1" customWidth="1"/>
    <col min="5639" max="5639" width="8.125" style="1" bestFit="1" customWidth="1"/>
    <col min="5640" max="5640" width="9.375" style="1" customWidth="1"/>
    <col min="5641" max="5641" width="4.375" style="1" customWidth="1"/>
    <col min="5642" max="5644" width="10.125" style="1"/>
    <col min="5645" max="5645" width="72.75" style="1" customWidth="1"/>
    <col min="5646" max="5888" width="10.125" style="1"/>
    <col min="5889" max="5889" width="3.125" style="1" customWidth="1"/>
    <col min="5890" max="5890" width="30.875" style="1" customWidth="1"/>
    <col min="5891" max="5891" width="5.75" style="1" customWidth="1"/>
    <col min="5892" max="5892" width="1.75" style="1" customWidth="1"/>
    <col min="5893" max="5893" width="10" style="1" customWidth="1"/>
    <col min="5894" max="5894" width="7" style="1" bestFit="1" customWidth="1"/>
    <col min="5895" max="5895" width="8.125" style="1" bestFit="1" customWidth="1"/>
    <col min="5896" max="5896" width="9.375" style="1" customWidth="1"/>
    <col min="5897" max="5897" width="4.375" style="1" customWidth="1"/>
    <col min="5898" max="5900" width="10.125" style="1"/>
    <col min="5901" max="5901" width="72.75" style="1" customWidth="1"/>
    <col min="5902" max="6144" width="10.125" style="1"/>
    <col min="6145" max="6145" width="3.125" style="1" customWidth="1"/>
    <col min="6146" max="6146" width="30.875" style="1" customWidth="1"/>
    <col min="6147" max="6147" width="5.75" style="1" customWidth="1"/>
    <col min="6148" max="6148" width="1.75" style="1" customWidth="1"/>
    <col min="6149" max="6149" width="10" style="1" customWidth="1"/>
    <col min="6150" max="6150" width="7" style="1" bestFit="1" customWidth="1"/>
    <col min="6151" max="6151" width="8.125" style="1" bestFit="1" customWidth="1"/>
    <col min="6152" max="6152" width="9.375" style="1" customWidth="1"/>
    <col min="6153" max="6153" width="4.375" style="1" customWidth="1"/>
    <col min="6154" max="6156" width="10.125" style="1"/>
    <col min="6157" max="6157" width="72.75" style="1" customWidth="1"/>
    <col min="6158" max="6400" width="10.125" style="1"/>
    <col min="6401" max="6401" width="3.125" style="1" customWidth="1"/>
    <col min="6402" max="6402" width="30.875" style="1" customWidth="1"/>
    <col min="6403" max="6403" width="5.75" style="1" customWidth="1"/>
    <col min="6404" max="6404" width="1.75" style="1" customWidth="1"/>
    <col min="6405" max="6405" width="10" style="1" customWidth="1"/>
    <col min="6406" max="6406" width="7" style="1" bestFit="1" customWidth="1"/>
    <col min="6407" max="6407" width="8.125" style="1" bestFit="1" customWidth="1"/>
    <col min="6408" max="6408" width="9.375" style="1" customWidth="1"/>
    <col min="6409" max="6409" width="4.375" style="1" customWidth="1"/>
    <col min="6410" max="6412" width="10.125" style="1"/>
    <col min="6413" max="6413" width="72.75" style="1" customWidth="1"/>
    <col min="6414" max="6656" width="10.125" style="1"/>
    <col min="6657" max="6657" width="3.125" style="1" customWidth="1"/>
    <col min="6658" max="6658" width="30.875" style="1" customWidth="1"/>
    <col min="6659" max="6659" width="5.75" style="1" customWidth="1"/>
    <col min="6660" max="6660" width="1.75" style="1" customWidth="1"/>
    <col min="6661" max="6661" width="10" style="1" customWidth="1"/>
    <col min="6662" max="6662" width="7" style="1" bestFit="1" customWidth="1"/>
    <col min="6663" max="6663" width="8.125" style="1" bestFit="1" customWidth="1"/>
    <col min="6664" max="6664" width="9.375" style="1" customWidth="1"/>
    <col min="6665" max="6665" width="4.375" style="1" customWidth="1"/>
    <col min="6666" max="6668" width="10.125" style="1"/>
    <col min="6669" max="6669" width="72.75" style="1" customWidth="1"/>
    <col min="6670" max="6912" width="10.125" style="1"/>
    <col min="6913" max="6913" width="3.125" style="1" customWidth="1"/>
    <col min="6914" max="6914" width="30.875" style="1" customWidth="1"/>
    <col min="6915" max="6915" width="5.75" style="1" customWidth="1"/>
    <col min="6916" max="6916" width="1.75" style="1" customWidth="1"/>
    <col min="6917" max="6917" width="10" style="1" customWidth="1"/>
    <col min="6918" max="6918" width="7" style="1" bestFit="1" customWidth="1"/>
    <col min="6919" max="6919" width="8.125" style="1" bestFit="1" customWidth="1"/>
    <col min="6920" max="6920" width="9.375" style="1" customWidth="1"/>
    <col min="6921" max="6921" width="4.375" style="1" customWidth="1"/>
    <col min="6922" max="6924" width="10.125" style="1"/>
    <col min="6925" max="6925" width="72.75" style="1" customWidth="1"/>
    <col min="6926" max="7168" width="10.125" style="1"/>
    <col min="7169" max="7169" width="3.125" style="1" customWidth="1"/>
    <col min="7170" max="7170" width="30.875" style="1" customWidth="1"/>
    <col min="7171" max="7171" width="5.75" style="1" customWidth="1"/>
    <col min="7172" max="7172" width="1.75" style="1" customWidth="1"/>
    <col min="7173" max="7173" width="10" style="1" customWidth="1"/>
    <col min="7174" max="7174" width="7" style="1" bestFit="1" customWidth="1"/>
    <col min="7175" max="7175" width="8.125" style="1" bestFit="1" customWidth="1"/>
    <col min="7176" max="7176" width="9.375" style="1" customWidth="1"/>
    <col min="7177" max="7177" width="4.375" style="1" customWidth="1"/>
    <col min="7178" max="7180" width="10.125" style="1"/>
    <col min="7181" max="7181" width="72.75" style="1" customWidth="1"/>
    <col min="7182" max="7424" width="10.125" style="1"/>
    <col min="7425" max="7425" width="3.125" style="1" customWidth="1"/>
    <col min="7426" max="7426" width="30.875" style="1" customWidth="1"/>
    <col min="7427" max="7427" width="5.75" style="1" customWidth="1"/>
    <col min="7428" max="7428" width="1.75" style="1" customWidth="1"/>
    <col min="7429" max="7429" width="10" style="1" customWidth="1"/>
    <col min="7430" max="7430" width="7" style="1" bestFit="1" customWidth="1"/>
    <col min="7431" max="7431" width="8.125" style="1" bestFit="1" customWidth="1"/>
    <col min="7432" max="7432" width="9.375" style="1" customWidth="1"/>
    <col min="7433" max="7433" width="4.375" style="1" customWidth="1"/>
    <col min="7434" max="7436" width="10.125" style="1"/>
    <col min="7437" max="7437" width="72.75" style="1" customWidth="1"/>
    <col min="7438" max="7680" width="10.125" style="1"/>
    <col min="7681" max="7681" width="3.125" style="1" customWidth="1"/>
    <col min="7682" max="7682" width="30.875" style="1" customWidth="1"/>
    <col min="7683" max="7683" width="5.75" style="1" customWidth="1"/>
    <col min="7684" max="7684" width="1.75" style="1" customWidth="1"/>
    <col min="7685" max="7685" width="10" style="1" customWidth="1"/>
    <col min="7686" max="7686" width="7" style="1" bestFit="1" customWidth="1"/>
    <col min="7687" max="7687" width="8.125" style="1" bestFit="1" customWidth="1"/>
    <col min="7688" max="7688" width="9.375" style="1" customWidth="1"/>
    <col min="7689" max="7689" width="4.375" style="1" customWidth="1"/>
    <col min="7690" max="7692" width="10.125" style="1"/>
    <col min="7693" max="7693" width="72.75" style="1" customWidth="1"/>
    <col min="7694" max="7936" width="10.125" style="1"/>
    <col min="7937" max="7937" width="3.125" style="1" customWidth="1"/>
    <col min="7938" max="7938" width="30.875" style="1" customWidth="1"/>
    <col min="7939" max="7939" width="5.75" style="1" customWidth="1"/>
    <col min="7940" max="7940" width="1.75" style="1" customWidth="1"/>
    <col min="7941" max="7941" width="10" style="1" customWidth="1"/>
    <col min="7942" max="7942" width="7" style="1" bestFit="1" customWidth="1"/>
    <col min="7943" max="7943" width="8.125" style="1" bestFit="1" customWidth="1"/>
    <col min="7944" max="7944" width="9.375" style="1" customWidth="1"/>
    <col min="7945" max="7945" width="4.375" style="1" customWidth="1"/>
    <col min="7946" max="7948" width="10.125" style="1"/>
    <col min="7949" max="7949" width="72.75" style="1" customWidth="1"/>
    <col min="7950" max="8192" width="10.125" style="1"/>
    <col min="8193" max="8193" width="3.125" style="1" customWidth="1"/>
    <col min="8194" max="8194" width="30.875" style="1" customWidth="1"/>
    <col min="8195" max="8195" width="5.75" style="1" customWidth="1"/>
    <col min="8196" max="8196" width="1.75" style="1" customWidth="1"/>
    <col min="8197" max="8197" width="10" style="1" customWidth="1"/>
    <col min="8198" max="8198" width="7" style="1" bestFit="1" customWidth="1"/>
    <col min="8199" max="8199" width="8.125" style="1" bestFit="1" customWidth="1"/>
    <col min="8200" max="8200" width="9.375" style="1" customWidth="1"/>
    <col min="8201" max="8201" width="4.375" style="1" customWidth="1"/>
    <col min="8202" max="8204" width="10.125" style="1"/>
    <col min="8205" max="8205" width="72.75" style="1" customWidth="1"/>
    <col min="8206" max="8448" width="10.125" style="1"/>
    <col min="8449" max="8449" width="3.125" style="1" customWidth="1"/>
    <col min="8450" max="8450" width="30.875" style="1" customWidth="1"/>
    <col min="8451" max="8451" width="5.75" style="1" customWidth="1"/>
    <col min="8452" max="8452" width="1.75" style="1" customWidth="1"/>
    <col min="8453" max="8453" width="10" style="1" customWidth="1"/>
    <col min="8454" max="8454" width="7" style="1" bestFit="1" customWidth="1"/>
    <col min="8455" max="8455" width="8.125" style="1" bestFit="1" customWidth="1"/>
    <col min="8456" max="8456" width="9.375" style="1" customWidth="1"/>
    <col min="8457" max="8457" width="4.375" style="1" customWidth="1"/>
    <col min="8458" max="8460" width="10.125" style="1"/>
    <col min="8461" max="8461" width="72.75" style="1" customWidth="1"/>
    <col min="8462" max="8704" width="10.125" style="1"/>
    <col min="8705" max="8705" width="3.125" style="1" customWidth="1"/>
    <col min="8706" max="8706" width="30.875" style="1" customWidth="1"/>
    <col min="8707" max="8707" width="5.75" style="1" customWidth="1"/>
    <col min="8708" max="8708" width="1.75" style="1" customWidth="1"/>
    <col min="8709" max="8709" width="10" style="1" customWidth="1"/>
    <col min="8710" max="8710" width="7" style="1" bestFit="1" customWidth="1"/>
    <col min="8711" max="8711" width="8.125" style="1" bestFit="1" customWidth="1"/>
    <col min="8712" max="8712" width="9.375" style="1" customWidth="1"/>
    <col min="8713" max="8713" width="4.375" style="1" customWidth="1"/>
    <col min="8714" max="8716" width="10.125" style="1"/>
    <col min="8717" max="8717" width="72.75" style="1" customWidth="1"/>
    <col min="8718" max="8960" width="10.125" style="1"/>
    <col min="8961" max="8961" width="3.125" style="1" customWidth="1"/>
    <col min="8962" max="8962" width="30.875" style="1" customWidth="1"/>
    <col min="8963" max="8963" width="5.75" style="1" customWidth="1"/>
    <col min="8964" max="8964" width="1.75" style="1" customWidth="1"/>
    <col min="8965" max="8965" width="10" style="1" customWidth="1"/>
    <col min="8966" max="8966" width="7" style="1" bestFit="1" customWidth="1"/>
    <col min="8967" max="8967" width="8.125" style="1" bestFit="1" customWidth="1"/>
    <col min="8968" max="8968" width="9.375" style="1" customWidth="1"/>
    <col min="8969" max="8969" width="4.375" style="1" customWidth="1"/>
    <col min="8970" max="8972" width="10.125" style="1"/>
    <col min="8973" max="8973" width="72.75" style="1" customWidth="1"/>
    <col min="8974" max="9216" width="10.125" style="1"/>
    <col min="9217" max="9217" width="3.125" style="1" customWidth="1"/>
    <col min="9218" max="9218" width="30.875" style="1" customWidth="1"/>
    <col min="9219" max="9219" width="5.75" style="1" customWidth="1"/>
    <col min="9220" max="9220" width="1.75" style="1" customWidth="1"/>
    <col min="9221" max="9221" width="10" style="1" customWidth="1"/>
    <col min="9222" max="9222" width="7" style="1" bestFit="1" customWidth="1"/>
    <col min="9223" max="9223" width="8.125" style="1" bestFit="1" customWidth="1"/>
    <col min="9224" max="9224" width="9.375" style="1" customWidth="1"/>
    <col min="9225" max="9225" width="4.375" style="1" customWidth="1"/>
    <col min="9226" max="9228" width="10.125" style="1"/>
    <col min="9229" max="9229" width="72.75" style="1" customWidth="1"/>
    <col min="9230" max="9472" width="10.125" style="1"/>
    <col min="9473" max="9473" width="3.125" style="1" customWidth="1"/>
    <col min="9474" max="9474" width="30.875" style="1" customWidth="1"/>
    <col min="9475" max="9475" width="5.75" style="1" customWidth="1"/>
    <col min="9476" max="9476" width="1.75" style="1" customWidth="1"/>
    <col min="9477" max="9477" width="10" style="1" customWidth="1"/>
    <col min="9478" max="9478" width="7" style="1" bestFit="1" customWidth="1"/>
    <col min="9479" max="9479" width="8.125" style="1" bestFit="1" customWidth="1"/>
    <col min="9480" max="9480" width="9.375" style="1" customWidth="1"/>
    <col min="9481" max="9481" width="4.375" style="1" customWidth="1"/>
    <col min="9482" max="9484" width="10.125" style="1"/>
    <col min="9485" max="9485" width="72.75" style="1" customWidth="1"/>
    <col min="9486" max="9728" width="10.125" style="1"/>
    <col min="9729" max="9729" width="3.125" style="1" customWidth="1"/>
    <col min="9730" max="9730" width="30.875" style="1" customWidth="1"/>
    <col min="9731" max="9731" width="5.75" style="1" customWidth="1"/>
    <col min="9732" max="9732" width="1.75" style="1" customWidth="1"/>
    <col min="9733" max="9733" width="10" style="1" customWidth="1"/>
    <col min="9734" max="9734" width="7" style="1" bestFit="1" customWidth="1"/>
    <col min="9735" max="9735" width="8.125" style="1" bestFit="1" customWidth="1"/>
    <col min="9736" max="9736" width="9.375" style="1" customWidth="1"/>
    <col min="9737" max="9737" width="4.375" style="1" customWidth="1"/>
    <col min="9738" max="9740" width="10.125" style="1"/>
    <col min="9741" max="9741" width="72.75" style="1" customWidth="1"/>
    <col min="9742" max="9984" width="10.125" style="1"/>
    <col min="9985" max="9985" width="3.125" style="1" customWidth="1"/>
    <col min="9986" max="9986" width="30.875" style="1" customWidth="1"/>
    <col min="9987" max="9987" width="5.75" style="1" customWidth="1"/>
    <col min="9988" max="9988" width="1.75" style="1" customWidth="1"/>
    <col min="9989" max="9989" width="10" style="1" customWidth="1"/>
    <col min="9990" max="9990" width="7" style="1" bestFit="1" customWidth="1"/>
    <col min="9991" max="9991" width="8.125" style="1" bestFit="1" customWidth="1"/>
    <col min="9992" max="9992" width="9.375" style="1" customWidth="1"/>
    <col min="9993" max="9993" width="4.375" style="1" customWidth="1"/>
    <col min="9994" max="9996" width="10.125" style="1"/>
    <col min="9997" max="9997" width="72.75" style="1" customWidth="1"/>
    <col min="9998" max="10240" width="10.125" style="1"/>
    <col min="10241" max="10241" width="3.125" style="1" customWidth="1"/>
    <col min="10242" max="10242" width="30.875" style="1" customWidth="1"/>
    <col min="10243" max="10243" width="5.75" style="1" customWidth="1"/>
    <col min="10244" max="10244" width="1.75" style="1" customWidth="1"/>
    <col min="10245" max="10245" width="10" style="1" customWidth="1"/>
    <col min="10246" max="10246" width="7" style="1" bestFit="1" customWidth="1"/>
    <col min="10247" max="10247" width="8.125" style="1" bestFit="1" customWidth="1"/>
    <col min="10248" max="10248" width="9.375" style="1" customWidth="1"/>
    <col min="10249" max="10249" width="4.375" style="1" customWidth="1"/>
    <col min="10250" max="10252" width="10.125" style="1"/>
    <col min="10253" max="10253" width="72.75" style="1" customWidth="1"/>
    <col min="10254" max="10496" width="10.125" style="1"/>
    <col min="10497" max="10497" width="3.125" style="1" customWidth="1"/>
    <col min="10498" max="10498" width="30.875" style="1" customWidth="1"/>
    <col min="10499" max="10499" width="5.75" style="1" customWidth="1"/>
    <col min="10500" max="10500" width="1.75" style="1" customWidth="1"/>
    <col min="10501" max="10501" width="10" style="1" customWidth="1"/>
    <col min="10502" max="10502" width="7" style="1" bestFit="1" customWidth="1"/>
    <col min="10503" max="10503" width="8.125" style="1" bestFit="1" customWidth="1"/>
    <col min="10504" max="10504" width="9.375" style="1" customWidth="1"/>
    <col min="10505" max="10505" width="4.375" style="1" customWidth="1"/>
    <col min="10506" max="10508" width="10.125" style="1"/>
    <col min="10509" max="10509" width="72.75" style="1" customWidth="1"/>
    <col min="10510" max="10752" width="10.125" style="1"/>
    <col min="10753" max="10753" width="3.125" style="1" customWidth="1"/>
    <col min="10754" max="10754" width="30.875" style="1" customWidth="1"/>
    <col min="10755" max="10755" width="5.75" style="1" customWidth="1"/>
    <col min="10756" max="10756" width="1.75" style="1" customWidth="1"/>
    <col min="10757" max="10757" width="10" style="1" customWidth="1"/>
    <col min="10758" max="10758" width="7" style="1" bestFit="1" customWidth="1"/>
    <col min="10759" max="10759" width="8.125" style="1" bestFit="1" customWidth="1"/>
    <col min="10760" max="10760" width="9.375" style="1" customWidth="1"/>
    <col min="10761" max="10761" width="4.375" style="1" customWidth="1"/>
    <col min="10762" max="10764" width="10.125" style="1"/>
    <col min="10765" max="10765" width="72.75" style="1" customWidth="1"/>
    <col min="10766" max="11008" width="10.125" style="1"/>
    <col min="11009" max="11009" width="3.125" style="1" customWidth="1"/>
    <col min="11010" max="11010" width="30.875" style="1" customWidth="1"/>
    <col min="11011" max="11011" width="5.75" style="1" customWidth="1"/>
    <col min="11012" max="11012" width="1.75" style="1" customWidth="1"/>
    <col min="11013" max="11013" width="10" style="1" customWidth="1"/>
    <col min="11014" max="11014" width="7" style="1" bestFit="1" customWidth="1"/>
    <col min="11015" max="11015" width="8.125" style="1" bestFit="1" customWidth="1"/>
    <col min="11016" max="11016" width="9.375" style="1" customWidth="1"/>
    <col min="11017" max="11017" width="4.375" style="1" customWidth="1"/>
    <col min="11018" max="11020" width="10.125" style="1"/>
    <col min="11021" max="11021" width="72.75" style="1" customWidth="1"/>
    <col min="11022" max="11264" width="10.125" style="1"/>
    <col min="11265" max="11265" width="3.125" style="1" customWidth="1"/>
    <col min="11266" max="11266" width="30.875" style="1" customWidth="1"/>
    <col min="11267" max="11267" width="5.75" style="1" customWidth="1"/>
    <col min="11268" max="11268" width="1.75" style="1" customWidth="1"/>
    <col min="11269" max="11269" width="10" style="1" customWidth="1"/>
    <col min="11270" max="11270" width="7" style="1" bestFit="1" customWidth="1"/>
    <col min="11271" max="11271" width="8.125" style="1" bestFit="1" customWidth="1"/>
    <col min="11272" max="11272" width="9.375" style="1" customWidth="1"/>
    <col min="11273" max="11273" width="4.375" style="1" customWidth="1"/>
    <col min="11274" max="11276" width="10.125" style="1"/>
    <col min="11277" max="11277" width="72.75" style="1" customWidth="1"/>
    <col min="11278" max="11520" width="10.125" style="1"/>
    <col min="11521" max="11521" width="3.125" style="1" customWidth="1"/>
    <col min="11522" max="11522" width="30.875" style="1" customWidth="1"/>
    <col min="11523" max="11523" width="5.75" style="1" customWidth="1"/>
    <col min="11524" max="11524" width="1.75" style="1" customWidth="1"/>
    <col min="11525" max="11525" width="10" style="1" customWidth="1"/>
    <col min="11526" max="11526" width="7" style="1" bestFit="1" customWidth="1"/>
    <col min="11527" max="11527" width="8.125" style="1" bestFit="1" customWidth="1"/>
    <col min="11528" max="11528" width="9.375" style="1" customWidth="1"/>
    <col min="11529" max="11529" width="4.375" style="1" customWidth="1"/>
    <col min="11530" max="11532" width="10.125" style="1"/>
    <col min="11533" max="11533" width="72.75" style="1" customWidth="1"/>
    <col min="11534" max="11776" width="10.125" style="1"/>
    <col min="11777" max="11777" width="3.125" style="1" customWidth="1"/>
    <col min="11778" max="11778" width="30.875" style="1" customWidth="1"/>
    <col min="11779" max="11779" width="5.75" style="1" customWidth="1"/>
    <col min="11780" max="11780" width="1.75" style="1" customWidth="1"/>
    <col min="11781" max="11781" width="10" style="1" customWidth="1"/>
    <col min="11782" max="11782" width="7" style="1" bestFit="1" customWidth="1"/>
    <col min="11783" max="11783" width="8.125" style="1" bestFit="1" customWidth="1"/>
    <col min="11784" max="11784" width="9.375" style="1" customWidth="1"/>
    <col min="11785" max="11785" width="4.375" style="1" customWidth="1"/>
    <col min="11786" max="11788" width="10.125" style="1"/>
    <col min="11789" max="11789" width="72.75" style="1" customWidth="1"/>
    <col min="11790" max="12032" width="10.125" style="1"/>
    <col min="12033" max="12033" width="3.125" style="1" customWidth="1"/>
    <col min="12034" max="12034" width="30.875" style="1" customWidth="1"/>
    <col min="12035" max="12035" width="5.75" style="1" customWidth="1"/>
    <col min="12036" max="12036" width="1.75" style="1" customWidth="1"/>
    <col min="12037" max="12037" width="10" style="1" customWidth="1"/>
    <col min="12038" max="12038" width="7" style="1" bestFit="1" customWidth="1"/>
    <col min="12039" max="12039" width="8.125" style="1" bestFit="1" customWidth="1"/>
    <col min="12040" max="12040" width="9.375" style="1" customWidth="1"/>
    <col min="12041" max="12041" width="4.375" style="1" customWidth="1"/>
    <col min="12042" max="12044" width="10.125" style="1"/>
    <col min="12045" max="12045" width="72.75" style="1" customWidth="1"/>
    <col min="12046" max="12288" width="10.125" style="1"/>
    <col min="12289" max="12289" width="3.125" style="1" customWidth="1"/>
    <col min="12290" max="12290" width="30.875" style="1" customWidth="1"/>
    <col min="12291" max="12291" width="5.75" style="1" customWidth="1"/>
    <col min="12292" max="12292" width="1.75" style="1" customWidth="1"/>
    <col min="12293" max="12293" width="10" style="1" customWidth="1"/>
    <col min="12294" max="12294" width="7" style="1" bestFit="1" customWidth="1"/>
    <col min="12295" max="12295" width="8.125" style="1" bestFit="1" customWidth="1"/>
    <col min="12296" max="12296" width="9.375" style="1" customWidth="1"/>
    <col min="12297" max="12297" width="4.375" style="1" customWidth="1"/>
    <col min="12298" max="12300" width="10.125" style="1"/>
    <col min="12301" max="12301" width="72.75" style="1" customWidth="1"/>
    <col min="12302" max="12544" width="10.125" style="1"/>
    <col min="12545" max="12545" width="3.125" style="1" customWidth="1"/>
    <col min="12546" max="12546" width="30.875" style="1" customWidth="1"/>
    <col min="12547" max="12547" width="5.75" style="1" customWidth="1"/>
    <col min="12548" max="12548" width="1.75" style="1" customWidth="1"/>
    <col min="12549" max="12549" width="10" style="1" customWidth="1"/>
    <col min="12550" max="12550" width="7" style="1" bestFit="1" customWidth="1"/>
    <col min="12551" max="12551" width="8.125" style="1" bestFit="1" customWidth="1"/>
    <col min="12552" max="12552" width="9.375" style="1" customWidth="1"/>
    <col min="12553" max="12553" width="4.375" style="1" customWidth="1"/>
    <col min="12554" max="12556" width="10.125" style="1"/>
    <col min="12557" max="12557" width="72.75" style="1" customWidth="1"/>
    <col min="12558" max="12800" width="10.125" style="1"/>
    <col min="12801" max="12801" width="3.125" style="1" customWidth="1"/>
    <col min="12802" max="12802" width="30.875" style="1" customWidth="1"/>
    <col min="12803" max="12803" width="5.75" style="1" customWidth="1"/>
    <col min="12804" max="12804" width="1.75" style="1" customWidth="1"/>
    <col min="12805" max="12805" width="10" style="1" customWidth="1"/>
    <col min="12806" max="12806" width="7" style="1" bestFit="1" customWidth="1"/>
    <col min="12807" max="12807" width="8.125" style="1" bestFit="1" customWidth="1"/>
    <col min="12808" max="12808" width="9.375" style="1" customWidth="1"/>
    <col min="12809" max="12809" width="4.375" style="1" customWidth="1"/>
    <col min="12810" max="12812" width="10.125" style="1"/>
    <col min="12813" max="12813" width="72.75" style="1" customWidth="1"/>
    <col min="12814" max="13056" width="10.125" style="1"/>
    <col min="13057" max="13057" width="3.125" style="1" customWidth="1"/>
    <col min="13058" max="13058" width="30.875" style="1" customWidth="1"/>
    <col min="13059" max="13059" width="5.75" style="1" customWidth="1"/>
    <col min="13060" max="13060" width="1.75" style="1" customWidth="1"/>
    <col min="13061" max="13061" width="10" style="1" customWidth="1"/>
    <col min="13062" max="13062" width="7" style="1" bestFit="1" customWidth="1"/>
    <col min="13063" max="13063" width="8.125" style="1" bestFit="1" customWidth="1"/>
    <col min="13064" max="13064" width="9.375" style="1" customWidth="1"/>
    <col min="13065" max="13065" width="4.375" style="1" customWidth="1"/>
    <col min="13066" max="13068" width="10.125" style="1"/>
    <col min="13069" max="13069" width="72.75" style="1" customWidth="1"/>
    <col min="13070" max="13312" width="10.125" style="1"/>
    <col min="13313" max="13313" width="3.125" style="1" customWidth="1"/>
    <col min="13314" max="13314" width="30.875" style="1" customWidth="1"/>
    <col min="13315" max="13315" width="5.75" style="1" customWidth="1"/>
    <col min="13316" max="13316" width="1.75" style="1" customWidth="1"/>
    <col min="13317" max="13317" width="10" style="1" customWidth="1"/>
    <col min="13318" max="13318" width="7" style="1" bestFit="1" customWidth="1"/>
    <col min="13319" max="13319" width="8.125" style="1" bestFit="1" customWidth="1"/>
    <col min="13320" max="13320" width="9.375" style="1" customWidth="1"/>
    <col min="13321" max="13321" width="4.375" style="1" customWidth="1"/>
    <col min="13322" max="13324" width="10.125" style="1"/>
    <col min="13325" max="13325" width="72.75" style="1" customWidth="1"/>
    <col min="13326" max="13568" width="10.125" style="1"/>
    <col min="13569" max="13569" width="3.125" style="1" customWidth="1"/>
    <col min="13570" max="13570" width="30.875" style="1" customWidth="1"/>
    <col min="13571" max="13571" width="5.75" style="1" customWidth="1"/>
    <col min="13572" max="13572" width="1.75" style="1" customWidth="1"/>
    <col min="13573" max="13573" width="10" style="1" customWidth="1"/>
    <col min="13574" max="13574" width="7" style="1" bestFit="1" customWidth="1"/>
    <col min="13575" max="13575" width="8.125" style="1" bestFit="1" customWidth="1"/>
    <col min="13576" max="13576" width="9.375" style="1" customWidth="1"/>
    <col min="13577" max="13577" width="4.375" style="1" customWidth="1"/>
    <col min="13578" max="13580" width="10.125" style="1"/>
    <col min="13581" max="13581" width="72.75" style="1" customWidth="1"/>
    <col min="13582" max="13824" width="10.125" style="1"/>
    <col min="13825" max="13825" width="3.125" style="1" customWidth="1"/>
    <col min="13826" max="13826" width="30.875" style="1" customWidth="1"/>
    <col min="13827" max="13827" width="5.75" style="1" customWidth="1"/>
    <col min="13828" max="13828" width="1.75" style="1" customWidth="1"/>
    <col min="13829" max="13829" width="10" style="1" customWidth="1"/>
    <col min="13830" max="13830" width="7" style="1" bestFit="1" customWidth="1"/>
    <col min="13831" max="13831" width="8.125" style="1" bestFit="1" customWidth="1"/>
    <col min="13832" max="13832" width="9.375" style="1" customWidth="1"/>
    <col min="13833" max="13833" width="4.375" style="1" customWidth="1"/>
    <col min="13834" max="13836" width="10.125" style="1"/>
    <col min="13837" max="13837" width="72.75" style="1" customWidth="1"/>
    <col min="13838" max="14080" width="10.125" style="1"/>
    <col min="14081" max="14081" width="3.125" style="1" customWidth="1"/>
    <col min="14082" max="14082" width="30.875" style="1" customWidth="1"/>
    <col min="14083" max="14083" width="5.75" style="1" customWidth="1"/>
    <col min="14084" max="14084" width="1.75" style="1" customWidth="1"/>
    <col min="14085" max="14085" width="10" style="1" customWidth="1"/>
    <col min="14086" max="14086" width="7" style="1" bestFit="1" customWidth="1"/>
    <col min="14087" max="14087" width="8.125" style="1" bestFit="1" customWidth="1"/>
    <col min="14088" max="14088" width="9.375" style="1" customWidth="1"/>
    <col min="14089" max="14089" width="4.375" style="1" customWidth="1"/>
    <col min="14090" max="14092" width="10.125" style="1"/>
    <col min="14093" max="14093" width="72.75" style="1" customWidth="1"/>
    <col min="14094" max="14336" width="10.125" style="1"/>
    <col min="14337" max="14337" width="3.125" style="1" customWidth="1"/>
    <col min="14338" max="14338" width="30.875" style="1" customWidth="1"/>
    <col min="14339" max="14339" width="5.75" style="1" customWidth="1"/>
    <col min="14340" max="14340" width="1.75" style="1" customWidth="1"/>
    <col min="14341" max="14341" width="10" style="1" customWidth="1"/>
    <col min="14342" max="14342" width="7" style="1" bestFit="1" customWidth="1"/>
    <col min="14343" max="14343" width="8.125" style="1" bestFit="1" customWidth="1"/>
    <col min="14344" max="14344" width="9.375" style="1" customWidth="1"/>
    <col min="14345" max="14345" width="4.375" style="1" customWidth="1"/>
    <col min="14346" max="14348" width="10.125" style="1"/>
    <col min="14349" max="14349" width="72.75" style="1" customWidth="1"/>
    <col min="14350" max="14592" width="10.125" style="1"/>
    <col min="14593" max="14593" width="3.125" style="1" customWidth="1"/>
    <col min="14594" max="14594" width="30.875" style="1" customWidth="1"/>
    <col min="14595" max="14595" width="5.75" style="1" customWidth="1"/>
    <col min="14596" max="14596" width="1.75" style="1" customWidth="1"/>
    <col min="14597" max="14597" width="10" style="1" customWidth="1"/>
    <col min="14598" max="14598" width="7" style="1" bestFit="1" customWidth="1"/>
    <col min="14599" max="14599" width="8.125" style="1" bestFit="1" customWidth="1"/>
    <col min="14600" max="14600" width="9.375" style="1" customWidth="1"/>
    <col min="14601" max="14601" width="4.375" style="1" customWidth="1"/>
    <col min="14602" max="14604" width="10.125" style="1"/>
    <col min="14605" max="14605" width="72.75" style="1" customWidth="1"/>
    <col min="14606" max="14848" width="10.125" style="1"/>
    <col min="14849" max="14849" width="3.125" style="1" customWidth="1"/>
    <col min="14850" max="14850" width="30.875" style="1" customWidth="1"/>
    <col min="14851" max="14851" width="5.75" style="1" customWidth="1"/>
    <col min="14852" max="14852" width="1.75" style="1" customWidth="1"/>
    <col min="14853" max="14853" width="10" style="1" customWidth="1"/>
    <col min="14854" max="14854" width="7" style="1" bestFit="1" customWidth="1"/>
    <col min="14855" max="14855" width="8.125" style="1" bestFit="1" customWidth="1"/>
    <col min="14856" max="14856" width="9.375" style="1" customWidth="1"/>
    <col min="14857" max="14857" width="4.375" style="1" customWidth="1"/>
    <col min="14858" max="14860" width="10.125" style="1"/>
    <col min="14861" max="14861" width="72.75" style="1" customWidth="1"/>
    <col min="14862" max="15104" width="10.125" style="1"/>
    <col min="15105" max="15105" width="3.125" style="1" customWidth="1"/>
    <col min="15106" max="15106" width="30.875" style="1" customWidth="1"/>
    <col min="15107" max="15107" width="5.75" style="1" customWidth="1"/>
    <col min="15108" max="15108" width="1.75" style="1" customWidth="1"/>
    <col min="15109" max="15109" width="10" style="1" customWidth="1"/>
    <col min="15110" max="15110" width="7" style="1" bestFit="1" customWidth="1"/>
    <col min="15111" max="15111" width="8.125" style="1" bestFit="1" customWidth="1"/>
    <col min="15112" max="15112" width="9.375" style="1" customWidth="1"/>
    <col min="15113" max="15113" width="4.375" style="1" customWidth="1"/>
    <col min="15114" max="15116" width="10.125" style="1"/>
    <col min="15117" max="15117" width="72.75" style="1" customWidth="1"/>
    <col min="15118" max="15360" width="10.125" style="1"/>
    <col min="15361" max="15361" width="3.125" style="1" customWidth="1"/>
    <col min="15362" max="15362" width="30.875" style="1" customWidth="1"/>
    <col min="15363" max="15363" width="5.75" style="1" customWidth="1"/>
    <col min="15364" max="15364" width="1.75" style="1" customWidth="1"/>
    <col min="15365" max="15365" width="10" style="1" customWidth="1"/>
    <col min="15366" max="15366" width="7" style="1" bestFit="1" customWidth="1"/>
    <col min="15367" max="15367" width="8.125" style="1" bestFit="1" customWidth="1"/>
    <col min="15368" max="15368" width="9.375" style="1" customWidth="1"/>
    <col min="15369" max="15369" width="4.375" style="1" customWidth="1"/>
    <col min="15370" max="15372" width="10.125" style="1"/>
    <col min="15373" max="15373" width="72.75" style="1" customWidth="1"/>
    <col min="15374" max="15616" width="10.125" style="1"/>
    <col min="15617" max="15617" width="3.125" style="1" customWidth="1"/>
    <col min="15618" max="15618" width="30.875" style="1" customWidth="1"/>
    <col min="15619" max="15619" width="5.75" style="1" customWidth="1"/>
    <col min="15620" max="15620" width="1.75" style="1" customWidth="1"/>
    <col min="15621" max="15621" width="10" style="1" customWidth="1"/>
    <col min="15622" max="15622" width="7" style="1" bestFit="1" customWidth="1"/>
    <col min="15623" max="15623" width="8.125" style="1" bestFit="1" customWidth="1"/>
    <col min="15624" max="15624" width="9.375" style="1" customWidth="1"/>
    <col min="15625" max="15625" width="4.375" style="1" customWidth="1"/>
    <col min="15626" max="15628" width="10.125" style="1"/>
    <col min="15629" max="15629" width="72.75" style="1" customWidth="1"/>
    <col min="15630" max="15872" width="10.125" style="1"/>
    <col min="15873" max="15873" width="3.125" style="1" customWidth="1"/>
    <col min="15874" max="15874" width="30.875" style="1" customWidth="1"/>
    <col min="15875" max="15875" width="5.75" style="1" customWidth="1"/>
    <col min="15876" max="15876" width="1.75" style="1" customWidth="1"/>
    <col min="15877" max="15877" width="10" style="1" customWidth="1"/>
    <col min="15878" max="15878" width="7" style="1" bestFit="1" customWidth="1"/>
    <col min="15879" max="15879" width="8.125" style="1" bestFit="1" customWidth="1"/>
    <col min="15880" max="15880" width="9.375" style="1" customWidth="1"/>
    <col min="15881" max="15881" width="4.375" style="1" customWidth="1"/>
    <col min="15882" max="15884" width="10.125" style="1"/>
    <col min="15885" max="15885" width="72.75" style="1" customWidth="1"/>
    <col min="15886" max="16128" width="10.125" style="1"/>
    <col min="16129" max="16129" width="3.125" style="1" customWidth="1"/>
    <col min="16130" max="16130" width="30.875" style="1" customWidth="1"/>
    <col min="16131" max="16131" width="5.75" style="1" customWidth="1"/>
    <col min="16132" max="16132" width="1.75" style="1" customWidth="1"/>
    <col min="16133" max="16133" width="10" style="1" customWidth="1"/>
    <col min="16134" max="16134" width="7" style="1" bestFit="1" customWidth="1"/>
    <col min="16135" max="16135" width="8.125" style="1" bestFit="1" customWidth="1"/>
    <col min="16136" max="16136" width="9.375" style="1" customWidth="1"/>
    <col min="16137" max="16137" width="4.375" style="1" customWidth="1"/>
    <col min="16138" max="16140" width="10.125" style="1"/>
    <col min="16141" max="16141" width="72.75" style="1" customWidth="1"/>
    <col min="16142" max="16384" width="10.125" style="1"/>
  </cols>
  <sheetData>
    <row r="1" spans="1:8" x14ac:dyDescent="0.25">
      <c r="F1" s="3"/>
    </row>
    <row r="5" spans="1:8" x14ac:dyDescent="0.25">
      <c r="A5" s="4" t="s">
        <v>0</v>
      </c>
      <c r="B5" s="5"/>
      <c r="C5" s="5"/>
    </row>
    <row r="6" spans="1:8" ht="9" customHeight="1" x14ac:dyDescent="0.25">
      <c r="A6" s="4"/>
      <c r="B6" s="5"/>
      <c r="C6" s="5"/>
    </row>
    <row r="7" spans="1:8" s="7" customFormat="1" ht="15" x14ac:dyDescent="0.25">
      <c r="A7" s="7" t="s">
        <v>1</v>
      </c>
      <c r="B7" s="8"/>
      <c r="D7" s="9"/>
      <c r="E7" s="131" t="s">
        <v>2</v>
      </c>
      <c r="F7" s="132"/>
      <c r="G7" s="133">
        <v>45420</v>
      </c>
      <c r="H7" s="134"/>
    </row>
    <row r="8" spans="1:8" s="7" customFormat="1" ht="15" x14ac:dyDescent="0.25">
      <c r="A8" s="7" t="s">
        <v>53</v>
      </c>
      <c r="B8" s="8"/>
      <c r="D8" s="9"/>
      <c r="E8" s="135" t="s">
        <v>3</v>
      </c>
      <c r="F8" s="136"/>
      <c r="H8" s="11">
        <v>60431</v>
      </c>
    </row>
    <row r="9" spans="1:8" s="7" customFormat="1" ht="15" x14ac:dyDescent="0.25">
      <c r="A9" s="7" t="s">
        <v>54</v>
      </c>
      <c r="B9" s="8"/>
      <c r="D9" s="9"/>
      <c r="E9" s="135" t="s">
        <v>4</v>
      </c>
      <c r="F9" s="136"/>
      <c r="G9" s="137" t="s">
        <v>66</v>
      </c>
      <c r="H9" s="138"/>
    </row>
    <row r="10" spans="1:8" s="7" customFormat="1" ht="15" x14ac:dyDescent="0.25">
      <c r="B10" s="8"/>
      <c r="D10" s="9"/>
      <c r="E10" s="13" t="s">
        <v>73</v>
      </c>
      <c r="F10" s="14"/>
      <c r="G10" s="139">
        <f>+G7</f>
        <v>45420</v>
      </c>
      <c r="H10" s="140"/>
    </row>
    <row r="11" spans="1:8" s="7" customFormat="1" ht="15" x14ac:dyDescent="0.25">
      <c r="A11" s="15" t="s">
        <v>55</v>
      </c>
      <c r="B11" s="8"/>
      <c r="D11" s="9"/>
      <c r="E11" s="10" t="s">
        <v>6</v>
      </c>
      <c r="F11" s="125" t="s">
        <v>7</v>
      </c>
      <c r="G11" s="125"/>
      <c r="H11" s="126"/>
    </row>
    <row r="12" spans="1:8" s="7" customFormat="1" ht="15" x14ac:dyDescent="0.25">
      <c r="A12" s="15"/>
      <c r="B12" s="8"/>
      <c r="D12" s="9"/>
      <c r="E12" s="13" t="s">
        <v>8</v>
      </c>
      <c r="F12" s="127" t="s">
        <v>9</v>
      </c>
      <c r="G12" s="127"/>
      <c r="H12" s="128"/>
    </row>
    <row r="13" spans="1:8" s="7" customFormat="1" ht="15" x14ac:dyDescent="0.25">
      <c r="D13" s="9"/>
      <c r="E13" s="17"/>
      <c r="F13" s="18"/>
    </row>
    <row r="14" spans="1:8" s="15" customFormat="1" ht="14.25" x14ac:dyDescent="0.2"/>
    <row r="15" spans="1:8" s="15" customFormat="1" ht="14.25" x14ac:dyDescent="0.2"/>
    <row r="16" spans="1:8" s="15" customFormat="1" ht="14.25" x14ac:dyDescent="0.2"/>
    <row r="17" spans="1:11" s="15" customFormat="1" ht="14.25" x14ac:dyDescent="0.2"/>
    <row r="18" spans="1:11" s="15" customFormat="1" ht="14.25" x14ac:dyDescent="0.2">
      <c r="A18" s="129" t="s">
        <v>10</v>
      </c>
      <c r="B18" s="129"/>
      <c r="C18" s="129"/>
      <c r="D18" s="129"/>
      <c r="E18" s="129"/>
      <c r="F18" s="129"/>
      <c r="G18" s="129"/>
      <c r="H18" s="129"/>
    </row>
    <row r="19" spans="1:11" s="15" customFormat="1" ht="14.25" x14ac:dyDescent="0.2">
      <c r="A19" s="19"/>
      <c r="B19" s="19"/>
      <c r="C19" s="19"/>
      <c r="D19" s="19"/>
      <c r="E19" s="19"/>
      <c r="F19" s="19"/>
      <c r="G19" s="19"/>
      <c r="H19" s="19"/>
    </row>
    <row r="20" spans="1:11" s="15" customFormat="1" ht="14.25" x14ac:dyDescent="0.2">
      <c r="A20" s="19"/>
      <c r="B20" s="19"/>
      <c r="C20" s="19"/>
      <c r="D20" s="19"/>
      <c r="E20" s="19"/>
      <c r="F20" s="19"/>
      <c r="G20" s="19"/>
      <c r="H20" s="19"/>
    </row>
    <row r="21" spans="1:11" s="7" customFormat="1" ht="13.5" customHeight="1" x14ac:dyDescent="0.25">
      <c r="D21" s="9"/>
      <c r="E21" s="17"/>
      <c r="F21" s="18"/>
    </row>
    <row r="22" spans="1:11" s="7" customFormat="1" ht="15" x14ac:dyDescent="0.25">
      <c r="A22" s="7" t="s">
        <v>11</v>
      </c>
      <c r="B22" s="8"/>
      <c r="D22" s="9"/>
      <c r="E22" s="17"/>
      <c r="F22" s="18"/>
    </row>
    <row r="23" spans="1:11" s="7" customFormat="1" ht="15" x14ac:dyDescent="0.25">
      <c r="A23" s="7" t="s">
        <v>12</v>
      </c>
      <c r="D23" s="9"/>
      <c r="E23" s="9"/>
      <c r="F23" s="17"/>
      <c r="G23" s="9"/>
    </row>
    <row r="24" spans="1:11" s="7" customFormat="1" ht="15" x14ac:dyDescent="0.25">
      <c r="A24" s="20" t="s">
        <v>13</v>
      </c>
      <c r="B24" s="21"/>
      <c r="C24" s="20"/>
      <c r="D24" s="9"/>
      <c r="E24" s="9" t="s">
        <v>14</v>
      </c>
      <c r="F24" s="17" t="s">
        <v>15</v>
      </c>
      <c r="G24" s="9" t="s">
        <v>16</v>
      </c>
      <c r="H24" s="17" t="s">
        <v>17</v>
      </c>
    </row>
    <row r="25" spans="1:11" s="7" customFormat="1" ht="15" x14ac:dyDescent="0.25">
      <c r="A25" s="22" t="s">
        <v>18</v>
      </c>
      <c r="B25" s="23"/>
      <c r="C25" s="22"/>
      <c r="D25" s="24"/>
      <c r="E25" s="16" t="s">
        <v>19</v>
      </c>
      <c r="F25" s="16"/>
      <c r="G25" s="25" t="s">
        <v>20</v>
      </c>
      <c r="H25" s="22"/>
    </row>
    <row r="26" spans="1:11" s="7" customFormat="1" ht="15" x14ac:dyDescent="0.25">
      <c r="A26" s="7">
        <v>24</v>
      </c>
      <c r="B26" s="7" t="s">
        <v>65</v>
      </c>
      <c r="C26" s="7">
        <v>2022</v>
      </c>
      <c r="E26" s="40">
        <f>+(101666+360+31)/10</f>
        <v>10205.700000000001</v>
      </c>
      <c r="F26" s="26" t="s">
        <v>21</v>
      </c>
      <c r="G26" s="64">
        <v>0.3</v>
      </c>
      <c r="H26" s="41">
        <f>G26*618</f>
        <v>185.4</v>
      </c>
    </row>
    <row r="27" spans="1:11" s="7" customFormat="1" ht="15" x14ac:dyDescent="0.25">
      <c r="C27" s="12"/>
      <c r="D27" s="40"/>
      <c r="E27" s="17"/>
      <c r="F27" s="9"/>
      <c r="G27" s="42"/>
    </row>
    <row r="28" spans="1:11" s="7" customFormat="1" ht="15" x14ac:dyDescent="0.25">
      <c r="A28" s="7">
        <v>24</v>
      </c>
      <c r="B28" s="7" t="s">
        <v>58</v>
      </c>
      <c r="C28" s="12">
        <f>+C26</f>
        <v>2022</v>
      </c>
      <c r="E28" s="26">
        <v>19147.599999999999</v>
      </c>
      <c r="F28" s="17" t="s">
        <v>21</v>
      </c>
      <c r="G28" s="27">
        <v>0.3</v>
      </c>
      <c r="H28" s="28">
        <f>+G28*759</f>
        <v>227.7</v>
      </c>
    </row>
    <row r="29" spans="1:11" s="7" customFormat="1" ht="15" x14ac:dyDescent="0.25">
      <c r="C29" s="12"/>
      <c r="E29" s="26"/>
      <c r="F29" s="17"/>
      <c r="G29" s="27"/>
      <c r="H29" s="28"/>
    </row>
    <row r="30" spans="1:11" s="7" customFormat="1" ht="15" x14ac:dyDescent="0.25">
      <c r="A30" s="7">
        <v>25</v>
      </c>
      <c r="B30" s="63" t="s">
        <v>57</v>
      </c>
      <c r="C30" s="63">
        <f>+C28</f>
        <v>2022</v>
      </c>
      <c r="D30" s="63"/>
      <c r="E30" s="26">
        <v>121614.71</v>
      </c>
      <c r="F30" s="17" t="s">
        <v>22</v>
      </c>
      <c r="G30" s="27">
        <v>2.5</v>
      </c>
      <c r="H30" s="28">
        <f>+G30*399</f>
        <v>997.5</v>
      </c>
      <c r="I30" s="29"/>
      <c r="J30" s="26"/>
      <c r="K30" s="26"/>
    </row>
    <row r="31" spans="1:11" s="7" customFormat="1" ht="15" x14ac:dyDescent="0.25">
      <c r="C31" s="12"/>
      <c r="E31" s="9"/>
      <c r="F31" s="17"/>
      <c r="G31" s="30"/>
      <c r="H31" s="28"/>
    </row>
    <row r="32" spans="1:11" s="7" customFormat="1" ht="15" x14ac:dyDescent="0.25">
      <c r="A32" s="7">
        <v>16</v>
      </c>
      <c r="B32" s="7" t="s">
        <v>23</v>
      </c>
      <c r="E32" s="26">
        <f>SUM(H26:H30)*0.12</f>
        <v>169.27199999999999</v>
      </c>
      <c r="F32" s="17"/>
      <c r="G32" s="30"/>
      <c r="H32" s="28">
        <v>0</v>
      </c>
    </row>
    <row r="33" spans="1:12" s="7" customFormat="1" ht="15" x14ac:dyDescent="0.25">
      <c r="B33" s="7" t="s">
        <v>72</v>
      </c>
      <c r="E33" s="9"/>
      <c r="F33" s="17"/>
      <c r="G33" s="30"/>
      <c r="H33" s="28"/>
      <c r="J33" s="28"/>
    </row>
    <row r="34" spans="1:12" s="7" customFormat="1" ht="15" x14ac:dyDescent="0.25">
      <c r="E34" s="9"/>
      <c r="F34" s="17"/>
      <c r="G34" s="30"/>
      <c r="H34" s="28"/>
      <c r="J34" s="28"/>
    </row>
    <row r="35" spans="1:12" s="7" customFormat="1" ht="15" x14ac:dyDescent="0.25">
      <c r="A35" s="7">
        <v>16</v>
      </c>
      <c r="B35" s="7" t="s">
        <v>75</v>
      </c>
      <c r="E35" s="26"/>
      <c r="F35" s="17"/>
      <c r="G35" s="30"/>
      <c r="H35" s="28"/>
    </row>
    <row r="36" spans="1:12" s="7" customFormat="1" ht="15" x14ac:dyDescent="0.25">
      <c r="A36" s="23"/>
      <c r="B36" s="23" t="s">
        <v>76</v>
      </c>
      <c r="C36" s="22"/>
      <c r="D36" s="23"/>
      <c r="E36" s="65"/>
      <c r="F36" s="57"/>
      <c r="G36" s="66"/>
      <c r="H36" s="58">
        <v>90</v>
      </c>
    </row>
    <row r="37" spans="1:12" s="7" customFormat="1" ht="15" x14ac:dyDescent="0.25">
      <c r="A37" s="67" t="s">
        <v>74</v>
      </c>
      <c r="B37" s="8"/>
      <c r="E37" s="7" t="s">
        <v>25</v>
      </c>
      <c r="F37" s="8"/>
      <c r="G37" s="30"/>
      <c r="H37" s="28">
        <f>SUM(H26:H36)</f>
        <v>1500.6</v>
      </c>
      <c r="J37" s="28"/>
      <c r="K37" s="28"/>
      <c r="L37" s="28"/>
    </row>
    <row r="38" spans="1:12" s="7" customFormat="1" ht="15" x14ac:dyDescent="0.25">
      <c r="A38" s="67" t="s">
        <v>77</v>
      </c>
      <c r="E38" s="33" t="s">
        <v>26</v>
      </c>
      <c r="F38" s="8"/>
      <c r="G38" s="30"/>
      <c r="H38" s="28">
        <f>+H37*0.19</f>
        <v>285.11399999999998</v>
      </c>
    </row>
    <row r="39" spans="1:12" s="7" customFormat="1" thickBot="1" x14ac:dyDescent="0.3">
      <c r="E39" s="34" t="s">
        <v>27</v>
      </c>
      <c r="F39" s="35"/>
      <c r="G39" s="36"/>
      <c r="H39" s="37">
        <f>SUM(H37:H38)</f>
        <v>1785.7139999999999</v>
      </c>
    </row>
    <row r="40" spans="1:12" s="7" customFormat="1" ht="7.5" customHeight="1" thickTop="1" x14ac:dyDescent="0.25">
      <c r="E40" s="38"/>
      <c r="F40" s="17"/>
      <c r="G40" s="30"/>
      <c r="H40" s="28"/>
    </row>
    <row r="41" spans="1:12" s="7" customFormat="1" ht="15" x14ac:dyDescent="0.25">
      <c r="A41" s="7" t="s">
        <v>28</v>
      </c>
      <c r="B41" s="8"/>
      <c r="D41" s="9"/>
      <c r="E41" s="17"/>
      <c r="F41" s="18"/>
      <c r="G41" s="39"/>
    </row>
    <row r="42" spans="1:12" s="7" customFormat="1" ht="15" x14ac:dyDescent="0.25">
      <c r="D42" s="9"/>
      <c r="E42" s="17"/>
      <c r="F42" s="18"/>
      <c r="G42" s="30"/>
    </row>
    <row r="43" spans="1:12" s="7" customFormat="1" ht="15" x14ac:dyDescent="0.25">
      <c r="D43" s="9"/>
      <c r="E43" s="17"/>
      <c r="F43" s="18"/>
      <c r="G43" s="30"/>
    </row>
    <row r="44" spans="1:12" s="7" customFormat="1" ht="15" x14ac:dyDescent="0.25">
      <c r="D44" s="9"/>
      <c r="E44" s="17"/>
      <c r="F44" s="18"/>
      <c r="G44" s="30"/>
    </row>
    <row r="45" spans="1:12" s="7" customFormat="1" ht="15" x14ac:dyDescent="0.25">
      <c r="B45" s="23"/>
      <c r="D45" s="9"/>
      <c r="E45" s="17"/>
      <c r="F45" s="18"/>
      <c r="G45" s="30"/>
    </row>
    <row r="46" spans="1:12" x14ac:dyDescent="0.25">
      <c r="A46" s="7"/>
      <c r="B46" s="7"/>
      <c r="C46" s="7"/>
      <c r="D46" s="9"/>
      <c r="E46" s="17"/>
      <c r="F46" s="18"/>
      <c r="G46" s="30"/>
      <c r="H46" s="7"/>
    </row>
    <row r="47" spans="1:12" s="7" customFormat="1" x14ac:dyDescent="0.25">
      <c r="A47" s="1"/>
      <c r="B47" s="1"/>
      <c r="C47" s="1"/>
      <c r="D47" s="2"/>
      <c r="E47" s="3"/>
      <c r="F47" s="6"/>
      <c r="G47" s="1"/>
      <c r="H47" s="1"/>
    </row>
    <row r="48" spans="1:12" s="7" customFormat="1" ht="10.5" customHeight="1" x14ac:dyDescent="0.25">
      <c r="D48" s="9"/>
      <c r="E48" s="17"/>
      <c r="F48" s="18"/>
      <c r="G48" s="30"/>
    </row>
    <row r="49" spans="1:8" x14ac:dyDescent="0.25">
      <c r="A49" s="130" t="s">
        <v>29</v>
      </c>
      <c r="B49" s="130"/>
      <c r="C49" s="130"/>
      <c r="D49" s="130"/>
      <c r="E49" s="130"/>
      <c r="F49" s="130"/>
      <c r="G49" s="130"/>
      <c r="H49" s="130"/>
    </row>
  </sheetData>
  <mergeCells count="10">
    <mergeCell ref="F11:H11"/>
    <mergeCell ref="F12:H12"/>
    <mergeCell ref="A18:H18"/>
    <mergeCell ref="A49:H49"/>
    <mergeCell ref="E7:F7"/>
    <mergeCell ref="G7:H7"/>
    <mergeCell ref="E8:F8"/>
    <mergeCell ref="E9:F9"/>
    <mergeCell ref="G9:H9"/>
    <mergeCell ref="G10:H10"/>
  </mergeCells>
  <printOptions horizontalCentered="1"/>
  <pageMargins left="0.78740157480314965" right="0.59055118110236227" top="0.98425196850393704" bottom="0.98425196850393704" header="0.51181102362204722" footer="0.51181102362204722"/>
  <pageSetup paperSize="9" orientation="portrait" horizontalDpi="300" verticalDpi="300" r:id="rId1"/>
  <headerFooter alignWithMargins="0">
    <oddHeader>&amp;C&amp;"Times New Roman,Standard"&amp;16Hartmut Ahting
Steuerberater
Diplom-Wirtschaftsingenieur</oddHeader>
    <oddFooter>&amp;L&amp;"Times New Roman,Standard"Heerstrasse 50
60488 Frankfurt
&amp;C&amp;"Times New Roman,Standard"Deutsche Bank
BLZ 500 700 24
Konto 409 28 62&amp;R&amp;"Times New Roman,Standard"Tel:      069 / 788 031-71
Fax:     069 / 788 031-72
Mobil:  0174 / 326 99 58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F7E51-56BD-42EF-A38E-12230733D4B6}">
  <dimension ref="A1:J49"/>
  <sheetViews>
    <sheetView workbookViewId="0">
      <selection activeCell="H32" sqref="H32"/>
    </sheetView>
  </sheetViews>
  <sheetFormatPr baseColWidth="10" defaultColWidth="10.125" defaultRowHeight="15.75" x14ac:dyDescent="0.25"/>
  <cols>
    <col min="1" max="1" width="3.125" style="1" customWidth="1"/>
    <col min="2" max="2" width="30.875" style="1" customWidth="1"/>
    <col min="3" max="3" width="5.75" style="1" customWidth="1"/>
    <col min="4" max="4" width="1.75" style="2" customWidth="1"/>
    <col min="5" max="5" width="10" style="3" customWidth="1"/>
    <col min="6" max="6" width="7" style="6" bestFit="1" customWidth="1"/>
    <col min="7" max="7" width="8.125" style="1" bestFit="1" customWidth="1"/>
    <col min="8" max="8" width="9.375" style="1" customWidth="1"/>
    <col min="9" max="9" width="4.375" style="1" customWidth="1"/>
    <col min="10" max="12" width="10.125" style="1" customWidth="1"/>
    <col min="13" max="13" width="72.75" style="1" customWidth="1"/>
    <col min="14" max="256" width="10.125" style="1"/>
    <col min="257" max="257" width="3.125" style="1" customWidth="1"/>
    <col min="258" max="258" width="30.875" style="1" customWidth="1"/>
    <col min="259" max="259" width="5.75" style="1" customWidth="1"/>
    <col min="260" max="260" width="1.75" style="1" customWidth="1"/>
    <col min="261" max="261" width="10" style="1" customWidth="1"/>
    <col min="262" max="262" width="7" style="1" bestFit="1" customWidth="1"/>
    <col min="263" max="263" width="8.125" style="1" bestFit="1" customWidth="1"/>
    <col min="264" max="264" width="9.375" style="1" customWidth="1"/>
    <col min="265" max="265" width="4.375" style="1" customWidth="1"/>
    <col min="266" max="268" width="10.125" style="1"/>
    <col min="269" max="269" width="72.75" style="1" customWidth="1"/>
    <col min="270" max="512" width="10.125" style="1"/>
    <col min="513" max="513" width="3.125" style="1" customWidth="1"/>
    <col min="514" max="514" width="30.875" style="1" customWidth="1"/>
    <col min="515" max="515" width="5.75" style="1" customWidth="1"/>
    <col min="516" max="516" width="1.75" style="1" customWidth="1"/>
    <col min="517" max="517" width="10" style="1" customWidth="1"/>
    <col min="518" max="518" width="7" style="1" bestFit="1" customWidth="1"/>
    <col min="519" max="519" width="8.125" style="1" bestFit="1" customWidth="1"/>
    <col min="520" max="520" width="9.375" style="1" customWidth="1"/>
    <col min="521" max="521" width="4.375" style="1" customWidth="1"/>
    <col min="522" max="524" width="10.125" style="1"/>
    <col min="525" max="525" width="72.75" style="1" customWidth="1"/>
    <col min="526" max="768" width="10.125" style="1"/>
    <col min="769" max="769" width="3.125" style="1" customWidth="1"/>
    <col min="770" max="770" width="30.875" style="1" customWidth="1"/>
    <col min="771" max="771" width="5.75" style="1" customWidth="1"/>
    <col min="772" max="772" width="1.75" style="1" customWidth="1"/>
    <col min="773" max="773" width="10" style="1" customWidth="1"/>
    <col min="774" max="774" width="7" style="1" bestFit="1" customWidth="1"/>
    <col min="775" max="775" width="8.125" style="1" bestFit="1" customWidth="1"/>
    <col min="776" max="776" width="9.375" style="1" customWidth="1"/>
    <col min="777" max="777" width="4.375" style="1" customWidth="1"/>
    <col min="778" max="780" width="10.125" style="1"/>
    <col min="781" max="781" width="72.75" style="1" customWidth="1"/>
    <col min="782" max="1024" width="10.125" style="1"/>
    <col min="1025" max="1025" width="3.125" style="1" customWidth="1"/>
    <col min="1026" max="1026" width="30.875" style="1" customWidth="1"/>
    <col min="1027" max="1027" width="5.75" style="1" customWidth="1"/>
    <col min="1028" max="1028" width="1.75" style="1" customWidth="1"/>
    <col min="1029" max="1029" width="10" style="1" customWidth="1"/>
    <col min="1030" max="1030" width="7" style="1" bestFit="1" customWidth="1"/>
    <col min="1031" max="1031" width="8.125" style="1" bestFit="1" customWidth="1"/>
    <col min="1032" max="1032" width="9.375" style="1" customWidth="1"/>
    <col min="1033" max="1033" width="4.375" style="1" customWidth="1"/>
    <col min="1034" max="1036" width="10.125" style="1"/>
    <col min="1037" max="1037" width="72.75" style="1" customWidth="1"/>
    <col min="1038" max="1280" width="10.125" style="1"/>
    <col min="1281" max="1281" width="3.125" style="1" customWidth="1"/>
    <col min="1282" max="1282" width="30.875" style="1" customWidth="1"/>
    <col min="1283" max="1283" width="5.75" style="1" customWidth="1"/>
    <col min="1284" max="1284" width="1.75" style="1" customWidth="1"/>
    <col min="1285" max="1285" width="10" style="1" customWidth="1"/>
    <col min="1286" max="1286" width="7" style="1" bestFit="1" customWidth="1"/>
    <col min="1287" max="1287" width="8.125" style="1" bestFit="1" customWidth="1"/>
    <col min="1288" max="1288" width="9.375" style="1" customWidth="1"/>
    <col min="1289" max="1289" width="4.375" style="1" customWidth="1"/>
    <col min="1290" max="1292" width="10.125" style="1"/>
    <col min="1293" max="1293" width="72.75" style="1" customWidth="1"/>
    <col min="1294" max="1536" width="10.125" style="1"/>
    <col min="1537" max="1537" width="3.125" style="1" customWidth="1"/>
    <col min="1538" max="1538" width="30.875" style="1" customWidth="1"/>
    <col min="1539" max="1539" width="5.75" style="1" customWidth="1"/>
    <col min="1540" max="1540" width="1.75" style="1" customWidth="1"/>
    <col min="1541" max="1541" width="10" style="1" customWidth="1"/>
    <col min="1542" max="1542" width="7" style="1" bestFit="1" customWidth="1"/>
    <col min="1543" max="1543" width="8.125" style="1" bestFit="1" customWidth="1"/>
    <col min="1544" max="1544" width="9.375" style="1" customWidth="1"/>
    <col min="1545" max="1545" width="4.375" style="1" customWidth="1"/>
    <col min="1546" max="1548" width="10.125" style="1"/>
    <col min="1549" max="1549" width="72.75" style="1" customWidth="1"/>
    <col min="1550" max="1792" width="10.125" style="1"/>
    <col min="1793" max="1793" width="3.125" style="1" customWidth="1"/>
    <col min="1794" max="1794" width="30.875" style="1" customWidth="1"/>
    <col min="1795" max="1795" width="5.75" style="1" customWidth="1"/>
    <col min="1796" max="1796" width="1.75" style="1" customWidth="1"/>
    <col min="1797" max="1797" width="10" style="1" customWidth="1"/>
    <col min="1798" max="1798" width="7" style="1" bestFit="1" customWidth="1"/>
    <col min="1799" max="1799" width="8.125" style="1" bestFit="1" customWidth="1"/>
    <col min="1800" max="1800" width="9.375" style="1" customWidth="1"/>
    <col min="1801" max="1801" width="4.375" style="1" customWidth="1"/>
    <col min="1802" max="1804" width="10.125" style="1"/>
    <col min="1805" max="1805" width="72.75" style="1" customWidth="1"/>
    <col min="1806" max="2048" width="10.125" style="1"/>
    <col min="2049" max="2049" width="3.125" style="1" customWidth="1"/>
    <col min="2050" max="2050" width="30.875" style="1" customWidth="1"/>
    <col min="2051" max="2051" width="5.75" style="1" customWidth="1"/>
    <col min="2052" max="2052" width="1.75" style="1" customWidth="1"/>
    <col min="2053" max="2053" width="10" style="1" customWidth="1"/>
    <col min="2054" max="2054" width="7" style="1" bestFit="1" customWidth="1"/>
    <col min="2055" max="2055" width="8.125" style="1" bestFit="1" customWidth="1"/>
    <col min="2056" max="2056" width="9.375" style="1" customWidth="1"/>
    <col min="2057" max="2057" width="4.375" style="1" customWidth="1"/>
    <col min="2058" max="2060" width="10.125" style="1"/>
    <col min="2061" max="2061" width="72.75" style="1" customWidth="1"/>
    <col min="2062" max="2304" width="10.125" style="1"/>
    <col min="2305" max="2305" width="3.125" style="1" customWidth="1"/>
    <col min="2306" max="2306" width="30.875" style="1" customWidth="1"/>
    <col min="2307" max="2307" width="5.75" style="1" customWidth="1"/>
    <col min="2308" max="2308" width="1.75" style="1" customWidth="1"/>
    <col min="2309" max="2309" width="10" style="1" customWidth="1"/>
    <col min="2310" max="2310" width="7" style="1" bestFit="1" customWidth="1"/>
    <col min="2311" max="2311" width="8.125" style="1" bestFit="1" customWidth="1"/>
    <col min="2312" max="2312" width="9.375" style="1" customWidth="1"/>
    <col min="2313" max="2313" width="4.375" style="1" customWidth="1"/>
    <col min="2314" max="2316" width="10.125" style="1"/>
    <col min="2317" max="2317" width="72.75" style="1" customWidth="1"/>
    <col min="2318" max="2560" width="10.125" style="1"/>
    <col min="2561" max="2561" width="3.125" style="1" customWidth="1"/>
    <col min="2562" max="2562" width="30.875" style="1" customWidth="1"/>
    <col min="2563" max="2563" width="5.75" style="1" customWidth="1"/>
    <col min="2564" max="2564" width="1.75" style="1" customWidth="1"/>
    <col min="2565" max="2565" width="10" style="1" customWidth="1"/>
    <col min="2566" max="2566" width="7" style="1" bestFit="1" customWidth="1"/>
    <col min="2567" max="2567" width="8.125" style="1" bestFit="1" customWidth="1"/>
    <col min="2568" max="2568" width="9.375" style="1" customWidth="1"/>
    <col min="2569" max="2569" width="4.375" style="1" customWidth="1"/>
    <col min="2570" max="2572" width="10.125" style="1"/>
    <col min="2573" max="2573" width="72.75" style="1" customWidth="1"/>
    <col min="2574" max="2816" width="10.125" style="1"/>
    <col min="2817" max="2817" width="3.125" style="1" customWidth="1"/>
    <col min="2818" max="2818" width="30.875" style="1" customWidth="1"/>
    <col min="2819" max="2819" width="5.75" style="1" customWidth="1"/>
    <col min="2820" max="2820" width="1.75" style="1" customWidth="1"/>
    <col min="2821" max="2821" width="10" style="1" customWidth="1"/>
    <col min="2822" max="2822" width="7" style="1" bestFit="1" customWidth="1"/>
    <col min="2823" max="2823" width="8.125" style="1" bestFit="1" customWidth="1"/>
    <col min="2824" max="2824" width="9.375" style="1" customWidth="1"/>
    <col min="2825" max="2825" width="4.375" style="1" customWidth="1"/>
    <col min="2826" max="2828" width="10.125" style="1"/>
    <col min="2829" max="2829" width="72.75" style="1" customWidth="1"/>
    <col min="2830" max="3072" width="10.125" style="1"/>
    <col min="3073" max="3073" width="3.125" style="1" customWidth="1"/>
    <col min="3074" max="3074" width="30.875" style="1" customWidth="1"/>
    <col min="3075" max="3075" width="5.75" style="1" customWidth="1"/>
    <col min="3076" max="3076" width="1.75" style="1" customWidth="1"/>
    <col min="3077" max="3077" width="10" style="1" customWidth="1"/>
    <col min="3078" max="3078" width="7" style="1" bestFit="1" customWidth="1"/>
    <col min="3079" max="3079" width="8.125" style="1" bestFit="1" customWidth="1"/>
    <col min="3080" max="3080" width="9.375" style="1" customWidth="1"/>
    <col min="3081" max="3081" width="4.375" style="1" customWidth="1"/>
    <col min="3082" max="3084" width="10.125" style="1"/>
    <col min="3085" max="3085" width="72.75" style="1" customWidth="1"/>
    <col min="3086" max="3328" width="10.125" style="1"/>
    <col min="3329" max="3329" width="3.125" style="1" customWidth="1"/>
    <col min="3330" max="3330" width="30.875" style="1" customWidth="1"/>
    <col min="3331" max="3331" width="5.75" style="1" customWidth="1"/>
    <col min="3332" max="3332" width="1.75" style="1" customWidth="1"/>
    <col min="3333" max="3333" width="10" style="1" customWidth="1"/>
    <col min="3334" max="3334" width="7" style="1" bestFit="1" customWidth="1"/>
    <col min="3335" max="3335" width="8.125" style="1" bestFit="1" customWidth="1"/>
    <col min="3336" max="3336" width="9.375" style="1" customWidth="1"/>
    <col min="3337" max="3337" width="4.375" style="1" customWidth="1"/>
    <col min="3338" max="3340" width="10.125" style="1"/>
    <col min="3341" max="3341" width="72.75" style="1" customWidth="1"/>
    <col min="3342" max="3584" width="10.125" style="1"/>
    <col min="3585" max="3585" width="3.125" style="1" customWidth="1"/>
    <col min="3586" max="3586" width="30.875" style="1" customWidth="1"/>
    <col min="3587" max="3587" width="5.75" style="1" customWidth="1"/>
    <col min="3588" max="3588" width="1.75" style="1" customWidth="1"/>
    <col min="3589" max="3589" width="10" style="1" customWidth="1"/>
    <col min="3590" max="3590" width="7" style="1" bestFit="1" customWidth="1"/>
    <col min="3591" max="3591" width="8.125" style="1" bestFit="1" customWidth="1"/>
    <col min="3592" max="3592" width="9.375" style="1" customWidth="1"/>
    <col min="3593" max="3593" width="4.375" style="1" customWidth="1"/>
    <col min="3594" max="3596" width="10.125" style="1"/>
    <col min="3597" max="3597" width="72.75" style="1" customWidth="1"/>
    <col min="3598" max="3840" width="10.125" style="1"/>
    <col min="3841" max="3841" width="3.125" style="1" customWidth="1"/>
    <col min="3842" max="3842" width="30.875" style="1" customWidth="1"/>
    <col min="3843" max="3843" width="5.75" style="1" customWidth="1"/>
    <col min="3844" max="3844" width="1.75" style="1" customWidth="1"/>
    <col min="3845" max="3845" width="10" style="1" customWidth="1"/>
    <col min="3846" max="3846" width="7" style="1" bestFit="1" customWidth="1"/>
    <col min="3847" max="3847" width="8.125" style="1" bestFit="1" customWidth="1"/>
    <col min="3848" max="3848" width="9.375" style="1" customWidth="1"/>
    <col min="3849" max="3849" width="4.375" style="1" customWidth="1"/>
    <col min="3850" max="3852" width="10.125" style="1"/>
    <col min="3853" max="3853" width="72.75" style="1" customWidth="1"/>
    <col min="3854" max="4096" width="10.125" style="1"/>
    <col min="4097" max="4097" width="3.125" style="1" customWidth="1"/>
    <col min="4098" max="4098" width="30.875" style="1" customWidth="1"/>
    <col min="4099" max="4099" width="5.75" style="1" customWidth="1"/>
    <col min="4100" max="4100" width="1.75" style="1" customWidth="1"/>
    <col min="4101" max="4101" width="10" style="1" customWidth="1"/>
    <col min="4102" max="4102" width="7" style="1" bestFit="1" customWidth="1"/>
    <col min="4103" max="4103" width="8.125" style="1" bestFit="1" customWidth="1"/>
    <col min="4104" max="4104" width="9.375" style="1" customWidth="1"/>
    <col min="4105" max="4105" width="4.375" style="1" customWidth="1"/>
    <col min="4106" max="4108" width="10.125" style="1"/>
    <col min="4109" max="4109" width="72.75" style="1" customWidth="1"/>
    <col min="4110" max="4352" width="10.125" style="1"/>
    <col min="4353" max="4353" width="3.125" style="1" customWidth="1"/>
    <col min="4354" max="4354" width="30.875" style="1" customWidth="1"/>
    <col min="4355" max="4355" width="5.75" style="1" customWidth="1"/>
    <col min="4356" max="4356" width="1.75" style="1" customWidth="1"/>
    <col min="4357" max="4357" width="10" style="1" customWidth="1"/>
    <col min="4358" max="4358" width="7" style="1" bestFit="1" customWidth="1"/>
    <col min="4359" max="4359" width="8.125" style="1" bestFit="1" customWidth="1"/>
    <col min="4360" max="4360" width="9.375" style="1" customWidth="1"/>
    <col min="4361" max="4361" width="4.375" style="1" customWidth="1"/>
    <col min="4362" max="4364" width="10.125" style="1"/>
    <col min="4365" max="4365" width="72.75" style="1" customWidth="1"/>
    <col min="4366" max="4608" width="10.125" style="1"/>
    <col min="4609" max="4609" width="3.125" style="1" customWidth="1"/>
    <col min="4610" max="4610" width="30.875" style="1" customWidth="1"/>
    <col min="4611" max="4611" width="5.75" style="1" customWidth="1"/>
    <col min="4612" max="4612" width="1.75" style="1" customWidth="1"/>
    <col min="4613" max="4613" width="10" style="1" customWidth="1"/>
    <col min="4614" max="4614" width="7" style="1" bestFit="1" customWidth="1"/>
    <col min="4615" max="4615" width="8.125" style="1" bestFit="1" customWidth="1"/>
    <col min="4616" max="4616" width="9.375" style="1" customWidth="1"/>
    <col min="4617" max="4617" width="4.375" style="1" customWidth="1"/>
    <col min="4618" max="4620" width="10.125" style="1"/>
    <col min="4621" max="4621" width="72.75" style="1" customWidth="1"/>
    <col min="4622" max="4864" width="10.125" style="1"/>
    <col min="4865" max="4865" width="3.125" style="1" customWidth="1"/>
    <col min="4866" max="4866" width="30.875" style="1" customWidth="1"/>
    <col min="4867" max="4867" width="5.75" style="1" customWidth="1"/>
    <col min="4868" max="4868" width="1.75" style="1" customWidth="1"/>
    <col min="4869" max="4869" width="10" style="1" customWidth="1"/>
    <col min="4870" max="4870" width="7" style="1" bestFit="1" customWidth="1"/>
    <col min="4871" max="4871" width="8.125" style="1" bestFit="1" customWidth="1"/>
    <col min="4872" max="4872" width="9.375" style="1" customWidth="1"/>
    <col min="4873" max="4873" width="4.375" style="1" customWidth="1"/>
    <col min="4874" max="4876" width="10.125" style="1"/>
    <col min="4877" max="4877" width="72.75" style="1" customWidth="1"/>
    <col min="4878" max="5120" width="10.125" style="1"/>
    <col min="5121" max="5121" width="3.125" style="1" customWidth="1"/>
    <col min="5122" max="5122" width="30.875" style="1" customWidth="1"/>
    <col min="5123" max="5123" width="5.75" style="1" customWidth="1"/>
    <col min="5124" max="5124" width="1.75" style="1" customWidth="1"/>
    <col min="5125" max="5125" width="10" style="1" customWidth="1"/>
    <col min="5126" max="5126" width="7" style="1" bestFit="1" customWidth="1"/>
    <col min="5127" max="5127" width="8.125" style="1" bestFit="1" customWidth="1"/>
    <col min="5128" max="5128" width="9.375" style="1" customWidth="1"/>
    <col min="5129" max="5129" width="4.375" style="1" customWidth="1"/>
    <col min="5130" max="5132" width="10.125" style="1"/>
    <col min="5133" max="5133" width="72.75" style="1" customWidth="1"/>
    <col min="5134" max="5376" width="10.125" style="1"/>
    <col min="5377" max="5377" width="3.125" style="1" customWidth="1"/>
    <col min="5378" max="5378" width="30.875" style="1" customWidth="1"/>
    <col min="5379" max="5379" width="5.75" style="1" customWidth="1"/>
    <col min="5380" max="5380" width="1.75" style="1" customWidth="1"/>
    <col min="5381" max="5381" width="10" style="1" customWidth="1"/>
    <col min="5382" max="5382" width="7" style="1" bestFit="1" customWidth="1"/>
    <col min="5383" max="5383" width="8.125" style="1" bestFit="1" customWidth="1"/>
    <col min="5384" max="5384" width="9.375" style="1" customWidth="1"/>
    <col min="5385" max="5385" width="4.375" style="1" customWidth="1"/>
    <col min="5386" max="5388" width="10.125" style="1"/>
    <col min="5389" max="5389" width="72.75" style="1" customWidth="1"/>
    <col min="5390" max="5632" width="10.125" style="1"/>
    <col min="5633" max="5633" width="3.125" style="1" customWidth="1"/>
    <col min="5634" max="5634" width="30.875" style="1" customWidth="1"/>
    <col min="5635" max="5635" width="5.75" style="1" customWidth="1"/>
    <col min="5636" max="5636" width="1.75" style="1" customWidth="1"/>
    <col min="5637" max="5637" width="10" style="1" customWidth="1"/>
    <col min="5638" max="5638" width="7" style="1" bestFit="1" customWidth="1"/>
    <col min="5639" max="5639" width="8.125" style="1" bestFit="1" customWidth="1"/>
    <col min="5640" max="5640" width="9.375" style="1" customWidth="1"/>
    <col min="5641" max="5641" width="4.375" style="1" customWidth="1"/>
    <col min="5642" max="5644" width="10.125" style="1"/>
    <col min="5645" max="5645" width="72.75" style="1" customWidth="1"/>
    <col min="5646" max="5888" width="10.125" style="1"/>
    <col min="5889" max="5889" width="3.125" style="1" customWidth="1"/>
    <col min="5890" max="5890" width="30.875" style="1" customWidth="1"/>
    <col min="5891" max="5891" width="5.75" style="1" customWidth="1"/>
    <col min="5892" max="5892" width="1.75" style="1" customWidth="1"/>
    <col min="5893" max="5893" width="10" style="1" customWidth="1"/>
    <col min="5894" max="5894" width="7" style="1" bestFit="1" customWidth="1"/>
    <col min="5895" max="5895" width="8.125" style="1" bestFit="1" customWidth="1"/>
    <col min="5896" max="5896" width="9.375" style="1" customWidth="1"/>
    <col min="5897" max="5897" width="4.375" style="1" customWidth="1"/>
    <col min="5898" max="5900" width="10.125" style="1"/>
    <col min="5901" max="5901" width="72.75" style="1" customWidth="1"/>
    <col min="5902" max="6144" width="10.125" style="1"/>
    <col min="6145" max="6145" width="3.125" style="1" customWidth="1"/>
    <col min="6146" max="6146" width="30.875" style="1" customWidth="1"/>
    <col min="6147" max="6147" width="5.75" style="1" customWidth="1"/>
    <col min="6148" max="6148" width="1.75" style="1" customWidth="1"/>
    <col min="6149" max="6149" width="10" style="1" customWidth="1"/>
    <col min="6150" max="6150" width="7" style="1" bestFit="1" customWidth="1"/>
    <col min="6151" max="6151" width="8.125" style="1" bestFit="1" customWidth="1"/>
    <col min="6152" max="6152" width="9.375" style="1" customWidth="1"/>
    <col min="6153" max="6153" width="4.375" style="1" customWidth="1"/>
    <col min="6154" max="6156" width="10.125" style="1"/>
    <col min="6157" max="6157" width="72.75" style="1" customWidth="1"/>
    <col min="6158" max="6400" width="10.125" style="1"/>
    <col min="6401" max="6401" width="3.125" style="1" customWidth="1"/>
    <col min="6402" max="6402" width="30.875" style="1" customWidth="1"/>
    <col min="6403" max="6403" width="5.75" style="1" customWidth="1"/>
    <col min="6404" max="6404" width="1.75" style="1" customWidth="1"/>
    <col min="6405" max="6405" width="10" style="1" customWidth="1"/>
    <col min="6406" max="6406" width="7" style="1" bestFit="1" customWidth="1"/>
    <col min="6407" max="6407" width="8.125" style="1" bestFit="1" customWidth="1"/>
    <col min="6408" max="6408" width="9.375" style="1" customWidth="1"/>
    <col min="6409" max="6409" width="4.375" style="1" customWidth="1"/>
    <col min="6410" max="6412" width="10.125" style="1"/>
    <col min="6413" max="6413" width="72.75" style="1" customWidth="1"/>
    <col min="6414" max="6656" width="10.125" style="1"/>
    <col min="6657" max="6657" width="3.125" style="1" customWidth="1"/>
    <col min="6658" max="6658" width="30.875" style="1" customWidth="1"/>
    <col min="6659" max="6659" width="5.75" style="1" customWidth="1"/>
    <col min="6660" max="6660" width="1.75" style="1" customWidth="1"/>
    <col min="6661" max="6661" width="10" style="1" customWidth="1"/>
    <col min="6662" max="6662" width="7" style="1" bestFit="1" customWidth="1"/>
    <col min="6663" max="6663" width="8.125" style="1" bestFit="1" customWidth="1"/>
    <col min="6664" max="6664" width="9.375" style="1" customWidth="1"/>
    <col min="6665" max="6665" width="4.375" style="1" customWidth="1"/>
    <col min="6666" max="6668" width="10.125" style="1"/>
    <col min="6669" max="6669" width="72.75" style="1" customWidth="1"/>
    <col min="6670" max="6912" width="10.125" style="1"/>
    <col min="6913" max="6913" width="3.125" style="1" customWidth="1"/>
    <col min="6914" max="6914" width="30.875" style="1" customWidth="1"/>
    <col min="6915" max="6915" width="5.75" style="1" customWidth="1"/>
    <col min="6916" max="6916" width="1.75" style="1" customWidth="1"/>
    <col min="6917" max="6917" width="10" style="1" customWidth="1"/>
    <col min="6918" max="6918" width="7" style="1" bestFit="1" customWidth="1"/>
    <col min="6919" max="6919" width="8.125" style="1" bestFit="1" customWidth="1"/>
    <col min="6920" max="6920" width="9.375" style="1" customWidth="1"/>
    <col min="6921" max="6921" width="4.375" style="1" customWidth="1"/>
    <col min="6922" max="6924" width="10.125" style="1"/>
    <col min="6925" max="6925" width="72.75" style="1" customWidth="1"/>
    <col min="6926" max="7168" width="10.125" style="1"/>
    <col min="7169" max="7169" width="3.125" style="1" customWidth="1"/>
    <col min="7170" max="7170" width="30.875" style="1" customWidth="1"/>
    <col min="7171" max="7171" width="5.75" style="1" customWidth="1"/>
    <col min="7172" max="7172" width="1.75" style="1" customWidth="1"/>
    <col min="7173" max="7173" width="10" style="1" customWidth="1"/>
    <col min="7174" max="7174" width="7" style="1" bestFit="1" customWidth="1"/>
    <col min="7175" max="7175" width="8.125" style="1" bestFit="1" customWidth="1"/>
    <col min="7176" max="7176" width="9.375" style="1" customWidth="1"/>
    <col min="7177" max="7177" width="4.375" style="1" customWidth="1"/>
    <col min="7178" max="7180" width="10.125" style="1"/>
    <col min="7181" max="7181" width="72.75" style="1" customWidth="1"/>
    <col min="7182" max="7424" width="10.125" style="1"/>
    <col min="7425" max="7425" width="3.125" style="1" customWidth="1"/>
    <col min="7426" max="7426" width="30.875" style="1" customWidth="1"/>
    <col min="7427" max="7427" width="5.75" style="1" customWidth="1"/>
    <col min="7428" max="7428" width="1.75" style="1" customWidth="1"/>
    <col min="7429" max="7429" width="10" style="1" customWidth="1"/>
    <col min="7430" max="7430" width="7" style="1" bestFit="1" customWidth="1"/>
    <col min="7431" max="7431" width="8.125" style="1" bestFit="1" customWidth="1"/>
    <col min="7432" max="7432" width="9.375" style="1" customWidth="1"/>
    <col min="7433" max="7433" width="4.375" style="1" customWidth="1"/>
    <col min="7434" max="7436" width="10.125" style="1"/>
    <col min="7437" max="7437" width="72.75" style="1" customWidth="1"/>
    <col min="7438" max="7680" width="10.125" style="1"/>
    <col min="7681" max="7681" width="3.125" style="1" customWidth="1"/>
    <col min="7682" max="7682" width="30.875" style="1" customWidth="1"/>
    <col min="7683" max="7683" width="5.75" style="1" customWidth="1"/>
    <col min="7684" max="7684" width="1.75" style="1" customWidth="1"/>
    <col min="7685" max="7685" width="10" style="1" customWidth="1"/>
    <col min="7686" max="7686" width="7" style="1" bestFit="1" customWidth="1"/>
    <col min="7687" max="7687" width="8.125" style="1" bestFit="1" customWidth="1"/>
    <col min="7688" max="7688" width="9.375" style="1" customWidth="1"/>
    <col min="7689" max="7689" width="4.375" style="1" customWidth="1"/>
    <col min="7690" max="7692" width="10.125" style="1"/>
    <col min="7693" max="7693" width="72.75" style="1" customWidth="1"/>
    <col min="7694" max="7936" width="10.125" style="1"/>
    <col min="7937" max="7937" width="3.125" style="1" customWidth="1"/>
    <col min="7938" max="7938" width="30.875" style="1" customWidth="1"/>
    <col min="7939" max="7939" width="5.75" style="1" customWidth="1"/>
    <col min="7940" max="7940" width="1.75" style="1" customWidth="1"/>
    <col min="7941" max="7941" width="10" style="1" customWidth="1"/>
    <col min="7942" max="7942" width="7" style="1" bestFit="1" customWidth="1"/>
    <col min="7943" max="7943" width="8.125" style="1" bestFit="1" customWidth="1"/>
    <col min="7944" max="7944" width="9.375" style="1" customWidth="1"/>
    <col min="7945" max="7945" width="4.375" style="1" customWidth="1"/>
    <col min="7946" max="7948" width="10.125" style="1"/>
    <col min="7949" max="7949" width="72.75" style="1" customWidth="1"/>
    <col min="7950" max="8192" width="10.125" style="1"/>
    <col min="8193" max="8193" width="3.125" style="1" customWidth="1"/>
    <col min="8194" max="8194" width="30.875" style="1" customWidth="1"/>
    <col min="8195" max="8195" width="5.75" style="1" customWidth="1"/>
    <col min="8196" max="8196" width="1.75" style="1" customWidth="1"/>
    <col min="8197" max="8197" width="10" style="1" customWidth="1"/>
    <col min="8198" max="8198" width="7" style="1" bestFit="1" customWidth="1"/>
    <col min="8199" max="8199" width="8.125" style="1" bestFit="1" customWidth="1"/>
    <col min="8200" max="8200" width="9.375" style="1" customWidth="1"/>
    <col min="8201" max="8201" width="4.375" style="1" customWidth="1"/>
    <col min="8202" max="8204" width="10.125" style="1"/>
    <col min="8205" max="8205" width="72.75" style="1" customWidth="1"/>
    <col min="8206" max="8448" width="10.125" style="1"/>
    <col min="8449" max="8449" width="3.125" style="1" customWidth="1"/>
    <col min="8450" max="8450" width="30.875" style="1" customWidth="1"/>
    <col min="8451" max="8451" width="5.75" style="1" customWidth="1"/>
    <col min="8452" max="8452" width="1.75" style="1" customWidth="1"/>
    <col min="8453" max="8453" width="10" style="1" customWidth="1"/>
    <col min="8454" max="8454" width="7" style="1" bestFit="1" customWidth="1"/>
    <col min="8455" max="8455" width="8.125" style="1" bestFit="1" customWidth="1"/>
    <col min="8456" max="8456" width="9.375" style="1" customWidth="1"/>
    <col min="8457" max="8457" width="4.375" style="1" customWidth="1"/>
    <col min="8458" max="8460" width="10.125" style="1"/>
    <col min="8461" max="8461" width="72.75" style="1" customWidth="1"/>
    <col min="8462" max="8704" width="10.125" style="1"/>
    <col min="8705" max="8705" width="3.125" style="1" customWidth="1"/>
    <col min="8706" max="8706" width="30.875" style="1" customWidth="1"/>
    <col min="8707" max="8707" width="5.75" style="1" customWidth="1"/>
    <col min="8708" max="8708" width="1.75" style="1" customWidth="1"/>
    <col min="8709" max="8709" width="10" style="1" customWidth="1"/>
    <col min="8710" max="8710" width="7" style="1" bestFit="1" customWidth="1"/>
    <col min="8711" max="8711" width="8.125" style="1" bestFit="1" customWidth="1"/>
    <col min="8712" max="8712" width="9.375" style="1" customWidth="1"/>
    <col min="8713" max="8713" width="4.375" style="1" customWidth="1"/>
    <col min="8714" max="8716" width="10.125" style="1"/>
    <col min="8717" max="8717" width="72.75" style="1" customWidth="1"/>
    <col min="8718" max="8960" width="10.125" style="1"/>
    <col min="8961" max="8961" width="3.125" style="1" customWidth="1"/>
    <col min="8962" max="8962" width="30.875" style="1" customWidth="1"/>
    <col min="8963" max="8963" width="5.75" style="1" customWidth="1"/>
    <col min="8964" max="8964" width="1.75" style="1" customWidth="1"/>
    <col min="8965" max="8965" width="10" style="1" customWidth="1"/>
    <col min="8966" max="8966" width="7" style="1" bestFit="1" customWidth="1"/>
    <col min="8967" max="8967" width="8.125" style="1" bestFit="1" customWidth="1"/>
    <col min="8968" max="8968" width="9.375" style="1" customWidth="1"/>
    <col min="8969" max="8969" width="4.375" style="1" customWidth="1"/>
    <col min="8970" max="8972" width="10.125" style="1"/>
    <col min="8973" max="8973" width="72.75" style="1" customWidth="1"/>
    <col min="8974" max="9216" width="10.125" style="1"/>
    <col min="9217" max="9217" width="3.125" style="1" customWidth="1"/>
    <col min="9218" max="9218" width="30.875" style="1" customWidth="1"/>
    <col min="9219" max="9219" width="5.75" style="1" customWidth="1"/>
    <col min="9220" max="9220" width="1.75" style="1" customWidth="1"/>
    <col min="9221" max="9221" width="10" style="1" customWidth="1"/>
    <col min="9222" max="9222" width="7" style="1" bestFit="1" customWidth="1"/>
    <col min="9223" max="9223" width="8.125" style="1" bestFit="1" customWidth="1"/>
    <col min="9224" max="9224" width="9.375" style="1" customWidth="1"/>
    <col min="9225" max="9225" width="4.375" style="1" customWidth="1"/>
    <col min="9226" max="9228" width="10.125" style="1"/>
    <col min="9229" max="9229" width="72.75" style="1" customWidth="1"/>
    <col min="9230" max="9472" width="10.125" style="1"/>
    <col min="9473" max="9473" width="3.125" style="1" customWidth="1"/>
    <col min="9474" max="9474" width="30.875" style="1" customWidth="1"/>
    <col min="9475" max="9475" width="5.75" style="1" customWidth="1"/>
    <col min="9476" max="9476" width="1.75" style="1" customWidth="1"/>
    <col min="9477" max="9477" width="10" style="1" customWidth="1"/>
    <col min="9478" max="9478" width="7" style="1" bestFit="1" customWidth="1"/>
    <col min="9479" max="9479" width="8.125" style="1" bestFit="1" customWidth="1"/>
    <col min="9480" max="9480" width="9.375" style="1" customWidth="1"/>
    <col min="9481" max="9481" width="4.375" style="1" customWidth="1"/>
    <col min="9482" max="9484" width="10.125" style="1"/>
    <col min="9485" max="9485" width="72.75" style="1" customWidth="1"/>
    <col min="9486" max="9728" width="10.125" style="1"/>
    <col min="9729" max="9729" width="3.125" style="1" customWidth="1"/>
    <col min="9730" max="9730" width="30.875" style="1" customWidth="1"/>
    <col min="9731" max="9731" width="5.75" style="1" customWidth="1"/>
    <col min="9732" max="9732" width="1.75" style="1" customWidth="1"/>
    <col min="9733" max="9733" width="10" style="1" customWidth="1"/>
    <col min="9734" max="9734" width="7" style="1" bestFit="1" customWidth="1"/>
    <col min="9735" max="9735" width="8.125" style="1" bestFit="1" customWidth="1"/>
    <col min="9736" max="9736" width="9.375" style="1" customWidth="1"/>
    <col min="9737" max="9737" width="4.375" style="1" customWidth="1"/>
    <col min="9738" max="9740" width="10.125" style="1"/>
    <col min="9741" max="9741" width="72.75" style="1" customWidth="1"/>
    <col min="9742" max="9984" width="10.125" style="1"/>
    <col min="9985" max="9985" width="3.125" style="1" customWidth="1"/>
    <col min="9986" max="9986" width="30.875" style="1" customWidth="1"/>
    <col min="9987" max="9987" width="5.75" style="1" customWidth="1"/>
    <col min="9988" max="9988" width="1.75" style="1" customWidth="1"/>
    <col min="9989" max="9989" width="10" style="1" customWidth="1"/>
    <col min="9990" max="9990" width="7" style="1" bestFit="1" customWidth="1"/>
    <col min="9991" max="9991" width="8.125" style="1" bestFit="1" customWidth="1"/>
    <col min="9992" max="9992" width="9.375" style="1" customWidth="1"/>
    <col min="9993" max="9993" width="4.375" style="1" customWidth="1"/>
    <col min="9994" max="9996" width="10.125" style="1"/>
    <col min="9997" max="9997" width="72.75" style="1" customWidth="1"/>
    <col min="9998" max="10240" width="10.125" style="1"/>
    <col min="10241" max="10241" width="3.125" style="1" customWidth="1"/>
    <col min="10242" max="10242" width="30.875" style="1" customWidth="1"/>
    <col min="10243" max="10243" width="5.75" style="1" customWidth="1"/>
    <col min="10244" max="10244" width="1.75" style="1" customWidth="1"/>
    <col min="10245" max="10245" width="10" style="1" customWidth="1"/>
    <col min="10246" max="10246" width="7" style="1" bestFit="1" customWidth="1"/>
    <col min="10247" max="10247" width="8.125" style="1" bestFit="1" customWidth="1"/>
    <col min="10248" max="10248" width="9.375" style="1" customWidth="1"/>
    <col min="10249" max="10249" width="4.375" style="1" customWidth="1"/>
    <col min="10250" max="10252" width="10.125" style="1"/>
    <col min="10253" max="10253" width="72.75" style="1" customWidth="1"/>
    <col min="10254" max="10496" width="10.125" style="1"/>
    <col min="10497" max="10497" width="3.125" style="1" customWidth="1"/>
    <col min="10498" max="10498" width="30.875" style="1" customWidth="1"/>
    <col min="10499" max="10499" width="5.75" style="1" customWidth="1"/>
    <col min="10500" max="10500" width="1.75" style="1" customWidth="1"/>
    <col min="10501" max="10501" width="10" style="1" customWidth="1"/>
    <col min="10502" max="10502" width="7" style="1" bestFit="1" customWidth="1"/>
    <col min="10503" max="10503" width="8.125" style="1" bestFit="1" customWidth="1"/>
    <col min="10504" max="10504" width="9.375" style="1" customWidth="1"/>
    <col min="10505" max="10505" width="4.375" style="1" customWidth="1"/>
    <col min="10506" max="10508" width="10.125" style="1"/>
    <col min="10509" max="10509" width="72.75" style="1" customWidth="1"/>
    <col min="10510" max="10752" width="10.125" style="1"/>
    <col min="10753" max="10753" width="3.125" style="1" customWidth="1"/>
    <col min="10754" max="10754" width="30.875" style="1" customWidth="1"/>
    <col min="10755" max="10755" width="5.75" style="1" customWidth="1"/>
    <col min="10756" max="10756" width="1.75" style="1" customWidth="1"/>
    <col min="10757" max="10757" width="10" style="1" customWidth="1"/>
    <col min="10758" max="10758" width="7" style="1" bestFit="1" customWidth="1"/>
    <col min="10759" max="10759" width="8.125" style="1" bestFit="1" customWidth="1"/>
    <col min="10760" max="10760" width="9.375" style="1" customWidth="1"/>
    <col min="10761" max="10761" width="4.375" style="1" customWidth="1"/>
    <col min="10762" max="10764" width="10.125" style="1"/>
    <col min="10765" max="10765" width="72.75" style="1" customWidth="1"/>
    <col min="10766" max="11008" width="10.125" style="1"/>
    <col min="11009" max="11009" width="3.125" style="1" customWidth="1"/>
    <col min="11010" max="11010" width="30.875" style="1" customWidth="1"/>
    <col min="11011" max="11011" width="5.75" style="1" customWidth="1"/>
    <col min="11012" max="11012" width="1.75" style="1" customWidth="1"/>
    <col min="11013" max="11013" width="10" style="1" customWidth="1"/>
    <col min="11014" max="11014" width="7" style="1" bestFit="1" customWidth="1"/>
    <col min="11015" max="11015" width="8.125" style="1" bestFit="1" customWidth="1"/>
    <col min="11016" max="11016" width="9.375" style="1" customWidth="1"/>
    <col min="11017" max="11017" width="4.375" style="1" customWidth="1"/>
    <col min="11018" max="11020" width="10.125" style="1"/>
    <col min="11021" max="11021" width="72.75" style="1" customWidth="1"/>
    <col min="11022" max="11264" width="10.125" style="1"/>
    <col min="11265" max="11265" width="3.125" style="1" customWidth="1"/>
    <col min="11266" max="11266" width="30.875" style="1" customWidth="1"/>
    <col min="11267" max="11267" width="5.75" style="1" customWidth="1"/>
    <col min="11268" max="11268" width="1.75" style="1" customWidth="1"/>
    <col min="11269" max="11269" width="10" style="1" customWidth="1"/>
    <col min="11270" max="11270" width="7" style="1" bestFit="1" customWidth="1"/>
    <col min="11271" max="11271" width="8.125" style="1" bestFit="1" customWidth="1"/>
    <col min="11272" max="11272" width="9.375" style="1" customWidth="1"/>
    <col min="11273" max="11273" width="4.375" style="1" customWidth="1"/>
    <col min="11274" max="11276" width="10.125" style="1"/>
    <col min="11277" max="11277" width="72.75" style="1" customWidth="1"/>
    <col min="11278" max="11520" width="10.125" style="1"/>
    <col min="11521" max="11521" width="3.125" style="1" customWidth="1"/>
    <col min="11522" max="11522" width="30.875" style="1" customWidth="1"/>
    <col min="11523" max="11523" width="5.75" style="1" customWidth="1"/>
    <col min="11524" max="11524" width="1.75" style="1" customWidth="1"/>
    <col min="11525" max="11525" width="10" style="1" customWidth="1"/>
    <col min="11526" max="11526" width="7" style="1" bestFit="1" customWidth="1"/>
    <col min="11527" max="11527" width="8.125" style="1" bestFit="1" customWidth="1"/>
    <col min="11528" max="11528" width="9.375" style="1" customWidth="1"/>
    <col min="11529" max="11529" width="4.375" style="1" customWidth="1"/>
    <col min="11530" max="11532" width="10.125" style="1"/>
    <col min="11533" max="11533" width="72.75" style="1" customWidth="1"/>
    <col min="11534" max="11776" width="10.125" style="1"/>
    <col min="11777" max="11777" width="3.125" style="1" customWidth="1"/>
    <col min="11778" max="11778" width="30.875" style="1" customWidth="1"/>
    <col min="11779" max="11779" width="5.75" style="1" customWidth="1"/>
    <col min="11780" max="11780" width="1.75" style="1" customWidth="1"/>
    <col min="11781" max="11781" width="10" style="1" customWidth="1"/>
    <col min="11782" max="11782" width="7" style="1" bestFit="1" customWidth="1"/>
    <col min="11783" max="11783" width="8.125" style="1" bestFit="1" customWidth="1"/>
    <col min="11784" max="11784" width="9.375" style="1" customWidth="1"/>
    <col min="11785" max="11785" width="4.375" style="1" customWidth="1"/>
    <col min="11786" max="11788" width="10.125" style="1"/>
    <col min="11789" max="11789" width="72.75" style="1" customWidth="1"/>
    <col min="11790" max="12032" width="10.125" style="1"/>
    <col min="12033" max="12033" width="3.125" style="1" customWidth="1"/>
    <col min="12034" max="12034" width="30.875" style="1" customWidth="1"/>
    <col min="12035" max="12035" width="5.75" style="1" customWidth="1"/>
    <col min="12036" max="12036" width="1.75" style="1" customWidth="1"/>
    <col min="12037" max="12037" width="10" style="1" customWidth="1"/>
    <col min="12038" max="12038" width="7" style="1" bestFit="1" customWidth="1"/>
    <col min="12039" max="12039" width="8.125" style="1" bestFit="1" customWidth="1"/>
    <col min="12040" max="12040" width="9.375" style="1" customWidth="1"/>
    <col min="12041" max="12041" width="4.375" style="1" customWidth="1"/>
    <col min="12042" max="12044" width="10.125" style="1"/>
    <col min="12045" max="12045" width="72.75" style="1" customWidth="1"/>
    <col min="12046" max="12288" width="10.125" style="1"/>
    <col min="12289" max="12289" width="3.125" style="1" customWidth="1"/>
    <col min="12290" max="12290" width="30.875" style="1" customWidth="1"/>
    <col min="12291" max="12291" width="5.75" style="1" customWidth="1"/>
    <col min="12292" max="12292" width="1.75" style="1" customWidth="1"/>
    <col min="12293" max="12293" width="10" style="1" customWidth="1"/>
    <col min="12294" max="12294" width="7" style="1" bestFit="1" customWidth="1"/>
    <col min="12295" max="12295" width="8.125" style="1" bestFit="1" customWidth="1"/>
    <col min="12296" max="12296" width="9.375" style="1" customWidth="1"/>
    <col min="12297" max="12297" width="4.375" style="1" customWidth="1"/>
    <col min="12298" max="12300" width="10.125" style="1"/>
    <col min="12301" max="12301" width="72.75" style="1" customWidth="1"/>
    <col min="12302" max="12544" width="10.125" style="1"/>
    <col min="12545" max="12545" width="3.125" style="1" customWidth="1"/>
    <col min="12546" max="12546" width="30.875" style="1" customWidth="1"/>
    <col min="12547" max="12547" width="5.75" style="1" customWidth="1"/>
    <col min="12548" max="12548" width="1.75" style="1" customWidth="1"/>
    <col min="12549" max="12549" width="10" style="1" customWidth="1"/>
    <col min="12550" max="12550" width="7" style="1" bestFit="1" customWidth="1"/>
    <col min="12551" max="12551" width="8.125" style="1" bestFit="1" customWidth="1"/>
    <col min="12552" max="12552" width="9.375" style="1" customWidth="1"/>
    <col min="12553" max="12553" width="4.375" style="1" customWidth="1"/>
    <col min="12554" max="12556" width="10.125" style="1"/>
    <col min="12557" max="12557" width="72.75" style="1" customWidth="1"/>
    <col min="12558" max="12800" width="10.125" style="1"/>
    <col min="12801" max="12801" width="3.125" style="1" customWidth="1"/>
    <col min="12802" max="12802" width="30.875" style="1" customWidth="1"/>
    <col min="12803" max="12803" width="5.75" style="1" customWidth="1"/>
    <col min="12804" max="12804" width="1.75" style="1" customWidth="1"/>
    <col min="12805" max="12805" width="10" style="1" customWidth="1"/>
    <col min="12806" max="12806" width="7" style="1" bestFit="1" customWidth="1"/>
    <col min="12807" max="12807" width="8.125" style="1" bestFit="1" customWidth="1"/>
    <col min="12808" max="12808" width="9.375" style="1" customWidth="1"/>
    <col min="12809" max="12809" width="4.375" style="1" customWidth="1"/>
    <col min="12810" max="12812" width="10.125" style="1"/>
    <col min="12813" max="12813" width="72.75" style="1" customWidth="1"/>
    <col min="12814" max="13056" width="10.125" style="1"/>
    <col min="13057" max="13057" width="3.125" style="1" customWidth="1"/>
    <col min="13058" max="13058" width="30.875" style="1" customWidth="1"/>
    <col min="13059" max="13059" width="5.75" style="1" customWidth="1"/>
    <col min="13060" max="13060" width="1.75" style="1" customWidth="1"/>
    <col min="13061" max="13061" width="10" style="1" customWidth="1"/>
    <col min="13062" max="13062" width="7" style="1" bestFit="1" customWidth="1"/>
    <col min="13063" max="13063" width="8.125" style="1" bestFit="1" customWidth="1"/>
    <col min="13064" max="13064" width="9.375" style="1" customWidth="1"/>
    <col min="13065" max="13065" width="4.375" style="1" customWidth="1"/>
    <col min="13066" max="13068" width="10.125" style="1"/>
    <col min="13069" max="13069" width="72.75" style="1" customWidth="1"/>
    <col min="13070" max="13312" width="10.125" style="1"/>
    <col min="13313" max="13313" width="3.125" style="1" customWidth="1"/>
    <col min="13314" max="13314" width="30.875" style="1" customWidth="1"/>
    <col min="13315" max="13315" width="5.75" style="1" customWidth="1"/>
    <col min="13316" max="13316" width="1.75" style="1" customWidth="1"/>
    <col min="13317" max="13317" width="10" style="1" customWidth="1"/>
    <col min="13318" max="13318" width="7" style="1" bestFit="1" customWidth="1"/>
    <col min="13319" max="13319" width="8.125" style="1" bestFit="1" customWidth="1"/>
    <col min="13320" max="13320" width="9.375" style="1" customWidth="1"/>
    <col min="13321" max="13321" width="4.375" style="1" customWidth="1"/>
    <col min="13322" max="13324" width="10.125" style="1"/>
    <col min="13325" max="13325" width="72.75" style="1" customWidth="1"/>
    <col min="13326" max="13568" width="10.125" style="1"/>
    <col min="13569" max="13569" width="3.125" style="1" customWidth="1"/>
    <col min="13570" max="13570" width="30.875" style="1" customWidth="1"/>
    <col min="13571" max="13571" width="5.75" style="1" customWidth="1"/>
    <col min="13572" max="13572" width="1.75" style="1" customWidth="1"/>
    <col min="13573" max="13573" width="10" style="1" customWidth="1"/>
    <col min="13574" max="13574" width="7" style="1" bestFit="1" customWidth="1"/>
    <col min="13575" max="13575" width="8.125" style="1" bestFit="1" customWidth="1"/>
    <col min="13576" max="13576" width="9.375" style="1" customWidth="1"/>
    <col min="13577" max="13577" width="4.375" style="1" customWidth="1"/>
    <col min="13578" max="13580" width="10.125" style="1"/>
    <col min="13581" max="13581" width="72.75" style="1" customWidth="1"/>
    <col min="13582" max="13824" width="10.125" style="1"/>
    <col min="13825" max="13825" width="3.125" style="1" customWidth="1"/>
    <col min="13826" max="13826" width="30.875" style="1" customWidth="1"/>
    <col min="13827" max="13827" width="5.75" style="1" customWidth="1"/>
    <col min="13828" max="13828" width="1.75" style="1" customWidth="1"/>
    <col min="13829" max="13829" width="10" style="1" customWidth="1"/>
    <col min="13830" max="13830" width="7" style="1" bestFit="1" customWidth="1"/>
    <col min="13831" max="13831" width="8.125" style="1" bestFit="1" customWidth="1"/>
    <col min="13832" max="13832" width="9.375" style="1" customWidth="1"/>
    <col min="13833" max="13833" width="4.375" style="1" customWidth="1"/>
    <col min="13834" max="13836" width="10.125" style="1"/>
    <col min="13837" max="13837" width="72.75" style="1" customWidth="1"/>
    <col min="13838" max="14080" width="10.125" style="1"/>
    <col min="14081" max="14081" width="3.125" style="1" customWidth="1"/>
    <col min="14082" max="14082" width="30.875" style="1" customWidth="1"/>
    <col min="14083" max="14083" width="5.75" style="1" customWidth="1"/>
    <col min="14084" max="14084" width="1.75" style="1" customWidth="1"/>
    <col min="14085" max="14085" width="10" style="1" customWidth="1"/>
    <col min="14086" max="14086" width="7" style="1" bestFit="1" customWidth="1"/>
    <col min="14087" max="14087" width="8.125" style="1" bestFit="1" customWidth="1"/>
    <col min="14088" max="14088" width="9.375" style="1" customWidth="1"/>
    <col min="14089" max="14089" width="4.375" style="1" customWidth="1"/>
    <col min="14090" max="14092" width="10.125" style="1"/>
    <col min="14093" max="14093" width="72.75" style="1" customWidth="1"/>
    <col min="14094" max="14336" width="10.125" style="1"/>
    <col min="14337" max="14337" width="3.125" style="1" customWidth="1"/>
    <col min="14338" max="14338" width="30.875" style="1" customWidth="1"/>
    <col min="14339" max="14339" width="5.75" style="1" customWidth="1"/>
    <col min="14340" max="14340" width="1.75" style="1" customWidth="1"/>
    <col min="14341" max="14341" width="10" style="1" customWidth="1"/>
    <col min="14342" max="14342" width="7" style="1" bestFit="1" customWidth="1"/>
    <col min="14343" max="14343" width="8.125" style="1" bestFit="1" customWidth="1"/>
    <col min="14344" max="14344" width="9.375" style="1" customWidth="1"/>
    <col min="14345" max="14345" width="4.375" style="1" customWidth="1"/>
    <col min="14346" max="14348" width="10.125" style="1"/>
    <col min="14349" max="14349" width="72.75" style="1" customWidth="1"/>
    <col min="14350" max="14592" width="10.125" style="1"/>
    <col min="14593" max="14593" width="3.125" style="1" customWidth="1"/>
    <col min="14594" max="14594" width="30.875" style="1" customWidth="1"/>
    <col min="14595" max="14595" width="5.75" style="1" customWidth="1"/>
    <col min="14596" max="14596" width="1.75" style="1" customWidth="1"/>
    <col min="14597" max="14597" width="10" style="1" customWidth="1"/>
    <col min="14598" max="14598" width="7" style="1" bestFit="1" customWidth="1"/>
    <col min="14599" max="14599" width="8.125" style="1" bestFit="1" customWidth="1"/>
    <col min="14600" max="14600" width="9.375" style="1" customWidth="1"/>
    <col min="14601" max="14601" width="4.375" style="1" customWidth="1"/>
    <col min="14602" max="14604" width="10.125" style="1"/>
    <col min="14605" max="14605" width="72.75" style="1" customWidth="1"/>
    <col min="14606" max="14848" width="10.125" style="1"/>
    <col min="14849" max="14849" width="3.125" style="1" customWidth="1"/>
    <col min="14850" max="14850" width="30.875" style="1" customWidth="1"/>
    <col min="14851" max="14851" width="5.75" style="1" customWidth="1"/>
    <col min="14852" max="14852" width="1.75" style="1" customWidth="1"/>
    <col min="14853" max="14853" width="10" style="1" customWidth="1"/>
    <col min="14854" max="14854" width="7" style="1" bestFit="1" customWidth="1"/>
    <col min="14855" max="14855" width="8.125" style="1" bestFit="1" customWidth="1"/>
    <col min="14856" max="14856" width="9.375" style="1" customWidth="1"/>
    <col min="14857" max="14857" width="4.375" style="1" customWidth="1"/>
    <col min="14858" max="14860" width="10.125" style="1"/>
    <col min="14861" max="14861" width="72.75" style="1" customWidth="1"/>
    <col min="14862" max="15104" width="10.125" style="1"/>
    <col min="15105" max="15105" width="3.125" style="1" customWidth="1"/>
    <col min="15106" max="15106" width="30.875" style="1" customWidth="1"/>
    <col min="15107" max="15107" width="5.75" style="1" customWidth="1"/>
    <col min="15108" max="15108" width="1.75" style="1" customWidth="1"/>
    <col min="15109" max="15109" width="10" style="1" customWidth="1"/>
    <col min="15110" max="15110" width="7" style="1" bestFit="1" customWidth="1"/>
    <col min="15111" max="15111" width="8.125" style="1" bestFit="1" customWidth="1"/>
    <col min="15112" max="15112" width="9.375" style="1" customWidth="1"/>
    <col min="15113" max="15113" width="4.375" style="1" customWidth="1"/>
    <col min="15114" max="15116" width="10.125" style="1"/>
    <col min="15117" max="15117" width="72.75" style="1" customWidth="1"/>
    <col min="15118" max="15360" width="10.125" style="1"/>
    <col min="15361" max="15361" width="3.125" style="1" customWidth="1"/>
    <col min="15362" max="15362" width="30.875" style="1" customWidth="1"/>
    <col min="15363" max="15363" width="5.75" style="1" customWidth="1"/>
    <col min="15364" max="15364" width="1.75" style="1" customWidth="1"/>
    <col min="15365" max="15365" width="10" style="1" customWidth="1"/>
    <col min="15366" max="15366" width="7" style="1" bestFit="1" customWidth="1"/>
    <col min="15367" max="15367" width="8.125" style="1" bestFit="1" customWidth="1"/>
    <col min="15368" max="15368" width="9.375" style="1" customWidth="1"/>
    <col min="15369" max="15369" width="4.375" style="1" customWidth="1"/>
    <col min="15370" max="15372" width="10.125" style="1"/>
    <col min="15373" max="15373" width="72.75" style="1" customWidth="1"/>
    <col min="15374" max="15616" width="10.125" style="1"/>
    <col min="15617" max="15617" width="3.125" style="1" customWidth="1"/>
    <col min="15618" max="15618" width="30.875" style="1" customWidth="1"/>
    <col min="15619" max="15619" width="5.75" style="1" customWidth="1"/>
    <col min="15620" max="15620" width="1.75" style="1" customWidth="1"/>
    <col min="15621" max="15621" width="10" style="1" customWidth="1"/>
    <col min="15622" max="15622" width="7" style="1" bestFit="1" customWidth="1"/>
    <col min="15623" max="15623" width="8.125" style="1" bestFit="1" customWidth="1"/>
    <col min="15624" max="15624" width="9.375" style="1" customWidth="1"/>
    <col min="15625" max="15625" width="4.375" style="1" customWidth="1"/>
    <col min="15626" max="15628" width="10.125" style="1"/>
    <col min="15629" max="15629" width="72.75" style="1" customWidth="1"/>
    <col min="15630" max="15872" width="10.125" style="1"/>
    <col min="15873" max="15873" width="3.125" style="1" customWidth="1"/>
    <col min="15874" max="15874" width="30.875" style="1" customWidth="1"/>
    <col min="15875" max="15875" width="5.75" style="1" customWidth="1"/>
    <col min="15876" max="15876" width="1.75" style="1" customWidth="1"/>
    <col min="15877" max="15877" width="10" style="1" customWidth="1"/>
    <col min="15878" max="15878" width="7" style="1" bestFit="1" customWidth="1"/>
    <col min="15879" max="15879" width="8.125" style="1" bestFit="1" customWidth="1"/>
    <col min="15880" max="15880" width="9.375" style="1" customWidth="1"/>
    <col min="15881" max="15881" width="4.375" style="1" customWidth="1"/>
    <col min="15882" max="15884" width="10.125" style="1"/>
    <col min="15885" max="15885" width="72.75" style="1" customWidth="1"/>
    <col min="15886" max="16128" width="10.125" style="1"/>
    <col min="16129" max="16129" width="3.125" style="1" customWidth="1"/>
    <col min="16130" max="16130" width="30.875" style="1" customWidth="1"/>
    <col min="16131" max="16131" width="5.75" style="1" customWidth="1"/>
    <col min="16132" max="16132" width="1.75" style="1" customWidth="1"/>
    <col min="16133" max="16133" width="10" style="1" customWidth="1"/>
    <col min="16134" max="16134" width="7" style="1" bestFit="1" customWidth="1"/>
    <col min="16135" max="16135" width="8.125" style="1" bestFit="1" customWidth="1"/>
    <col min="16136" max="16136" width="9.375" style="1" customWidth="1"/>
    <col min="16137" max="16137" width="4.375" style="1" customWidth="1"/>
    <col min="16138" max="16140" width="10.125" style="1"/>
    <col min="16141" max="16141" width="72.75" style="1" customWidth="1"/>
    <col min="16142" max="16384" width="10.125" style="1"/>
  </cols>
  <sheetData>
    <row r="1" spans="1:8" x14ac:dyDescent="0.25">
      <c r="F1" s="3"/>
    </row>
    <row r="5" spans="1:8" x14ac:dyDescent="0.25">
      <c r="A5" s="4" t="s">
        <v>0</v>
      </c>
      <c r="B5" s="5"/>
      <c r="C5" s="5"/>
    </row>
    <row r="6" spans="1:8" ht="9" customHeight="1" x14ac:dyDescent="0.25">
      <c r="A6" s="4"/>
      <c r="B6" s="5"/>
      <c r="C6" s="5"/>
    </row>
    <row r="7" spans="1:8" s="7" customFormat="1" ht="15" x14ac:dyDescent="0.25">
      <c r="A7" s="7" t="s">
        <v>64</v>
      </c>
      <c r="B7" s="8"/>
      <c r="D7" s="9"/>
      <c r="E7" s="131" t="s">
        <v>2</v>
      </c>
      <c r="F7" s="132"/>
      <c r="G7" s="133">
        <v>45420</v>
      </c>
      <c r="H7" s="134"/>
    </row>
    <row r="8" spans="1:8" s="7" customFormat="1" ht="15" x14ac:dyDescent="0.25">
      <c r="A8" s="7" t="s">
        <v>61</v>
      </c>
      <c r="B8" s="8"/>
      <c r="D8" s="9"/>
      <c r="E8" s="135" t="s">
        <v>3</v>
      </c>
      <c r="F8" s="136"/>
      <c r="H8" s="11">
        <v>60431</v>
      </c>
    </row>
    <row r="9" spans="1:8" s="7" customFormat="1" ht="15" x14ac:dyDescent="0.25">
      <c r="A9" s="7" t="s">
        <v>63</v>
      </c>
      <c r="B9" s="8"/>
      <c r="D9" s="9"/>
      <c r="E9" s="135" t="s">
        <v>4</v>
      </c>
      <c r="F9" s="136"/>
      <c r="G9" s="137" t="s">
        <v>67</v>
      </c>
      <c r="H9" s="138"/>
    </row>
    <row r="10" spans="1:8" s="7" customFormat="1" ht="15" x14ac:dyDescent="0.25">
      <c r="B10" s="8"/>
      <c r="D10" s="9"/>
      <c r="E10" s="13" t="s">
        <v>5</v>
      </c>
      <c r="F10" s="14"/>
      <c r="G10" s="139">
        <f>+G7</f>
        <v>45420</v>
      </c>
      <c r="H10" s="140"/>
    </row>
    <row r="11" spans="1:8" s="7" customFormat="1" ht="15" x14ac:dyDescent="0.25">
      <c r="A11" s="15" t="s">
        <v>62</v>
      </c>
      <c r="B11" s="8"/>
      <c r="D11" s="9"/>
      <c r="E11" s="10" t="s">
        <v>6</v>
      </c>
      <c r="F11" s="125" t="s">
        <v>7</v>
      </c>
      <c r="G11" s="125"/>
      <c r="H11" s="126"/>
    </row>
    <row r="12" spans="1:8" s="7" customFormat="1" ht="15" x14ac:dyDescent="0.25">
      <c r="A12" s="15"/>
      <c r="B12" s="8"/>
      <c r="D12" s="9"/>
      <c r="E12" s="13" t="s">
        <v>8</v>
      </c>
      <c r="F12" s="127" t="s">
        <v>9</v>
      </c>
      <c r="G12" s="127"/>
      <c r="H12" s="128"/>
    </row>
    <row r="13" spans="1:8" s="7" customFormat="1" ht="15" x14ac:dyDescent="0.25">
      <c r="D13" s="9"/>
      <c r="E13" s="17"/>
      <c r="F13" s="18"/>
    </row>
    <row r="14" spans="1:8" s="15" customFormat="1" ht="14.25" x14ac:dyDescent="0.2"/>
    <row r="15" spans="1:8" s="15" customFormat="1" ht="14.25" x14ac:dyDescent="0.2"/>
    <row r="16" spans="1:8" s="15" customFormat="1" ht="14.25" x14ac:dyDescent="0.2"/>
    <row r="17" spans="1:8" s="15" customFormat="1" ht="14.25" x14ac:dyDescent="0.2">
      <c r="A17" s="129" t="s">
        <v>10</v>
      </c>
      <c r="B17" s="129"/>
      <c r="C17" s="129"/>
      <c r="D17" s="129"/>
      <c r="E17" s="129"/>
      <c r="F17" s="129"/>
      <c r="G17" s="129"/>
      <c r="H17" s="129"/>
    </row>
    <row r="18" spans="1:8" s="15" customFormat="1" ht="14.25" x14ac:dyDescent="0.2">
      <c r="A18" s="19"/>
      <c r="B18" s="19"/>
      <c r="C18" s="19"/>
      <c r="D18" s="19"/>
      <c r="E18" s="19"/>
      <c r="F18" s="19"/>
      <c r="G18" s="19"/>
      <c r="H18" s="19"/>
    </row>
    <row r="19" spans="1:8" s="7" customFormat="1" ht="15" x14ac:dyDescent="0.25">
      <c r="D19" s="9"/>
      <c r="E19" s="17"/>
      <c r="F19" s="18"/>
    </row>
    <row r="20" spans="1:8" s="7" customFormat="1" ht="15" x14ac:dyDescent="0.25">
      <c r="A20" s="7" t="s">
        <v>11</v>
      </c>
      <c r="B20" s="8"/>
      <c r="D20" s="9"/>
      <c r="E20" s="17"/>
      <c r="F20" s="18"/>
    </row>
    <row r="21" spans="1:8" s="7" customFormat="1" ht="15" x14ac:dyDescent="0.25">
      <c r="A21" s="7" t="s">
        <v>12</v>
      </c>
      <c r="D21" s="9"/>
      <c r="E21" s="9"/>
      <c r="F21" s="17"/>
      <c r="G21" s="9"/>
    </row>
    <row r="22" spans="1:8" s="7" customFormat="1" ht="15" x14ac:dyDescent="0.25">
      <c r="A22" s="20" t="s">
        <v>13</v>
      </c>
      <c r="B22" s="21"/>
      <c r="C22" s="20"/>
      <c r="D22" s="9"/>
      <c r="E22" s="9" t="s">
        <v>14</v>
      </c>
      <c r="F22" s="17" t="s">
        <v>15</v>
      </c>
      <c r="G22" s="9" t="s">
        <v>16</v>
      </c>
      <c r="H22" s="17" t="s">
        <v>17</v>
      </c>
    </row>
    <row r="23" spans="1:8" s="7" customFormat="1" ht="15" x14ac:dyDescent="0.25">
      <c r="A23" s="22" t="s">
        <v>18</v>
      </c>
      <c r="B23" s="23"/>
      <c r="C23" s="22"/>
      <c r="D23" s="24"/>
      <c r="E23" s="16" t="s">
        <v>19</v>
      </c>
      <c r="F23" s="16"/>
      <c r="G23" s="25" t="s">
        <v>20</v>
      </c>
      <c r="H23" s="22"/>
    </row>
    <row r="24" spans="1:8" s="7" customFormat="1" ht="15" x14ac:dyDescent="0.25">
      <c r="A24" s="7">
        <v>24</v>
      </c>
      <c r="B24" s="7" t="s">
        <v>30</v>
      </c>
      <c r="E24" s="40">
        <v>31791</v>
      </c>
      <c r="F24" s="26" t="s">
        <v>21</v>
      </c>
      <c r="G24" s="27">
        <v>0.1</v>
      </c>
      <c r="H24" s="41">
        <f>+G24*977</f>
        <v>97.7</v>
      </c>
    </row>
    <row r="25" spans="1:8" s="7" customFormat="1" ht="15" x14ac:dyDescent="0.25">
      <c r="B25" s="7" t="s">
        <v>31</v>
      </c>
      <c r="C25" s="12">
        <v>2022</v>
      </c>
      <c r="D25" s="40"/>
      <c r="E25" s="17"/>
      <c r="F25" s="9"/>
      <c r="G25" s="42"/>
    </row>
    <row r="26" spans="1:8" s="7" customFormat="1" ht="6" customHeight="1" x14ac:dyDescent="0.25">
      <c r="D26" s="9"/>
      <c r="E26" s="9"/>
      <c r="F26" s="17"/>
      <c r="G26" s="27"/>
    </row>
    <row r="27" spans="1:8" s="7" customFormat="1" ht="15" x14ac:dyDescent="0.25">
      <c r="A27" s="7">
        <v>27</v>
      </c>
      <c r="B27" s="7" t="s">
        <v>68</v>
      </c>
      <c r="C27" s="12"/>
      <c r="E27" s="40">
        <v>10548</v>
      </c>
      <c r="F27" s="26" t="s">
        <v>21</v>
      </c>
      <c r="G27" s="43">
        <v>0.1</v>
      </c>
      <c r="H27" s="41">
        <f>+G27*608</f>
        <v>60.800000000000004</v>
      </c>
    </row>
    <row r="28" spans="1:8" s="7" customFormat="1" ht="15" x14ac:dyDescent="0.25">
      <c r="B28" s="7" t="s">
        <v>70</v>
      </c>
      <c r="C28" s="12">
        <f>+C25</f>
        <v>2022</v>
      </c>
      <c r="E28" s="40"/>
      <c r="F28" s="26"/>
      <c r="G28" s="27"/>
      <c r="H28" s="41"/>
    </row>
    <row r="29" spans="1:8" s="7" customFormat="1" ht="6" customHeight="1" x14ac:dyDescent="0.25">
      <c r="C29" s="12"/>
      <c r="E29" s="40"/>
      <c r="F29" s="26"/>
      <c r="G29" s="17"/>
      <c r="H29" s="41"/>
    </row>
    <row r="30" spans="1:8" s="7" customFormat="1" ht="15" x14ac:dyDescent="0.25">
      <c r="A30" s="7">
        <v>27</v>
      </c>
      <c r="B30" s="7" t="s">
        <v>68</v>
      </c>
      <c r="C30" s="12"/>
      <c r="E30" s="40">
        <v>8000</v>
      </c>
      <c r="F30" s="26" t="s">
        <v>21</v>
      </c>
      <c r="G30" s="43">
        <v>0.1</v>
      </c>
      <c r="H30" s="41">
        <f>+G30*485</f>
        <v>48.5</v>
      </c>
    </row>
    <row r="31" spans="1:8" s="7" customFormat="1" ht="15" x14ac:dyDescent="0.25">
      <c r="B31" s="7" t="s">
        <v>69</v>
      </c>
      <c r="C31" s="12">
        <f>+C28</f>
        <v>2022</v>
      </c>
      <c r="E31" s="40"/>
      <c r="F31" s="26"/>
      <c r="G31" s="27"/>
      <c r="H31" s="41"/>
    </row>
    <row r="32" spans="1:8" s="7" customFormat="1" ht="7.5" customHeight="1" x14ac:dyDescent="0.25">
      <c r="C32" s="12"/>
      <c r="E32" s="40"/>
      <c r="F32" s="26"/>
      <c r="G32" s="17"/>
      <c r="H32" s="41"/>
    </row>
    <row r="33" spans="1:10" s="7" customFormat="1" ht="15" x14ac:dyDescent="0.25">
      <c r="A33" s="7">
        <v>16</v>
      </c>
      <c r="B33" s="7" t="s">
        <v>23</v>
      </c>
      <c r="E33" s="26">
        <f>SUM(H24:H30)*0.2</f>
        <v>41.400000000000006</v>
      </c>
      <c r="F33" s="17"/>
      <c r="G33" s="30"/>
      <c r="H33" s="28">
        <v>20</v>
      </c>
    </row>
    <row r="34" spans="1:10" s="7" customFormat="1" ht="15" x14ac:dyDescent="0.25">
      <c r="B34" s="7" t="s">
        <v>71</v>
      </c>
      <c r="C34" s="12"/>
      <c r="E34" s="40"/>
      <c r="F34" s="26"/>
      <c r="G34" s="27"/>
      <c r="H34" s="41"/>
    </row>
    <row r="35" spans="1:10" s="7" customFormat="1" ht="6" customHeight="1" x14ac:dyDescent="0.25">
      <c r="C35" s="12"/>
      <c r="E35" s="40"/>
      <c r="F35" s="26"/>
      <c r="G35" s="17"/>
      <c r="H35" s="41"/>
    </row>
    <row r="38" spans="1:10" s="7" customFormat="1" ht="15" x14ac:dyDescent="0.25">
      <c r="A38" s="8"/>
      <c r="B38" s="8"/>
      <c r="E38" s="7" t="s">
        <v>25</v>
      </c>
      <c r="F38" s="8"/>
      <c r="G38" s="30"/>
      <c r="H38" s="28">
        <f>SUM(H24:H35)</f>
        <v>227</v>
      </c>
      <c r="J38" s="28">
        <f>+H38+'EÜR 2022'!H37</f>
        <v>1727.6</v>
      </c>
    </row>
    <row r="39" spans="1:10" s="7" customFormat="1" ht="15" x14ac:dyDescent="0.25">
      <c r="E39" s="33" t="s">
        <v>26</v>
      </c>
      <c r="F39" s="8"/>
      <c r="G39" s="30"/>
      <c r="H39" s="28">
        <f>+H38*0.19</f>
        <v>43.13</v>
      </c>
    </row>
    <row r="40" spans="1:10" s="7" customFormat="1" thickBot="1" x14ac:dyDescent="0.3">
      <c r="E40" s="34" t="s">
        <v>27</v>
      </c>
      <c r="F40" s="35"/>
      <c r="G40" s="36"/>
      <c r="H40" s="37">
        <f>SUM(H38:H39)</f>
        <v>270.13</v>
      </c>
    </row>
    <row r="41" spans="1:10" s="7" customFormat="1" ht="7.5" customHeight="1" thickTop="1" x14ac:dyDescent="0.25">
      <c r="E41" s="38"/>
      <c r="F41" s="17"/>
      <c r="G41" s="30"/>
      <c r="H41" s="28"/>
    </row>
    <row r="42" spans="1:10" s="7" customFormat="1" ht="15" x14ac:dyDescent="0.25">
      <c r="A42" s="7" t="s">
        <v>28</v>
      </c>
      <c r="B42" s="8"/>
      <c r="D42" s="9"/>
      <c r="E42" s="17"/>
      <c r="F42" s="18"/>
      <c r="G42" s="39"/>
    </row>
    <row r="43" spans="1:10" s="7" customFormat="1" ht="15" x14ac:dyDescent="0.25">
      <c r="D43" s="9"/>
      <c r="E43" s="17"/>
      <c r="F43" s="18"/>
      <c r="G43" s="30"/>
    </row>
    <row r="44" spans="1:10" s="7" customFormat="1" ht="15" x14ac:dyDescent="0.25">
      <c r="D44" s="9"/>
      <c r="E44" s="17"/>
      <c r="F44" s="18"/>
      <c r="G44" s="30"/>
    </row>
    <row r="45" spans="1:10" s="7" customFormat="1" ht="15" x14ac:dyDescent="0.25">
      <c r="D45" s="9"/>
      <c r="E45" s="17"/>
      <c r="F45" s="18"/>
      <c r="G45" s="30"/>
    </row>
    <row r="46" spans="1:10" x14ac:dyDescent="0.25">
      <c r="A46" s="7"/>
      <c r="B46" s="23"/>
      <c r="C46" s="7"/>
      <c r="D46" s="9"/>
      <c r="E46" s="17"/>
      <c r="F46" s="18"/>
      <c r="G46" s="30"/>
      <c r="H46" s="7"/>
    </row>
    <row r="47" spans="1:10" s="7" customFormat="1" x14ac:dyDescent="0.25">
      <c r="A47" s="1"/>
      <c r="B47" s="1"/>
      <c r="C47" s="1"/>
      <c r="D47" s="2"/>
      <c r="E47" s="3"/>
      <c r="F47" s="6"/>
      <c r="G47" s="1"/>
      <c r="H47" s="1"/>
    </row>
    <row r="48" spans="1:10" s="7" customFormat="1" ht="15" x14ac:dyDescent="0.25">
      <c r="D48" s="9"/>
      <c r="E48" s="17"/>
      <c r="F48" s="18"/>
      <c r="G48" s="30"/>
    </row>
    <row r="49" spans="1:8" x14ac:dyDescent="0.25">
      <c r="A49" s="130" t="s">
        <v>29</v>
      </c>
      <c r="B49" s="130"/>
      <c r="C49" s="130"/>
      <c r="D49" s="130"/>
      <c r="E49" s="130"/>
      <c r="F49" s="130"/>
      <c r="G49" s="130"/>
      <c r="H49" s="130"/>
    </row>
  </sheetData>
  <mergeCells count="10">
    <mergeCell ref="F11:H11"/>
    <mergeCell ref="F12:H12"/>
    <mergeCell ref="A17:H17"/>
    <mergeCell ref="A49:H49"/>
    <mergeCell ref="E7:F7"/>
    <mergeCell ref="G7:H7"/>
    <mergeCell ref="E8:F8"/>
    <mergeCell ref="E9:F9"/>
    <mergeCell ref="G9:H9"/>
    <mergeCell ref="G10:H10"/>
  </mergeCells>
  <printOptions horizontalCentered="1"/>
  <pageMargins left="0.78740157480314965" right="0.59055118110236227" top="0.98425196850393704" bottom="0.98425196850393704" header="0.51181102362204722" footer="0.51181102362204722"/>
  <pageSetup paperSize="9" orientation="portrait" horizontalDpi="300" verticalDpi="300" r:id="rId1"/>
  <headerFooter alignWithMargins="0">
    <oddHeader>&amp;C&amp;"Times New Roman,Standard"&amp;16Hartmut Ahting
Steuerberater
Diplom-Wirtschaftsingenieur</oddHeader>
    <oddFooter>&amp;L&amp;"Times New Roman,Standard"Heerstrasse 50
60488 Frankfurt
&amp;C&amp;"Times New Roman,Standard"Deutsche Bank
BLZ 500 700 24
Konto 409 28 62&amp;R&amp;"Times New Roman,Standard"Tel:      069 / 788 031-71
Fax:     069 / 788 031-72
Mobil:  0174 / 326 99 58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F38FD-C160-467E-9578-4431F2ED6ED7}">
  <dimension ref="A5:K49"/>
  <sheetViews>
    <sheetView workbookViewId="0">
      <selection activeCell="H38" sqref="H38"/>
    </sheetView>
  </sheetViews>
  <sheetFormatPr baseColWidth="10" defaultColWidth="10.125" defaultRowHeight="15.75" x14ac:dyDescent="0.25"/>
  <cols>
    <col min="1" max="1" width="3.125" style="1" customWidth="1"/>
    <col min="2" max="2" width="29.5" style="1" customWidth="1"/>
    <col min="3" max="3" width="8.75" style="1" customWidth="1"/>
    <col min="4" max="4" width="1.5" style="2" customWidth="1"/>
    <col min="5" max="5" width="10.75" style="3" customWidth="1"/>
    <col min="6" max="6" width="6.375" style="6" customWidth="1"/>
    <col min="7" max="7" width="6.75" style="1" customWidth="1"/>
    <col min="8" max="8" width="8.75" style="1" customWidth="1"/>
    <col min="9" max="10" width="10.125" style="1"/>
    <col min="11" max="11" width="10.625" style="1" bestFit="1" customWidth="1"/>
    <col min="12" max="256" width="10.125" style="1"/>
    <col min="257" max="257" width="3.125" style="1" customWidth="1"/>
    <col min="258" max="258" width="29.5" style="1" customWidth="1"/>
    <col min="259" max="259" width="8.75" style="1" customWidth="1"/>
    <col min="260" max="260" width="1.5" style="1" customWidth="1"/>
    <col min="261" max="261" width="10.75" style="1" customWidth="1"/>
    <col min="262" max="262" width="6.375" style="1" customWidth="1"/>
    <col min="263" max="263" width="6.75" style="1" customWidth="1"/>
    <col min="264" max="264" width="8.75" style="1" customWidth="1"/>
    <col min="265" max="266" width="10.125" style="1"/>
    <col min="267" max="267" width="10.625" style="1" bestFit="1" customWidth="1"/>
    <col min="268" max="512" width="10.125" style="1"/>
    <col min="513" max="513" width="3.125" style="1" customWidth="1"/>
    <col min="514" max="514" width="29.5" style="1" customWidth="1"/>
    <col min="515" max="515" width="8.75" style="1" customWidth="1"/>
    <col min="516" max="516" width="1.5" style="1" customWidth="1"/>
    <col min="517" max="517" width="10.75" style="1" customWidth="1"/>
    <col min="518" max="518" width="6.375" style="1" customWidth="1"/>
    <col min="519" max="519" width="6.75" style="1" customWidth="1"/>
    <col min="520" max="520" width="8.75" style="1" customWidth="1"/>
    <col min="521" max="522" width="10.125" style="1"/>
    <col min="523" max="523" width="10.625" style="1" bestFit="1" customWidth="1"/>
    <col min="524" max="768" width="10.125" style="1"/>
    <col min="769" max="769" width="3.125" style="1" customWidth="1"/>
    <col min="770" max="770" width="29.5" style="1" customWidth="1"/>
    <col min="771" max="771" width="8.75" style="1" customWidth="1"/>
    <col min="772" max="772" width="1.5" style="1" customWidth="1"/>
    <col min="773" max="773" width="10.75" style="1" customWidth="1"/>
    <col min="774" max="774" width="6.375" style="1" customWidth="1"/>
    <col min="775" max="775" width="6.75" style="1" customWidth="1"/>
    <col min="776" max="776" width="8.75" style="1" customWidth="1"/>
    <col min="777" max="778" width="10.125" style="1"/>
    <col min="779" max="779" width="10.625" style="1" bestFit="1" customWidth="1"/>
    <col min="780" max="1024" width="10.125" style="1"/>
    <col min="1025" max="1025" width="3.125" style="1" customWidth="1"/>
    <col min="1026" max="1026" width="29.5" style="1" customWidth="1"/>
    <col min="1027" max="1027" width="8.75" style="1" customWidth="1"/>
    <col min="1028" max="1028" width="1.5" style="1" customWidth="1"/>
    <col min="1029" max="1029" width="10.75" style="1" customWidth="1"/>
    <col min="1030" max="1030" width="6.375" style="1" customWidth="1"/>
    <col min="1031" max="1031" width="6.75" style="1" customWidth="1"/>
    <col min="1032" max="1032" width="8.75" style="1" customWidth="1"/>
    <col min="1033" max="1034" width="10.125" style="1"/>
    <col min="1035" max="1035" width="10.625" style="1" bestFit="1" customWidth="1"/>
    <col min="1036" max="1280" width="10.125" style="1"/>
    <col min="1281" max="1281" width="3.125" style="1" customWidth="1"/>
    <col min="1282" max="1282" width="29.5" style="1" customWidth="1"/>
    <col min="1283" max="1283" width="8.75" style="1" customWidth="1"/>
    <col min="1284" max="1284" width="1.5" style="1" customWidth="1"/>
    <col min="1285" max="1285" width="10.75" style="1" customWidth="1"/>
    <col min="1286" max="1286" width="6.375" style="1" customWidth="1"/>
    <col min="1287" max="1287" width="6.75" style="1" customWidth="1"/>
    <col min="1288" max="1288" width="8.75" style="1" customWidth="1"/>
    <col min="1289" max="1290" width="10.125" style="1"/>
    <col min="1291" max="1291" width="10.625" style="1" bestFit="1" customWidth="1"/>
    <col min="1292" max="1536" width="10.125" style="1"/>
    <col min="1537" max="1537" width="3.125" style="1" customWidth="1"/>
    <col min="1538" max="1538" width="29.5" style="1" customWidth="1"/>
    <col min="1539" max="1539" width="8.75" style="1" customWidth="1"/>
    <col min="1540" max="1540" width="1.5" style="1" customWidth="1"/>
    <col min="1541" max="1541" width="10.75" style="1" customWidth="1"/>
    <col min="1542" max="1542" width="6.375" style="1" customWidth="1"/>
    <col min="1543" max="1543" width="6.75" style="1" customWidth="1"/>
    <col min="1544" max="1544" width="8.75" style="1" customWidth="1"/>
    <col min="1545" max="1546" width="10.125" style="1"/>
    <col min="1547" max="1547" width="10.625" style="1" bestFit="1" customWidth="1"/>
    <col min="1548" max="1792" width="10.125" style="1"/>
    <col min="1793" max="1793" width="3.125" style="1" customWidth="1"/>
    <col min="1794" max="1794" width="29.5" style="1" customWidth="1"/>
    <col min="1795" max="1795" width="8.75" style="1" customWidth="1"/>
    <col min="1796" max="1796" width="1.5" style="1" customWidth="1"/>
    <col min="1797" max="1797" width="10.75" style="1" customWidth="1"/>
    <col min="1798" max="1798" width="6.375" style="1" customWidth="1"/>
    <col min="1799" max="1799" width="6.75" style="1" customWidth="1"/>
    <col min="1800" max="1800" width="8.75" style="1" customWidth="1"/>
    <col min="1801" max="1802" width="10.125" style="1"/>
    <col min="1803" max="1803" width="10.625" style="1" bestFit="1" customWidth="1"/>
    <col min="1804" max="2048" width="10.125" style="1"/>
    <col min="2049" max="2049" width="3.125" style="1" customWidth="1"/>
    <col min="2050" max="2050" width="29.5" style="1" customWidth="1"/>
    <col min="2051" max="2051" width="8.75" style="1" customWidth="1"/>
    <col min="2052" max="2052" width="1.5" style="1" customWidth="1"/>
    <col min="2053" max="2053" width="10.75" style="1" customWidth="1"/>
    <col min="2054" max="2054" width="6.375" style="1" customWidth="1"/>
    <col min="2055" max="2055" width="6.75" style="1" customWidth="1"/>
    <col min="2056" max="2056" width="8.75" style="1" customWidth="1"/>
    <col min="2057" max="2058" width="10.125" style="1"/>
    <col min="2059" max="2059" width="10.625" style="1" bestFit="1" customWidth="1"/>
    <col min="2060" max="2304" width="10.125" style="1"/>
    <col min="2305" max="2305" width="3.125" style="1" customWidth="1"/>
    <col min="2306" max="2306" width="29.5" style="1" customWidth="1"/>
    <col min="2307" max="2307" width="8.75" style="1" customWidth="1"/>
    <col min="2308" max="2308" width="1.5" style="1" customWidth="1"/>
    <col min="2309" max="2309" width="10.75" style="1" customWidth="1"/>
    <col min="2310" max="2310" width="6.375" style="1" customWidth="1"/>
    <col min="2311" max="2311" width="6.75" style="1" customWidth="1"/>
    <col min="2312" max="2312" width="8.75" style="1" customWidth="1"/>
    <col min="2313" max="2314" width="10.125" style="1"/>
    <col min="2315" max="2315" width="10.625" style="1" bestFit="1" customWidth="1"/>
    <col min="2316" max="2560" width="10.125" style="1"/>
    <col min="2561" max="2561" width="3.125" style="1" customWidth="1"/>
    <col min="2562" max="2562" width="29.5" style="1" customWidth="1"/>
    <col min="2563" max="2563" width="8.75" style="1" customWidth="1"/>
    <col min="2564" max="2564" width="1.5" style="1" customWidth="1"/>
    <col min="2565" max="2565" width="10.75" style="1" customWidth="1"/>
    <col min="2566" max="2566" width="6.375" style="1" customWidth="1"/>
    <col min="2567" max="2567" width="6.75" style="1" customWidth="1"/>
    <col min="2568" max="2568" width="8.75" style="1" customWidth="1"/>
    <col min="2569" max="2570" width="10.125" style="1"/>
    <col min="2571" max="2571" width="10.625" style="1" bestFit="1" customWidth="1"/>
    <col min="2572" max="2816" width="10.125" style="1"/>
    <col min="2817" max="2817" width="3.125" style="1" customWidth="1"/>
    <col min="2818" max="2818" width="29.5" style="1" customWidth="1"/>
    <col min="2819" max="2819" width="8.75" style="1" customWidth="1"/>
    <col min="2820" max="2820" width="1.5" style="1" customWidth="1"/>
    <col min="2821" max="2821" width="10.75" style="1" customWidth="1"/>
    <col min="2822" max="2822" width="6.375" style="1" customWidth="1"/>
    <col min="2823" max="2823" width="6.75" style="1" customWidth="1"/>
    <col min="2824" max="2824" width="8.75" style="1" customWidth="1"/>
    <col min="2825" max="2826" width="10.125" style="1"/>
    <col min="2827" max="2827" width="10.625" style="1" bestFit="1" customWidth="1"/>
    <col min="2828" max="3072" width="10.125" style="1"/>
    <col min="3073" max="3073" width="3.125" style="1" customWidth="1"/>
    <col min="3074" max="3074" width="29.5" style="1" customWidth="1"/>
    <col min="3075" max="3075" width="8.75" style="1" customWidth="1"/>
    <col min="3076" max="3076" width="1.5" style="1" customWidth="1"/>
    <col min="3077" max="3077" width="10.75" style="1" customWidth="1"/>
    <col min="3078" max="3078" width="6.375" style="1" customWidth="1"/>
    <col min="3079" max="3079" width="6.75" style="1" customWidth="1"/>
    <col min="3080" max="3080" width="8.75" style="1" customWidth="1"/>
    <col min="3081" max="3082" width="10.125" style="1"/>
    <col min="3083" max="3083" width="10.625" style="1" bestFit="1" customWidth="1"/>
    <col min="3084" max="3328" width="10.125" style="1"/>
    <col min="3329" max="3329" width="3.125" style="1" customWidth="1"/>
    <col min="3330" max="3330" width="29.5" style="1" customWidth="1"/>
    <col min="3331" max="3331" width="8.75" style="1" customWidth="1"/>
    <col min="3332" max="3332" width="1.5" style="1" customWidth="1"/>
    <col min="3333" max="3333" width="10.75" style="1" customWidth="1"/>
    <col min="3334" max="3334" width="6.375" style="1" customWidth="1"/>
    <col min="3335" max="3335" width="6.75" style="1" customWidth="1"/>
    <col min="3336" max="3336" width="8.75" style="1" customWidth="1"/>
    <col min="3337" max="3338" width="10.125" style="1"/>
    <col min="3339" max="3339" width="10.625" style="1" bestFit="1" customWidth="1"/>
    <col min="3340" max="3584" width="10.125" style="1"/>
    <col min="3585" max="3585" width="3.125" style="1" customWidth="1"/>
    <col min="3586" max="3586" width="29.5" style="1" customWidth="1"/>
    <col min="3587" max="3587" width="8.75" style="1" customWidth="1"/>
    <col min="3588" max="3588" width="1.5" style="1" customWidth="1"/>
    <col min="3589" max="3589" width="10.75" style="1" customWidth="1"/>
    <col min="3590" max="3590" width="6.375" style="1" customWidth="1"/>
    <col min="3591" max="3591" width="6.75" style="1" customWidth="1"/>
    <col min="3592" max="3592" width="8.75" style="1" customWidth="1"/>
    <col min="3593" max="3594" width="10.125" style="1"/>
    <col min="3595" max="3595" width="10.625" style="1" bestFit="1" customWidth="1"/>
    <col min="3596" max="3840" width="10.125" style="1"/>
    <col min="3841" max="3841" width="3.125" style="1" customWidth="1"/>
    <col min="3842" max="3842" width="29.5" style="1" customWidth="1"/>
    <col min="3843" max="3843" width="8.75" style="1" customWidth="1"/>
    <col min="3844" max="3844" width="1.5" style="1" customWidth="1"/>
    <col min="3845" max="3845" width="10.75" style="1" customWidth="1"/>
    <col min="3846" max="3846" width="6.375" style="1" customWidth="1"/>
    <col min="3847" max="3847" width="6.75" style="1" customWidth="1"/>
    <col min="3848" max="3848" width="8.75" style="1" customWidth="1"/>
    <col min="3849" max="3850" width="10.125" style="1"/>
    <col min="3851" max="3851" width="10.625" style="1" bestFit="1" customWidth="1"/>
    <col min="3852" max="4096" width="10.125" style="1"/>
    <col min="4097" max="4097" width="3.125" style="1" customWidth="1"/>
    <col min="4098" max="4098" width="29.5" style="1" customWidth="1"/>
    <col min="4099" max="4099" width="8.75" style="1" customWidth="1"/>
    <col min="4100" max="4100" width="1.5" style="1" customWidth="1"/>
    <col min="4101" max="4101" width="10.75" style="1" customWidth="1"/>
    <col min="4102" max="4102" width="6.375" style="1" customWidth="1"/>
    <col min="4103" max="4103" width="6.75" style="1" customWidth="1"/>
    <col min="4104" max="4104" width="8.75" style="1" customWidth="1"/>
    <col min="4105" max="4106" width="10.125" style="1"/>
    <col min="4107" max="4107" width="10.625" style="1" bestFit="1" customWidth="1"/>
    <col min="4108" max="4352" width="10.125" style="1"/>
    <col min="4353" max="4353" width="3.125" style="1" customWidth="1"/>
    <col min="4354" max="4354" width="29.5" style="1" customWidth="1"/>
    <col min="4355" max="4355" width="8.75" style="1" customWidth="1"/>
    <col min="4356" max="4356" width="1.5" style="1" customWidth="1"/>
    <col min="4357" max="4357" width="10.75" style="1" customWidth="1"/>
    <col min="4358" max="4358" width="6.375" style="1" customWidth="1"/>
    <col min="4359" max="4359" width="6.75" style="1" customWidth="1"/>
    <col min="4360" max="4360" width="8.75" style="1" customWidth="1"/>
    <col min="4361" max="4362" width="10.125" style="1"/>
    <col min="4363" max="4363" width="10.625" style="1" bestFit="1" customWidth="1"/>
    <col min="4364" max="4608" width="10.125" style="1"/>
    <col min="4609" max="4609" width="3.125" style="1" customWidth="1"/>
    <col min="4610" max="4610" width="29.5" style="1" customWidth="1"/>
    <col min="4611" max="4611" width="8.75" style="1" customWidth="1"/>
    <col min="4612" max="4612" width="1.5" style="1" customWidth="1"/>
    <col min="4613" max="4613" width="10.75" style="1" customWidth="1"/>
    <col min="4614" max="4614" width="6.375" style="1" customWidth="1"/>
    <col min="4615" max="4615" width="6.75" style="1" customWidth="1"/>
    <col min="4616" max="4616" width="8.75" style="1" customWidth="1"/>
    <col min="4617" max="4618" width="10.125" style="1"/>
    <col min="4619" max="4619" width="10.625" style="1" bestFit="1" customWidth="1"/>
    <col min="4620" max="4864" width="10.125" style="1"/>
    <col min="4865" max="4865" width="3.125" style="1" customWidth="1"/>
    <col min="4866" max="4866" width="29.5" style="1" customWidth="1"/>
    <col min="4867" max="4867" width="8.75" style="1" customWidth="1"/>
    <col min="4868" max="4868" width="1.5" style="1" customWidth="1"/>
    <col min="4869" max="4869" width="10.75" style="1" customWidth="1"/>
    <col min="4870" max="4870" width="6.375" style="1" customWidth="1"/>
    <col min="4871" max="4871" width="6.75" style="1" customWidth="1"/>
    <col min="4872" max="4872" width="8.75" style="1" customWidth="1"/>
    <col min="4873" max="4874" width="10.125" style="1"/>
    <col min="4875" max="4875" width="10.625" style="1" bestFit="1" customWidth="1"/>
    <col min="4876" max="5120" width="10.125" style="1"/>
    <col min="5121" max="5121" width="3.125" style="1" customWidth="1"/>
    <col min="5122" max="5122" width="29.5" style="1" customWidth="1"/>
    <col min="5123" max="5123" width="8.75" style="1" customWidth="1"/>
    <col min="5124" max="5124" width="1.5" style="1" customWidth="1"/>
    <col min="5125" max="5125" width="10.75" style="1" customWidth="1"/>
    <col min="5126" max="5126" width="6.375" style="1" customWidth="1"/>
    <col min="5127" max="5127" width="6.75" style="1" customWidth="1"/>
    <col min="5128" max="5128" width="8.75" style="1" customWidth="1"/>
    <col min="5129" max="5130" width="10.125" style="1"/>
    <col min="5131" max="5131" width="10.625" style="1" bestFit="1" customWidth="1"/>
    <col min="5132" max="5376" width="10.125" style="1"/>
    <col min="5377" max="5377" width="3.125" style="1" customWidth="1"/>
    <col min="5378" max="5378" width="29.5" style="1" customWidth="1"/>
    <col min="5379" max="5379" width="8.75" style="1" customWidth="1"/>
    <col min="5380" max="5380" width="1.5" style="1" customWidth="1"/>
    <col min="5381" max="5381" width="10.75" style="1" customWidth="1"/>
    <col min="5382" max="5382" width="6.375" style="1" customWidth="1"/>
    <col min="5383" max="5383" width="6.75" style="1" customWidth="1"/>
    <col min="5384" max="5384" width="8.75" style="1" customWidth="1"/>
    <col min="5385" max="5386" width="10.125" style="1"/>
    <col min="5387" max="5387" width="10.625" style="1" bestFit="1" customWidth="1"/>
    <col min="5388" max="5632" width="10.125" style="1"/>
    <col min="5633" max="5633" width="3.125" style="1" customWidth="1"/>
    <col min="5634" max="5634" width="29.5" style="1" customWidth="1"/>
    <col min="5635" max="5635" width="8.75" style="1" customWidth="1"/>
    <col min="5636" max="5636" width="1.5" style="1" customWidth="1"/>
    <col min="5637" max="5637" width="10.75" style="1" customWidth="1"/>
    <col min="5638" max="5638" width="6.375" style="1" customWidth="1"/>
    <col min="5639" max="5639" width="6.75" style="1" customWidth="1"/>
    <col min="5640" max="5640" width="8.75" style="1" customWidth="1"/>
    <col min="5641" max="5642" width="10.125" style="1"/>
    <col min="5643" max="5643" width="10.625" style="1" bestFit="1" customWidth="1"/>
    <col min="5644" max="5888" width="10.125" style="1"/>
    <col min="5889" max="5889" width="3.125" style="1" customWidth="1"/>
    <col min="5890" max="5890" width="29.5" style="1" customWidth="1"/>
    <col min="5891" max="5891" width="8.75" style="1" customWidth="1"/>
    <col min="5892" max="5892" width="1.5" style="1" customWidth="1"/>
    <col min="5893" max="5893" width="10.75" style="1" customWidth="1"/>
    <col min="5894" max="5894" width="6.375" style="1" customWidth="1"/>
    <col min="5895" max="5895" width="6.75" style="1" customWidth="1"/>
    <col min="5896" max="5896" width="8.75" style="1" customWidth="1"/>
    <col min="5897" max="5898" width="10.125" style="1"/>
    <col min="5899" max="5899" width="10.625" style="1" bestFit="1" customWidth="1"/>
    <col min="5900" max="6144" width="10.125" style="1"/>
    <col min="6145" max="6145" width="3.125" style="1" customWidth="1"/>
    <col min="6146" max="6146" width="29.5" style="1" customWidth="1"/>
    <col min="6147" max="6147" width="8.75" style="1" customWidth="1"/>
    <col min="6148" max="6148" width="1.5" style="1" customWidth="1"/>
    <col min="6149" max="6149" width="10.75" style="1" customWidth="1"/>
    <col min="6150" max="6150" width="6.375" style="1" customWidth="1"/>
    <col min="6151" max="6151" width="6.75" style="1" customWidth="1"/>
    <col min="6152" max="6152" width="8.75" style="1" customWidth="1"/>
    <col min="6153" max="6154" width="10.125" style="1"/>
    <col min="6155" max="6155" width="10.625" style="1" bestFit="1" customWidth="1"/>
    <col min="6156" max="6400" width="10.125" style="1"/>
    <col min="6401" max="6401" width="3.125" style="1" customWidth="1"/>
    <col min="6402" max="6402" width="29.5" style="1" customWidth="1"/>
    <col min="6403" max="6403" width="8.75" style="1" customWidth="1"/>
    <col min="6404" max="6404" width="1.5" style="1" customWidth="1"/>
    <col min="6405" max="6405" width="10.75" style="1" customWidth="1"/>
    <col min="6406" max="6406" width="6.375" style="1" customWidth="1"/>
    <col min="6407" max="6407" width="6.75" style="1" customWidth="1"/>
    <col min="6408" max="6408" width="8.75" style="1" customWidth="1"/>
    <col min="6409" max="6410" width="10.125" style="1"/>
    <col min="6411" max="6411" width="10.625" style="1" bestFit="1" customWidth="1"/>
    <col min="6412" max="6656" width="10.125" style="1"/>
    <col min="6657" max="6657" width="3.125" style="1" customWidth="1"/>
    <col min="6658" max="6658" width="29.5" style="1" customWidth="1"/>
    <col min="6659" max="6659" width="8.75" style="1" customWidth="1"/>
    <col min="6660" max="6660" width="1.5" style="1" customWidth="1"/>
    <col min="6661" max="6661" width="10.75" style="1" customWidth="1"/>
    <col min="6662" max="6662" width="6.375" style="1" customWidth="1"/>
    <col min="6663" max="6663" width="6.75" style="1" customWidth="1"/>
    <col min="6664" max="6664" width="8.75" style="1" customWidth="1"/>
    <col min="6665" max="6666" width="10.125" style="1"/>
    <col min="6667" max="6667" width="10.625" style="1" bestFit="1" customWidth="1"/>
    <col min="6668" max="6912" width="10.125" style="1"/>
    <col min="6913" max="6913" width="3.125" style="1" customWidth="1"/>
    <col min="6914" max="6914" width="29.5" style="1" customWidth="1"/>
    <col min="6915" max="6915" width="8.75" style="1" customWidth="1"/>
    <col min="6916" max="6916" width="1.5" style="1" customWidth="1"/>
    <col min="6917" max="6917" width="10.75" style="1" customWidth="1"/>
    <col min="6918" max="6918" width="6.375" style="1" customWidth="1"/>
    <col min="6919" max="6919" width="6.75" style="1" customWidth="1"/>
    <col min="6920" max="6920" width="8.75" style="1" customWidth="1"/>
    <col min="6921" max="6922" width="10.125" style="1"/>
    <col min="6923" max="6923" width="10.625" style="1" bestFit="1" customWidth="1"/>
    <col min="6924" max="7168" width="10.125" style="1"/>
    <col min="7169" max="7169" width="3.125" style="1" customWidth="1"/>
    <col min="7170" max="7170" width="29.5" style="1" customWidth="1"/>
    <col min="7171" max="7171" width="8.75" style="1" customWidth="1"/>
    <col min="7172" max="7172" width="1.5" style="1" customWidth="1"/>
    <col min="7173" max="7173" width="10.75" style="1" customWidth="1"/>
    <col min="7174" max="7174" width="6.375" style="1" customWidth="1"/>
    <col min="7175" max="7175" width="6.75" style="1" customWidth="1"/>
    <col min="7176" max="7176" width="8.75" style="1" customWidth="1"/>
    <col min="7177" max="7178" width="10.125" style="1"/>
    <col min="7179" max="7179" width="10.625" style="1" bestFit="1" customWidth="1"/>
    <col min="7180" max="7424" width="10.125" style="1"/>
    <col min="7425" max="7425" width="3.125" style="1" customWidth="1"/>
    <col min="7426" max="7426" width="29.5" style="1" customWidth="1"/>
    <col min="7427" max="7427" width="8.75" style="1" customWidth="1"/>
    <col min="7428" max="7428" width="1.5" style="1" customWidth="1"/>
    <col min="7429" max="7429" width="10.75" style="1" customWidth="1"/>
    <col min="7430" max="7430" width="6.375" style="1" customWidth="1"/>
    <col min="7431" max="7431" width="6.75" style="1" customWidth="1"/>
    <col min="7432" max="7432" width="8.75" style="1" customWidth="1"/>
    <col min="7433" max="7434" width="10.125" style="1"/>
    <col min="7435" max="7435" width="10.625" style="1" bestFit="1" customWidth="1"/>
    <col min="7436" max="7680" width="10.125" style="1"/>
    <col min="7681" max="7681" width="3.125" style="1" customWidth="1"/>
    <col min="7682" max="7682" width="29.5" style="1" customWidth="1"/>
    <col min="7683" max="7683" width="8.75" style="1" customWidth="1"/>
    <col min="7684" max="7684" width="1.5" style="1" customWidth="1"/>
    <col min="7685" max="7685" width="10.75" style="1" customWidth="1"/>
    <col min="7686" max="7686" width="6.375" style="1" customWidth="1"/>
    <col min="7687" max="7687" width="6.75" style="1" customWidth="1"/>
    <col min="7688" max="7688" width="8.75" style="1" customWidth="1"/>
    <col min="7689" max="7690" width="10.125" style="1"/>
    <col min="7691" max="7691" width="10.625" style="1" bestFit="1" customWidth="1"/>
    <col min="7692" max="7936" width="10.125" style="1"/>
    <col min="7937" max="7937" width="3.125" style="1" customWidth="1"/>
    <col min="7938" max="7938" width="29.5" style="1" customWidth="1"/>
    <col min="7939" max="7939" width="8.75" style="1" customWidth="1"/>
    <col min="7940" max="7940" width="1.5" style="1" customWidth="1"/>
    <col min="7941" max="7941" width="10.75" style="1" customWidth="1"/>
    <col min="7942" max="7942" width="6.375" style="1" customWidth="1"/>
    <col min="7943" max="7943" width="6.75" style="1" customWidth="1"/>
    <col min="7944" max="7944" width="8.75" style="1" customWidth="1"/>
    <col min="7945" max="7946" width="10.125" style="1"/>
    <col min="7947" max="7947" width="10.625" style="1" bestFit="1" customWidth="1"/>
    <col min="7948" max="8192" width="10.125" style="1"/>
    <col min="8193" max="8193" width="3.125" style="1" customWidth="1"/>
    <col min="8194" max="8194" width="29.5" style="1" customWidth="1"/>
    <col min="8195" max="8195" width="8.75" style="1" customWidth="1"/>
    <col min="8196" max="8196" width="1.5" style="1" customWidth="1"/>
    <col min="8197" max="8197" width="10.75" style="1" customWidth="1"/>
    <col min="8198" max="8198" width="6.375" style="1" customWidth="1"/>
    <col min="8199" max="8199" width="6.75" style="1" customWidth="1"/>
    <col min="8200" max="8200" width="8.75" style="1" customWidth="1"/>
    <col min="8201" max="8202" width="10.125" style="1"/>
    <col min="8203" max="8203" width="10.625" style="1" bestFit="1" customWidth="1"/>
    <col min="8204" max="8448" width="10.125" style="1"/>
    <col min="8449" max="8449" width="3.125" style="1" customWidth="1"/>
    <col min="8450" max="8450" width="29.5" style="1" customWidth="1"/>
    <col min="8451" max="8451" width="8.75" style="1" customWidth="1"/>
    <col min="8452" max="8452" width="1.5" style="1" customWidth="1"/>
    <col min="8453" max="8453" width="10.75" style="1" customWidth="1"/>
    <col min="8454" max="8454" width="6.375" style="1" customWidth="1"/>
    <col min="8455" max="8455" width="6.75" style="1" customWidth="1"/>
    <col min="8456" max="8456" width="8.75" style="1" customWidth="1"/>
    <col min="8457" max="8458" width="10.125" style="1"/>
    <col min="8459" max="8459" width="10.625" style="1" bestFit="1" customWidth="1"/>
    <col min="8460" max="8704" width="10.125" style="1"/>
    <col min="8705" max="8705" width="3.125" style="1" customWidth="1"/>
    <col min="8706" max="8706" width="29.5" style="1" customWidth="1"/>
    <col min="8707" max="8707" width="8.75" style="1" customWidth="1"/>
    <col min="8708" max="8708" width="1.5" style="1" customWidth="1"/>
    <col min="8709" max="8709" width="10.75" style="1" customWidth="1"/>
    <col min="8710" max="8710" width="6.375" style="1" customWidth="1"/>
    <col min="8711" max="8711" width="6.75" style="1" customWidth="1"/>
    <col min="8712" max="8712" width="8.75" style="1" customWidth="1"/>
    <col min="8713" max="8714" width="10.125" style="1"/>
    <col min="8715" max="8715" width="10.625" style="1" bestFit="1" customWidth="1"/>
    <col min="8716" max="8960" width="10.125" style="1"/>
    <col min="8961" max="8961" width="3.125" style="1" customWidth="1"/>
    <col min="8962" max="8962" width="29.5" style="1" customWidth="1"/>
    <col min="8963" max="8963" width="8.75" style="1" customWidth="1"/>
    <col min="8964" max="8964" width="1.5" style="1" customWidth="1"/>
    <col min="8965" max="8965" width="10.75" style="1" customWidth="1"/>
    <col min="8966" max="8966" width="6.375" style="1" customWidth="1"/>
    <col min="8967" max="8967" width="6.75" style="1" customWidth="1"/>
    <col min="8968" max="8968" width="8.75" style="1" customWidth="1"/>
    <col min="8969" max="8970" width="10.125" style="1"/>
    <col min="8971" max="8971" width="10.625" style="1" bestFit="1" customWidth="1"/>
    <col min="8972" max="9216" width="10.125" style="1"/>
    <col min="9217" max="9217" width="3.125" style="1" customWidth="1"/>
    <col min="9218" max="9218" width="29.5" style="1" customWidth="1"/>
    <col min="9219" max="9219" width="8.75" style="1" customWidth="1"/>
    <col min="9220" max="9220" width="1.5" style="1" customWidth="1"/>
    <col min="9221" max="9221" width="10.75" style="1" customWidth="1"/>
    <col min="9222" max="9222" width="6.375" style="1" customWidth="1"/>
    <col min="9223" max="9223" width="6.75" style="1" customWidth="1"/>
    <col min="9224" max="9224" width="8.75" style="1" customWidth="1"/>
    <col min="9225" max="9226" width="10.125" style="1"/>
    <col min="9227" max="9227" width="10.625" style="1" bestFit="1" customWidth="1"/>
    <col min="9228" max="9472" width="10.125" style="1"/>
    <col min="9473" max="9473" width="3.125" style="1" customWidth="1"/>
    <col min="9474" max="9474" width="29.5" style="1" customWidth="1"/>
    <col min="9475" max="9475" width="8.75" style="1" customWidth="1"/>
    <col min="9476" max="9476" width="1.5" style="1" customWidth="1"/>
    <col min="9477" max="9477" width="10.75" style="1" customWidth="1"/>
    <col min="9478" max="9478" width="6.375" style="1" customWidth="1"/>
    <col min="9479" max="9479" width="6.75" style="1" customWidth="1"/>
    <col min="9480" max="9480" width="8.75" style="1" customWidth="1"/>
    <col min="9481" max="9482" width="10.125" style="1"/>
    <col min="9483" max="9483" width="10.625" style="1" bestFit="1" customWidth="1"/>
    <col min="9484" max="9728" width="10.125" style="1"/>
    <col min="9729" max="9729" width="3.125" style="1" customWidth="1"/>
    <col min="9730" max="9730" width="29.5" style="1" customWidth="1"/>
    <col min="9731" max="9731" width="8.75" style="1" customWidth="1"/>
    <col min="9732" max="9732" width="1.5" style="1" customWidth="1"/>
    <col min="9733" max="9733" width="10.75" style="1" customWidth="1"/>
    <col min="9734" max="9734" width="6.375" style="1" customWidth="1"/>
    <col min="9735" max="9735" width="6.75" style="1" customWidth="1"/>
    <col min="9736" max="9736" width="8.75" style="1" customWidth="1"/>
    <col min="9737" max="9738" width="10.125" style="1"/>
    <col min="9739" max="9739" width="10.625" style="1" bestFit="1" customWidth="1"/>
    <col min="9740" max="9984" width="10.125" style="1"/>
    <col min="9985" max="9985" width="3.125" style="1" customWidth="1"/>
    <col min="9986" max="9986" width="29.5" style="1" customWidth="1"/>
    <col min="9987" max="9987" width="8.75" style="1" customWidth="1"/>
    <col min="9988" max="9988" width="1.5" style="1" customWidth="1"/>
    <col min="9989" max="9989" width="10.75" style="1" customWidth="1"/>
    <col min="9990" max="9990" width="6.375" style="1" customWidth="1"/>
    <col min="9991" max="9991" width="6.75" style="1" customWidth="1"/>
    <col min="9992" max="9992" width="8.75" style="1" customWidth="1"/>
    <col min="9993" max="9994" width="10.125" style="1"/>
    <col min="9995" max="9995" width="10.625" style="1" bestFit="1" customWidth="1"/>
    <col min="9996" max="10240" width="10.125" style="1"/>
    <col min="10241" max="10241" width="3.125" style="1" customWidth="1"/>
    <col min="10242" max="10242" width="29.5" style="1" customWidth="1"/>
    <col min="10243" max="10243" width="8.75" style="1" customWidth="1"/>
    <col min="10244" max="10244" width="1.5" style="1" customWidth="1"/>
    <col min="10245" max="10245" width="10.75" style="1" customWidth="1"/>
    <col min="10246" max="10246" width="6.375" style="1" customWidth="1"/>
    <col min="10247" max="10247" width="6.75" style="1" customWidth="1"/>
    <col min="10248" max="10248" width="8.75" style="1" customWidth="1"/>
    <col min="10249" max="10250" width="10.125" style="1"/>
    <col min="10251" max="10251" width="10.625" style="1" bestFit="1" customWidth="1"/>
    <col min="10252" max="10496" width="10.125" style="1"/>
    <col min="10497" max="10497" width="3.125" style="1" customWidth="1"/>
    <col min="10498" max="10498" width="29.5" style="1" customWidth="1"/>
    <col min="10499" max="10499" width="8.75" style="1" customWidth="1"/>
    <col min="10500" max="10500" width="1.5" style="1" customWidth="1"/>
    <col min="10501" max="10501" width="10.75" style="1" customWidth="1"/>
    <col min="10502" max="10502" width="6.375" style="1" customWidth="1"/>
    <col min="10503" max="10503" width="6.75" style="1" customWidth="1"/>
    <col min="10504" max="10504" width="8.75" style="1" customWidth="1"/>
    <col min="10505" max="10506" width="10.125" style="1"/>
    <col min="10507" max="10507" width="10.625" style="1" bestFit="1" customWidth="1"/>
    <col min="10508" max="10752" width="10.125" style="1"/>
    <col min="10753" max="10753" width="3.125" style="1" customWidth="1"/>
    <col min="10754" max="10754" width="29.5" style="1" customWidth="1"/>
    <col min="10755" max="10755" width="8.75" style="1" customWidth="1"/>
    <col min="10756" max="10756" width="1.5" style="1" customWidth="1"/>
    <col min="10757" max="10757" width="10.75" style="1" customWidth="1"/>
    <col min="10758" max="10758" width="6.375" style="1" customWidth="1"/>
    <col min="10759" max="10759" width="6.75" style="1" customWidth="1"/>
    <col min="10760" max="10760" width="8.75" style="1" customWidth="1"/>
    <col min="10761" max="10762" width="10.125" style="1"/>
    <col min="10763" max="10763" width="10.625" style="1" bestFit="1" customWidth="1"/>
    <col min="10764" max="11008" width="10.125" style="1"/>
    <col min="11009" max="11009" width="3.125" style="1" customWidth="1"/>
    <col min="11010" max="11010" width="29.5" style="1" customWidth="1"/>
    <col min="11011" max="11011" width="8.75" style="1" customWidth="1"/>
    <col min="11012" max="11012" width="1.5" style="1" customWidth="1"/>
    <col min="11013" max="11013" width="10.75" style="1" customWidth="1"/>
    <col min="11014" max="11014" width="6.375" style="1" customWidth="1"/>
    <col min="11015" max="11015" width="6.75" style="1" customWidth="1"/>
    <col min="11016" max="11016" width="8.75" style="1" customWidth="1"/>
    <col min="11017" max="11018" width="10.125" style="1"/>
    <col min="11019" max="11019" width="10.625" style="1" bestFit="1" customWidth="1"/>
    <col min="11020" max="11264" width="10.125" style="1"/>
    <col min="11265" max="11265" width="3.125" style="1" customWidth="1"/>
    <col min="11266" max="11266" width="29.5" style="1" customWidth="1"/>
    <col min="11267" max="11267" width="8.75" style="1" customWidth="1"/>
    <col min="11268" max="11268" width="1.5" style="1" customWidth="1"/>
    <col min="11269" max="11269" width="10.75" style="1" customWidth="1"/>
    <col min="11270" max="11270" width="6.375" style="1" customWidth="1"/>
    <col min="11271" max="11271" width="6.75" style="1" customWidth="1"/>
    <col min="11272" max="11272" width="8.75" style="1" customWidth="1"/>
    <col min="11273" max="11274" width="10.125" style="1"/>
    <col min="11275" max="11275" width="10.625" style="1" bestFit="1" customWidth="1"/>
    <col min="11276" max="11520" width="10.125" style="1"/>
    <col min="11521" max="11521" width="3.125" style="1" customWidth="1"/>
    <col min="11522" max="11522" width="29.5" style="1" customWidth="1"/>
    <col min="11523" max="11523" width="8.75" style="1" customWidth="1"/>
    <col min="11524" max="11524" width="1.5" style="1" customWidth="1"/>
    <col min="11525" max="11525" width="10.75" style="1" customWidth="1"/>
    <col min="11526" max="11526" width="6.375" style="1" customWidth="1"/>
    <col min="11527" max="11527" width="6.75" style="1" customWidth="1"/>
    <col min="11528" max="11528" width="8.75" style="1" customWidth="1"/>
    <col min="11529" max="11530" width="10.125" style="1"/>
    <col min="11531" max="11531" width="10.625" style="1" bestFit="1" customWidth="1"/>
    <col min="11532" max="11776" width="10.125" style="1"/>
    <col min="11777" max="11777" width="3.125" style="1" customWidth="1"/>
    <col min="11778" max="11778" width="29.5" style="1" customWidth="1"/>
    <col min="11779" max="11779" width="8.75" style="1" customWidth="1"/>
    <col min="11780" max="11780" width="1.5" style="1" customWidth="1"/>
    <col min="11781" max="11781" width="10.75" style="1" customWidth="1"/>
    <col min="11782" max="11782" width="6.375" style="1" customWidth="1"/>
    <col min="11783" max="11783" width="6.75" style="1" customWidth="1"/>
    <col min="11784" max="11784" width="8.75" style="1" customWidth="1"/>
    <col min="11785" max="11786" width="10.125" style="1"/>
    <col min="11787" max="11787" width="10.625" style="1" bestFit="1" customWidth="1"/>
    <col min="11788" max="12032" width="10.125" style="1"/>
    <col min="12033" max="12033" width="3.125" style="1" customWidth="1"/>
    <col min="12034" max="12034" width="29.5" style="1" customWidth="1"/>
    <col min="12035" max="12035" width="8.75" style="1" customWidth="1"/>
    <col min="12036" max="12036" width="1.5" style="1" customWidth="1"/>
    <col min="12037" max="12037" width="10.75" style="1" customWidth="1"/>
    <col min="12038" max="12038" width="6.375" style="1" customWidth="1"/>
    <col min="12039" max="12039" width="6.75" style="1" customWidth="1"/>
    <col min="12040" max="12040" width="8.75" style="1" customWidth="1"/>
    <col min="12041" max="12042" width="10.125" style="1"/>
    <col min="12043" max="12043" width="10.625" style="1" bestFit="1" customWidth="1"/>
    <col min="12044" max="12288" width="10.125" style="1"/>
    <col min="12289" max="12289" width="3.125" style="1" customWidth="1"/>
    <col min="12290" max="12290" width="29.5" style="1" customWidth="1"/>
    <col min="12291" max="12291" width="8.75" style="1" customWidth="1"/>
    <col min="12292" max="12292" width="1.5" style="1" customWidth="1"/>
    <col min="12293" max="12293" width="10.75" style="1" customWidth="1"/>
    <col min="12294" max="12294" width="6.375" style="1" customWidth="1"/>
    <col min="12295" max="12295" width="6.75" style="1" customWidth="1"/>
    <col min="12296" max="12296" width="8.75" style="1" customWidth="1"/>
    <col min="12297" max="12298" width="10.125" style="1"/>
    <col min="12299" max="12299" width="10.625" style="1" bestFit="1" customWidth="1"/>
    <col min="12300" max="12544" width="10.125" style="1"/>
    <col min="12545" max="12545" width="3.125" style="1" customWidth="1"/>
    <col min="12546" max="12546" width="29.5" style="1" customWidth="1"/>
    <col min="12547" max="12547" width="8.75" style="1" customWidth="1"/>
    <col min="12548" max="12548" width="1.5" style="1" customWidth="1"/>
    <col min="12549" max="12549" width="10.75" style="1" customWidth="1"/>
    <col min="12550" max="12550" width="6.375" style="1" customWidth="1"/>
    <col min="12551" max="12551" width="6.75" style="1" customWidth="1"/>
    <col min="12552" max="12552" width="8.75" style="1" customWidth="1"/>
    <col min="12553" max="12554" width="10.125" style="1"/>
    <col min="12555" max="12555" width="10.625" style="1" bestFit="1" customWidth="1"/>
    <col min="12556" max="12800" width="10.125" style="1"/>
    <col min="12801" max="12801" width="3.125" style="1" customWidth="1"/>
    <col min="12802" max="12802" width="29.5" style="1" customWidth="1"/>
    <col min="12803" max="12803" width="8.75" style="1" customWidth="1"/>
    <col min="12804" max="12804" width="1.5" style="1" customWidth="1"/>
    <col min="12805" max="12805" width="10.75" style="1" customWidth="1"/>
    <col min="12806" max="12806" width="6.375" style="1" customWidth="1"/>
    <col min="12807" max="12807" width="6.75" style="1" customWidth="1"/>
    <col min="12808" max="12808" width="8.75" style="1" customWidth="1"/>
    <col min="12809" max="12810" width="10.125" style="1"/>
    <col min="12811" max="12811" width="10.625" style="1" bestFit="1" customWidth="1"/>
    <col min="12812" max="13056" width="10.125" style="1"/>
    <col min="13057" max="13057" width="3.125" style="1" customWidth="1"/>
    <col min="13058" max="13058" width="29.5" style="1" customWidth="1"/>
    <col min="13059" max="13059" width="8.75" style="1" customWidth="1"/>
    <col min="13060" max="13060" width="1.5" style="1" customWidth="1"/>
    <col min="13061" max="13061" width="10.75" style="1" customWidth="1"/>
    <col min="13062" max="13062" width="6.375" style="1" customWidth="1"/>
    <col min="13063" max="13063" width="6.75" style="1" customWidth="1"/>
    <col min="13064" max="13064" width="8.75" style="1" customWidth="1"/>
    <col min="13065" max="13066" width="10.125" style="1"/>
    <col min="13067" max="13067" width="10.625" style="1" bestFit="1" customWidth="1"/>
    <col min="13068" max="13312" width="10.125" style="1"/>
    <col min="13313" max="13313" width="3.125" style="1" customWidth="1"/>
    <col min="13314" max="13314" width="29.5" style="1" customWidth="1"/>
    <col min="13315" max="13315" width="8.75" style="1" customWidth="1"/>
    <col min="13316" max="13316" width="1.5" style="1" customWidth="1"/>
    <col min="13317" max="13317" width="10.75" style="1" customWidth="1"/>
    <col min="13318" max="13318" width="6.375" style="1" customWidth="1"/>
    <col min="13319" max="13319" width="6.75" style="1" customWidth="1"/>
    <col min="13320" max="13320" width="8.75" style="1" customWidth="1"/>
    <col min="13321" max="13322" width="10.125" style="1"/>
    <col min="13323" max="13323" width="10.625" style="1" bestFit="1" customWidth="1"/>
    <col min="13324" max="13568" width="10.125" style="1"/>
    <col min="13569" max="13569" width="3.125" style="1" customWidth="1"/>
    <col min="13570" max="13570" width="29.5" style="1" customWidth="1"/>
    <col min="13571" max="13571" width="8.75" style="1" customWidth="1"/>
    <col min="13572" max="13572" width="1.5" style="1" customWidth="1"/>
    <col min="13573" max="13573" width="10.75" style="1" customWidth="1"/>
    <col min="13574" max="13574" width="6.375" style="1" customWidth="1"/>
    <col min="13575" max="13575" width="6.75" style="1" customWidth="1"/>
    <col min="13576" max="13576" width="8.75" style="1" customWidth="1"/>
    <col min="13577" max="13578" width="10.125" style="1"/>
    <col min="13579" max="13579" width="10.625" style="1" bestFit="1" customWidth="1"/>
    <col min="13580" max="13824" width="10.125" style="1"/>
    <col min="13825" max="13825" width="3.125" style="1" customWidth="1"/>
    <col min="13826" max="13826" width="29.5" style="1" customWidth="1"/>
    <col min="13827" max="13827" width="8.75" style="1" customWidth="1"/>
    <col min="13828" max="13828" width="1.5" style="1" customWidth="1"/>
    <col min="13829" max="13829" width="10.75" style="1" customWidth="1"/>
    <col min="13830" max="13830" width="6.375" style="1" customWidth="1"/>
    <col min="13831" max="13831" width="6.75" style="1" customWidth="1"/>
    <col min="13832" max="13832" width="8.75" style="1" customWidth="1"/>
    <col min="13833" max="13834" width="10.125" style="1"/>
    <col min="13835" max="13835" width="10.625" style="1" bestFit="1" customWidth="1"/>
    <col min="13836" max="14080" width="10.125" style="1"/>
    <col min="14081" max="14081" width="3.125" style="1" customWidth="1"/>
    <col min="14082" max="14082" width="29.5" style="1" customWidth="1"/>
    <col min="14083" max="14083" width="8.75" style="1" customWidth="1"/>
    <col min="14084" max="14084" width="1.5" style="1" customWidth="1"/>
    <col min="14085" max="14085" width="10.75" style="1" customWidth="1"/>
    <col min="14086" max="14086" width="6.375" style="1" customWidth="1"/>
    <col min="14087" max="14087" width="6.75" style="1" customWidth="1"/>
    <col min="14088" max="14088" width="8.75" style="1" customWidth="1"/>
    <col min="14089" max="14090" width="10.125" style="1"/>
    <col min="14091" max="14091" width="10.625" style="1" bestFit="1" customWidth="1"/>
    <col min="14092" max="14336" width="10.125" style="1"/>
    <col min="14337" max="14337" width="3.125" style="1" customWidth="1"/>
    <col min="14338" max="14338" width="29.5" style="1" customWidth="1"/>
    <col min="14339" max="14339" width="8.75" style="1" customWidth="1"/>
    <col min="14340" max="14340" width="1.5" style="1" customWidth="1"/>
    <col min="14341" max="14341" width="10.75" style="1" customWidth="1"/>
    <col min="14342" max="14342" width="6.375" style="1" customWidth="1"/>
    <col min="14343" max="14343" width="6.75" style="1" customWidth="1"/>
    <col min="14344" max="14344" width="8.75" style="1" customWidth="1"/>
    <col min="14345" max="14346" width="10.125" style="1"/>
    <col min="14347" max="14347" width="10.625" style="1" bestFit="1" customWidth="1"/>
    <col min="14348" max="14592" width="10.125" style="1"/>
    <col min="14593" max="14593" width="3.125" style="1" customWidth="1"/>
    <col min="14594" max="14594" width="29.5" style="1" customWidth="1"/>
    <col min="14595" max="14595" width="8.75" style="1" customWidth="1"/>
    <col min="14596" max="14596" width="1.5" style="1" customWidth="1"/>
    <col min="14597" max="14597" width="10.75" style="1" customWidth="1"/>
    <col min="14598" max="14598" width="6.375" style="1" customWidth="1"/>
    <col min="14599" max="14599" width="6.75" style="1" customWidth="1"/>
    <col min="14600" max="14600" width="8.75" style="1" customWidth="1"/>
    <col min="14601" max="14602" width="10.125" style="1"/>
    <col min="14603" max="14603" width="10.625" style="1" bestFit="1" customWidth="1"/>
    <col min="14604" max="14848" width="10.125" style="1"/>
    <col min="14849" max="14849" width="3.125" style="1" customWidth="1"/>
    <col min="14850" max="14850" width="29.5" style="1" customWidth="1"/>
    <col min="14851" max="14851" width="8.75" style="1" customWidth="1"/>
    <col min="14852" max="14852" width="1.5" style="1" customWidth="1"/>
    <col min="14853" max="14853" width="10.75" style="1" customWidth="1"/>
    <col min="14854" max="14854" width="6.375" style="1" customWidth="1"/>
    <col min="14855" max="14855" width="6.75" style="1" customWidth="1"/>
    <col min="14856" max="14856" width="8.75" style="1" customWidth="1"/>
    <col min="14857" max="14858" width="10.125" style="1"/>
    <col min="14859" max="14859" width="10.625" style="1" bestFit="1" customWidth="1"/>
    <col min="14860" max="15104" width="10.125" style="1"/>
    <col min="15105" max="15105" width="3.125" style="1" customWidth="1"/>
    <col min="15106" max="15106" width="29.5" style="1" customWidth="1"/>
    <col min="15107" max="15107" width="8.75" style="1" customWidth="1"/>
    <col min="15108" max="15108" width="1.5" style="1" customWidth="1"/>
    <col min="15109" max="15109" width="10.75" style="1" customWidth="1"/>
    <col min="15110" max="15110" width="6.375" style="1" customWidth="1"/>
    <col min="15111" max="15111" width="6.75" style="1" customWidth="1"/>
    <col min="15112" max="15112" width="8.75" style="1" customWidth="1"/>
    <col min="15113" max="15114" width="10.125" style="1"/>
    <col min="15115" max="15115" width="10.625" style="1" bestFit="1" customWidth="1"/>
    <col min="15116" max="15360" width="10.125" style="1"/>
    <col min="15361" max="15361" width="3.125" style="1" customWidth="1"/>
    <col min="15362" max="15362" width="29.5" style="1" customWidth="1"/>
    <col min="15363" max="15363" width="8.75" style="1" customWidth="1"/>
    <col min="15364" max="15364" width="1.5" style="1" customWidth="1"/>
    <col min="15365" max="15365" width="10.75" style="1" customWidth="1"/>
    <col min="15366" max="15366" width="6.375" style="1" customWidth="1"/>
    <col min="15367" max="15367" width="6.75" style="1" customWidth="1"/>
    <col min="15368" max="15368" width="8.75" style="1" customWidth="1"/>
    <col min="15369" max="15370" width="10.125" style="1"/>
    <col min="15371" max="15371" width="10.625" style="1" bestFit="1" customWidth="1"/>
    <col min="15372" max="15616" width="10.125" style="1"/>
    <col min="15617" max="15617" width="3.125" style="1" customWidth="1"/>
    <col min="15618" max="15618" width="29.5" style="1" customWidth="1"/>
    <col min="15619" max="15619" width="8.75" style="1" customWidth="1"/>
    <col min="15620" max="15620" width="1.5" style="1" customWidth="1"/>
    <col min="15621" max="15621" width="10.75" style="1" customWidth="1"/>
    <col min="15622" max="15622" width="6.375" style="1" customWidth="1"/>
    <col min="15623" max="15623" width="6.75" style="1" customWidth="1"/>
    <col min="15624" max="15624" width="8.75" style="1" customWidth="1"/>
    <col min="15625" max="15626" width="10.125" style="1"/>
    <col min="15627" max="15627" width="10.625" style="1" bestFit="1" customWidth="1"/>
    <col min="15628" max="15872" width="10.125" style="1"/>
    <col min="15873" max="15873" width="3.125" style="1" customWidth="1"/>
    <col min="15874" max="15874" width="29.5" style="1" customWidth="1"/>
    <col min="15875" max="15875" width="8.75" style="1" customWidth="1"/>
    <col min="15876" max="15876" width="1.5" style="1" customWidth="1"/>
    <col min="15877" max="15877" width="10.75" style="1" customWidth="1"/>
    <col min="15878" max="15878" width="6.375" style="1" customWidth="1"/>
    <col min="15879" max="15879" width="6.75" style="1" customWidth="1"/>
    <col min="15880" max="15880" width="8.75" style="1" customWidth="1"/>
    <col min="15881" max="15882" width="10.125" style="1"/>
    <col min="15883" max="15883" width="10.625" style="1" bestFit="1" customWidth="1"/>
    <col min="15884" max="16128" width="10.125" style="1"/>
    <col min="16129" max="16129" width="3.125" style="1" customWidth="1"/>
    <col min="16130" max="16130" width="29.5" style="1" customWidth="1"/>
    <col min="16131" max="16131" width="8.75" style="1" customWidth="1"/>
    <col min="16132" max="16132" width="1.5" style="1" customWidth="1"/>
    <col min="16133" max="16133" width="10.75" style="1" customWidth="1"/>
    <col min="16134" max="16134" width="6.375" style="1" customWidth="1"/>
    <col min="16135" max="16135" width="6.75" style="1" customWidth="1"/>
    <col min="16136" max="16136" width="8.75" style="1" customWidth="1"/>
    <col min="16137" max="16138" width="10.125" style="1"/>
    <col min="16139" max="16139" width="10.625" style="1" bestFit="1" customWidth="1"/>
    <col min="16140" max="16384" width="10.125" style="1"/>
  </cols>
  <sheetData>
    <row r="5" spans="1:11" x14ac:dyDescent="0.25">
      <c r="A5" s="4" t="s">
        <v>0</v>
      </c>
      <c r="B5" s="5"/>
      <c r="C5" s="5"/>
    </row>
    <row r="6" spans="1:11" ht="9" customHeight="1" x14ac:dyDescent="0.25">
      <c r="A6" s="4"/>
      <c r="B6" s="5"/>
      <c r="C6" s="5"/>
    </row>
    <row r="7" spans="1:11" s="7" customFormat="1" ht="15" x14ac:dyDescent="0.25">
      <c r="A7" s="7" t="s">
        <v>1</v>
      </c>
      <c r="B7" s="8"/>
      <c r="D7" s="9"/>
      <c r="E7" s="131" t="s">
        <v>2</v>
      </c>
      <c r="F7" s="132"/>
      <c r="G7" s="133">
        <v>45425</v>
      </c>
      <c r="H7" s="134"/>
    </row>
    <row r="8" spans="1:11" s="7" customFormat="1" ht="15" x14ac:dyDescent="0.25">
      <c r="A8" s="7" t="s">
        <v>53</v>
      </c>
      <c r="B8" s="8"/>
      <c r="D8" s="9"/>
      <c r="E8" s="135" t="s">
        <v>3</v>
      </c>
      <c r="F8" s="136"/>
      <c r="H8" s="11">
        <v>60431</v>
      </c>
      <c r="K8" s="55"/>
    </row>
    <row r="9" spans="1:11" s="7" customFormat="1" ht="15" x14ac:dyDescent="0.25">
      <c r="A9" s="7" t="s">
        <v>54</v>
      </c>
      <c r="B9" s="8"/>
      <c r="D9" s="9"/>
      <c r="E9" s="135" t="s">
        <v>4</v>
      </c>
      <c r="F9" s="136"/>
      <c r="G9" s="137" t="s">
        <v>78</v>
      </c>
      <c r="H9" s="138"/>
      <c r="K9" s="55"/>
    </row>
    <row r="10" spans="1:11" s="7" customFormat="1" ht="15" x14ac:dyDescent="0.25">
      <c r="B10" s="8"/>
      <c r="D10" s="9"/>
      <c r="E10" s="13" t="s">
        <v>5</v>
      </c>
      <c r="F10" s="14"/>
      <c r="G10" s="139">
        <v>45412</v>
      </c>
      <c r="H10" s="140"/>
      <c r="K10" s="55"/>
    </row>
    <row r="11" spans="1:11" s="7" customFormat="1" ht="15" x14ac:dyDescent="0.25">
      <c r="A11" s="15" t="s">
        <v>55</v>
      </c>
      <c r="B11" s="8"/>
      <c r="D11" s="9"/>
      <c r="E11" s="10" t="s">
        <v>6</v>
      </c>
      <c r="F11" s="125" t="s">
        <v>7</v>
      </c>
      <c r="G11" s="125"/>
      <c r="H11" s="126"/>
    </row>
    <row r="12" spans="1:11" s="7" customFormat="1" ht="15" x14ac:dyDescent="0.25">
      <c r="A12" s="15"/>
      <c r="B12" s="8"/>
      <c r="D12" s="9"/>
      <c r="E12" s="13" t="s">
        <v>8</v>
      </c>
      <c r="F12" s="127" t="s">
        <v>9</v>
      </c>
      <c r="G12" s="127"/>
      <c r="H12" s="128"/>
    </row>
    <row r="13" spans="1:11" s="7" customFormat="1" ht="15" x14ac:dyDescent="0.25">
      <c r="A13" s="15"/>
      <c r="B13" s="8"/>
      <c r="D13" s="9"/>
      <c r="E13" s="17"/>
      <c r="F13" s="51"/>
      <c r="G13" s="51"/>
      <c r="H13" s="51"/>
    </row>
    <row r="14" spans="1:11" s="7" customFormat="1" ht="15" x14ac:dyDescent="0.25">
      <c r="A14" s="15"/>
      <c r="B14" s="8"/>
      <c r="D14" s="9"/>
      <c r="E14" s="17"/>
      <c r="F14" s="51"/>
      <c r="G14" s="51"/>
      <c r="H14" s="51"/>
    </row>
    <row r="15" spans="1:11" s="7" customFormat="1" ht="15" x14ac:dyDescent="0.25">
      <c r="A15" s="15"/>
      <c r="B15" s="8"/>
      <c r="D15" s="9"/>
      <c r="E15" s="17"/>
      <c r="F15" s="51"/>
      <c r="G15" s="51"/>
      <c r="H15" s="51"/>
    </row>
    <row r="16" spans="1:11" s="15" customFormat="1" ht="14.25" x14ac:dyDescent="0.2">
      <c r="A16" s="129" t="s">
        <v>10</v>
      </c>
      <c r="B16" s="129"/>
      <c r="C16" s="129"/>
      <c r="D16" s="129"/>
      <c r="E16" s="129"/>
      <c r="F16" s="129"/>
      <c r="G16" s="129"/>
      <c r="H16" s="129"/>
    </row>
    <row r="17" spans="1:8" s="15" customFormat="1" ht="14.25" x14ac:dyDescent="0.2">
      <c r="A17" s="19"/>
      <c r="B17" s="19"/>
      <c r="C17" s="19"/>
      <c r="D17" s="19"/>
      <c r="E17" s="19"/>
      <c r="F17" s="19"/>
      <c r="G17" s="19"/>
      <c r="H17" s="19"/>
    </row>
    <row r="18" spans="1:8" s="15" customFormat="1" ht="14.25" x14ac:dyDescent="0.2">
      <c r="A18" s="19"/>
      <c r="B18" s="19"/>
      <c r="C18" s="19"/>
      <c r="D18" s="19"/>
      <c r="E18" s="19"/>
      <c r="F18" s="19"/>
      <c r="G18" s="19"/>
      <c r="H18" s="19"/>
    </row>
    <row r="19" spans="1:8" s="7" customFormat="1" ht="15" x14ac:dyDescent="0.25">
      <c r="A19" s="7" t="s">
        <v>38</v>
      </c>
      <c r="B19" s="8"/>
      <c r="D19" s="9"/>
      <c r="E19" s="17"/>
      <c r="F19" s="9"/>
      <c r="G19" s="18"/>
    </row>
    <row r="20" spans="1:8" s="7" customFormat="1" ht="15" x14ac:dyDescent="0.25">
      <c r="A20" s="7" t="s">
        <v>39</v>
      </c>
      <c r="B20" s="8"/>
      <c r="D20" s="9"/>
      <c r="E20" s="17"/>
      <c r="F20" s="9"/>
      <c r="G20" s="18"/>
    </row>
    <row r="21" spans="1:8" s="7" customFormat="1" ht="9" customHeight="1" x14ac:dyDescent="0.25">
      <c r="D21" s="9"/>
      <c r="E21" s="17"/>
      <c r="F21" s="18"/>
    </row>
    <row r="22" spans="1:8" s="7" customFormat="1" ht="15" x14ac:dyDescent="0.25">
      <c r="A22" s="20" t="s">
        <v>13</v>
      </c>
      <c r="B22" s="21"/>
      <c r="C22" s="20"/>
      <c r="D22" s="9"/>
      <c r="E22" s="9" t="s">
        <v>40</v>
      </c>
      <c r="F22" s="17" t="s">
        <v>15</v>
      </c>
      <c r="G22" s="9" t="s">
        <v>41</v>
      </c>
      <c r="H22" s="17" t="s">
        <v>17</v>
      </c>
    </row>
    <row r="23" spans="1:8" s="7" customFormat="1" ht="15" x14ac:dyDescent="0.25">
      <c r="A23" s="23" t="s">
        <v>18</v>
      </c>
      <c r="B23" s="23"/>
      <c r="C23" s="22" t="s">
        <v>49</v>
      </c>
      <c r="D23" s="24"/>
      <c r="E23" s="24" t="s">
        <v>50</v>
      </c>
      <c r="F23" s="16"/>
      <c r="G23" s="24" t="s">
        <v>44</v>
      </c>
      <c r="H23" s="14"/>
    </row>
    <row r="24" spans="1:8" s="7" customFormat="1" ht="15" x14ac:dyDescent="0.25">
      <c r="A24" s="7">
        <v>33</v>
      </c>
      <c r="B24" s="7" t="s">
        <v>51</v>
      </c>
      <c r="C24" s="45"/>
      <c r="D24" s="45"/>
      <c r="E24" s="26"/>
      <c r="F24" s="12"/>
      <c r="G24" s="17"/>
      <c r="H24" s="28"/>
    </row>
    <row r="25" spans="1:8" s="7" customFormat="1" ht="15" x14ac:dyDescent="0.25">
      <c r="A25" s="12"/>
      <c r="B25" s="55">
        <v>45323</v>
      </c>
      <c r="C25" s="44"/>
      <c r="E25" s="26">
        <f>ROUNDDOWN((23974.96/2)/(128664.92/12)*128664.92/1000,)*1000</f>
        <v>143000</v>
      </c>
      <c r="F25" s="12" t="s">
        <v>52</v>
      </c>
      <c r="G25" s="17">
        <v>7</v>
      </c>
      <c r="H25" s="28">
        <f>G25/10*217</f>
        <v>151.89999999999998</v>
      </c>
    </row>
    <row r="26" spans="1:8" s="7" customFormat="1" ht="15" x14ac:dyDescent="0.25">
      <c r="A26" s="12"/>
      <c r="B26" s="55">
        <v>45352</v>
      </c>
      <c r="C26" s="44"/>
      <c r="E26" s="26">
        <f>+E25</f>
        <v>143000</v>
      </c>
      <c r="F26" s="12" t="s">
        <v>52</v>
      </c>
      <c r="G26" s="17">
        <v>7</v>
      </c>
      <c r="H26" s="28">
        <f>G26/10*217</f>
        <v>151.89999999999998</v>
      </c>
    </row>
    <row r="27" spans="1:8" s="7" customFormat="1" ht="15" x14ac:dyDescent="0.25">
      <c r="A27" s="12"/>
      <c r="B27" s="55"/>
      <c r="C27" s="44"/>
      <c r="E27" s="26"/>
      <c r="F27" s="12"/>
      <c r="G27" s="17"/>
      <c r="H27" s="28"/>
    </row>
    <row r="28" spans="1:8" s="7" customFormat="1" ht="5.25" customHeight="1" x14ac:dyDescent="0.25">
      <c r="A28" s="12"/>
      <c r="B28" s="53"/>
      <c r="C28" s="44"/>
      <c r="D28" s="45"/>
      <c r="E28" s="54"/>
      <c r="F28" s="28"/>
      <c r="G28" s="47"/>
      <c r="H28" s="28"/>
    </row>
    <row r="29" spans="1:8" s="7" customFormat="1" ht="15" x14ac:dyDescent="0.25">
      <c r="A29" s="7">
        <v>16</v>
      </c>
      <c r="B29" s="7" t="s">
        <v>23</v>
      </c>
      <c r="C29" s="62"/>
      <c r="E29" s="41">
        <f>SUM(H24:H28)*0.2</f>
        <v>60.759999999999991</v>
      </c>
      <c r="F29" s="26"/>
      <c r="G29" s="17">
        <f>+E29*0.2</f>
        <v>12.151999999999999</v>
      </c>
      <c r="H29" s="41">
        <v>40</v>
      </c>
    </row>
    <row r="30" spans="1:8" s="7" customFormat="1" ht="15" x14ac:dyDescent="0.25">
      <c r="A30" s="23"/>
      <c r="B30" s="23" t="s">
        <v>24</v>
      </c>
      <c r="C30" s="23"/>
      <c r="D30" s="23"/>
      <c r="E30" s="24"/>
      <c r="F30" s="16"/>
      <c r="G30" s="57"/>
      <c r="H30" s="58"/>
    </row>
    <row r="31" spans="1:8" s="7" customFormat="1" ht="15.75" customHeight="1" x14ac:dyDescent="0.25">
      <c r="D31" s="9"/>
      <c r="E31" s="7" t="s">
        <v>25</v>
      </c>
      <c r="F31" s="9"/>
      <c r="G31" s="12"/>
      <c r="H31" s="41">
        <f>SUM(H24:H30)</f>
        <v>343.79999999999995</v>
      </c>
    </row>
    <row r="32" spans="1:8" s="7" customFormat="1" ht="15.75" customHeight="1" x14ac:dyDescent="0.25">
      <c r="D32" s="9"/>
      <c r="E32" s="7" t="s">
        <v>26</v>
      </c>
      <c r="F32" s="9"/>
      <c r="H32" s="41">
        <f>+H31*0.19</f>
        <v>65.321999999999989</v>
      </c>
    </row>
    <row r="33" spans="1:8" s="7" customFormat="1" thickBot="1" x14ac:dyDescent="0.3">
      <c r="D33" s="9"/>
      <c r="E33" s="34" t="s">
        <v>27</v>
      </c>
      <c r="F33" s="35"/>
      <c r="G33" s="60"/>
      <c r="H33" s="61">
        <f>SUM(H31:H32)</f>
        <v>409.12199999999996</v>
      </c>
    </row>
    <row r="34" spans="1:8" s="7" customFormat="1" ht="7.5" customHeight="1" thickTop="1" x14ac:dyDescent="0.25">
      <c r="D34" s="9"/>
      <c r="E34" s="38"/>
      <c r="F34" s="17"/>
      <c r="G34" s="9"/>
      <c r="H34" s="41"/>
    </row>
    <row r="35" spans="1:8" s="7" customFormat="1" ht="15" x14ac:dyDescent="0.25">
      <c r="A35" s="7" t="s">
        <v>48</v>
      </c>
      <c r="B35" s="8"/>
      <c r="D35" s="9"/>
      <c r="E35" s="17"/>
      <c r="F35" s="18"/>
    </row>
    <row r="36" spans="1:8" s="7" customFormat="1" ht="15" x14ac:dyDescent="0.25">
      <c r="D36" s="9"/>
      <c r="E36" s="17"/>
      <c r="F36" s="18"/>
    </row>
    <row r="37" spans="1:8" s="7" customFormat="1" ht="15" x14ac:dyDescent="0.25">
      <c r="D37" s="9"/>
      <c r="E37" s="17"/>
      <c r="F37" s="18"/>
    </row>
    <row r="38" spans="1:8" ht="14.25" customHeight="1" x14ac:dyDescent="0.25"/>
    <row r="39" spans="1:8" x14ac:dyDescent="0.25">
      <c r="B39" s="23"/>
    </row>
    <row r="42" spans="1:8" x14ac:dyDescent="0.25">
      <c r="D42" s="1"/>
      <c r="E42" s="1"/>
      <c r="F42" s="1"/>
    </row>
    <row r="43" spans="1:8" x14ac:dyDescent="0.25">
      <c r="D43" s="1"/>
      <c r="E43" s="1"/>
      <c r="F43" s="1"/>
    </row>
    <row r="44" spans="1:8" x14ac:dyDescent="0.25">
      <c r="D44" s="1"/>
      <c r="E44" s="1"/>
      <c r="F44" s="1"/>
    </row>
    <row r="45" spans="1:8" x14ac:dyDescent="0.25">
      <c r="D45" s="1"/>
      <c r="E45" s="1"/>
      <c r="F45" s="1"/>
    </row>
    <row r="46" spans="1:8" x14ac:dyDescent="0.25">
      <c r="D46" s="1"/>
      <c r="E46" s="1"/>
      <c r="F46" s="1"/>
    </row>
    <row r="47" spans="1:8" x14ac:dyDescent="0.25">
      <c r="D47" s="1"/>
      <c r="E47" s="1"/>
      <c r="F47" s="1"/>
    </row>
    <row r="48" spans="1:8" x14ac:dyDescent="0.25">
      <c r="D48" s="1"/>
      <c r="E48" s="1"/>
      <c r="F48" s="1"/>
    </row>
    <row r="49" spans="1:8" x14ac:dyDescent="0.25">
      <c r="A49" s="130" t="s">
        <v>79</v>
      </c>
      <c r="B49" s="130"/>
      <c r="C49" s="130"/>
      <c r="D49" s="130"/>
      <c r="E49" s="130"/>
      <c r="F49" s="130"/>
      <c r="G49" s="130"/>
      <c r="H49" s="130"/>
    </row>
  </sheetData>
  <mergeCells count="10">
    <mergeCell ref="F11:H11"/>
    <mergeCell ref="F12:H12"/>
    <mergeCell ref="A16:H16"/>
    <mergeCell ref="A49:H49"/>
    <mergeCell ref="E7:F7"/>
    <mergeCell ref="G7:H7"/>
    <mergeCell ref="E8:F8"/>
    <mergeCell ref="E9:F9"/>
    <mergeCell ref="G9:H9"/>
    <mergeCell ref="G10:H10"/>
  </mergeCells>
  <pageMargins left="0.78740157480314965" right="0.78740157480314965" top="0.98425196850393704" bottom="0.98425196850393704" header="0.51181102362204722" footer="0.51181102362204722"/>
  <pageSetup paperSize="9" orientation="portrait" horizontalDpi="300" verticalDpi="300" r:id="rId1"/>
  <headerFooter alignWithMargins="0">
    <oddHeader>&amp;C&amp;"Times New Roman,Standard"&amp;16Hartmut Ahting
Steuerberater
Diplom-Wirtschaftsingenieur</oddHeader>
    <oddFooter>&amp;L&amp;"Times New Roman,Standard"Heerstrasse 50
60488 Frankfurt
&amp;C&amp;"Times New Roman,Standard"Deutsche Bank
BLZ 500 700 24
Konto 409 28 62&amp;R&amp;"Times New Roman,Standard"Tel:      069 / 788 031-71
Fax:     069 / 788 031-72
Mobil: 0174 / 326 99 58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74E2B-1962-4587-BF91-849DD47D321F}">
  <dimension ref="A5:K48"/>
  <sheetViews>
    <sheetView zoomScaleNormal="100" workbookViewId="0">
      <selection activeCell="G10" sqref="G10:H10"/>
    </sheetView>
  </sheetViews>
  <sheetFormatPr baseColWidth="10" defaultColWidth="10.125" defaultRowHeight="15.75" x14ac:dyDescent="0.25"/>
  <cols>
    <col min="1" max="1" width="3.125" style="1" customWidth="1"/>
    <col min="2" max="2" width="29.5" style="1" customWidth="1"/>
    <col min="3" max="3" width="8.75" style="1" customWidth="1"/>
    <col min="4" max="4" width="1.5" style="2" customWidth="1"/>
    <col min="5" max="5" width="10.75" style="3" customWidth="1"/>
    <col min="6" max="6" width="6.375" style="6" customWidth="1"/>
    <col min="7" max="7" width="8" style="1" customWidth="1"/>
    <col min="8" max="8" width="8.75" style="1" customWidth="1"/>
    <col min="9" max="10" width="10.125" style="1"/>
    <col min="11" max="11" width="10.625" style="1" bestFit="1" customWidth="1"/>
    <col min="12" max="256" width="10.125" style="1"/>
    <col min="257" max="257" width="3.125" style="1" customWidth="1"/>
    <col min="258" max="258" width="29.5" style="1" customWidth="1"/>
    <col min="259" max="259" width="8.75" style="1" customWidth="1"/>
    <col min="260" max="260" width="1.5" style="1" customWidth="1"/>
    <col min="261" max="261" width="10.75" style="1" customWidth="1"/>
    <col min="262" max="262" width="6.375" style="1" customWidth="1"/>
    <col min="263" max="263" width="6.75" style="1" customWidth="1"/>
    <col min="264" max="264" width="8.75" style="1" customWidth="1"/>
    <col min="265" max="266" width="10.125" style="1"/>
    <col min="267" max="267" width="10.625" style="1" bestFit="1" customWidth="1"/>
    <col min="268" max="512" width="10.125" style="1"/>
    <col min="513" max="513" width="3.125" style="1" customWidth="1"/>
    <col min="514" max="514" width="29.5" style="1" customWidth="1"/>
    <col min="515" max="515" width="8.75" style="1" customWidth="1"/>
    <col min="516" max="516" width="1.5" style="1" customWidth="1"/>
    <col min="517" max="517" width="10.75" style="1" customWidth="1"/>
    <col min="518" max="518" width="6.375" style="1" customWidth="1"/>
    <col min="519" max="519" width="6.75" style="1" customWidth="1"/>
    <col min="520" max="520" width="8.75" style="1" customWidth="1"/>
    <col min="521" max="522" width="10.125" style="1"/>
    <col min="523" max="523" width="10.625" style="1" bestFit="1" customWidth="1"/>
    <col min="524" max="768" width="10.125" style="1"/>
    <col min="769" max="769" width="3.125" style="1" customWidth="1"/>
    <col min="770" max="770" width="29.5" style="1" customWidth="1"/>
    <col min="771" max="771" width="8.75" style="1" customWidth="1"/>
    <col min="772" max="772" width="1.5" style="1" customWidth="1"/>
    <col min="773" max="773" width="10.75" style="1" customWidth="1"/>
    <col min="774" max="774" width="6.375" style="1" customWidth="1"/>
    <col min="775" max="775" width="6.75" style="1" customWidth="1"/>
    <col min="776" max="776" width="8.75" style="1" customWidth="1"/>
    <col min="777" max="778" width="10.125" style="1"/>
    <col min="779" max="779" width="10.625" style="1" bestFit="1" customWidth="1"/>
    <col min="780" max="1024" width="10.125" style="1"/>
    <col min="1025" max="1025" width="3.125" style="1" customWidth="1"/>
    <col min="1026" max="1026" width="29.5" style="1" customWidth="1"/>
    <col min="1027" max="1027" width="8.75" style="1" customWidth="1"/>
    <col min="1028" max="1028" width="1.5" style="1" customWidth="1"/>
    <col min="1029" max="1029" width="10.75" style="1" customWidth="1"/>
    <col min="1030" max="1030" width="6.375" style="1" customWidth="1"/>
    <col min="1031" max="1031" width="6.75" style="1" customWidth="1"/>
    <col min="1032" max="1032" width="8.75" style="1" customWidth="1"/>
    <col min="1033" max="1034" width="10.125" style="1"/>
    <col min="1035" max="1035" width="10.625" style="1" bestFit="1" customWidth="1"/>
    <col min="1036" max="1280" width="10.125" style="1"/>
    <col min="1281" max="1281" width="3.125" style="1" customWidth="1"/>
    <col min="1282" max="1282" width="29.5" style="1" customWidth="1"/>
    <col min="1283" max="1283" width="8.75" style="1" customWidth="1"/>
    <col min="1284" max="1284" width="1.5" style="1" customWidth="1"/>
    <col min="1285" max="1285" width="10.75" style="1" customWidth="1"/>
    <col min="1286" max="1286" width="6.375" style="1" customWidth="1"/>
    <col min="1287" max="1287" width="6.75" style="1" customWidth="1"/>
    <col min="1288" max="1288" width="8.75" style="1" customWidth="1"/>
    <col min="1289" max="1290" width="10.125" style="1"/>
    <col min="1291" max="1291" width="10.625" style="1" bestFit="1" customWidth="1"/>
    <col min="1292" max="1536" width="10.125" style="1"/>
    <col min="1537" max="1537" width="3.125" style="1" customWidth="1"/>
    <col min="1538" max="1538" width="29.5" style="1" customWidth="1"/>
    <col min="1539" max="1539" width="8.75" style="1" customWidth="1"/>
    <col min="1540" max="1540" width="1.5" style="1" customWidth="1"/>
    <col min="1541" max="1541" width="10.75" style="1" customWidth="1"/>
    <col min="1542" max="1542" width="6.375" style="1" customWidth="1"/>
    <col min="1543" max="1543" width="6.75" style="1" customWidth="1"/>
    <col min="1544" max="1544" width="8.75" style="1" customWidth="1"/>
    <col min="1545" max="1546" width="10.125" style="1"/>
    <col min="1547" max="1547" width="10.625" style="1" bestFit="1" customWidth="1"/>
    <col min="1548" max="1792" width="10.125" style="1"/>
    <col min="1793" max="1793" width="3.125" style="1" customWidth="1"/>
    <col min="1794" max="1794" width="29.5" style="1" customWidth="1"/>
    <col min="1795" max="1795" width="8.75" style="1" customWidth="1"/>
    <col min="1796" max="1796" width="1.5" style="1" customWidth="1"/>
    <col min="1797" max="1797" width="10.75" style="1" customWidth="1"/>
    <col min="1798" max="1798" width="6.375" style="1" customWidth="1"/>
    <col min="1799" max="1799" width="6.75" style="1" customWidth="1"/>
    <col min="1800" max="1800" width="8.75" style="1" customWidth="1"/>
    <col min="1801" max="1802" width="10.125" style="1"/>
    <col min="1803" max="1803" width="10.625" style="1" bestFit="1" customWidth="1"/>
    <col min="1804" max="2048" width="10.125" style="1"/>
    <col min="2049" max="2049" width="3.125" style="1" customWidth="1"/>
    <col min="2050" max="2050" width="29.5" style="1" customWidth="1"/>
    <col min="2051" max="2051" width="8.75" style="1" customWidth="1"/>
    <col min="2052" max="2052" width="1.5" style="1" customWidth="1"/>
    <col min="2053" max="2053" width="10.75" style="1" customWidth="1"/>
    <col min="2054" max="2054" width="6.375" style="1" customWidth="1"/>
    <col min="2055" max="2055" width="6.75" style="1" customWidth="1"/>
    <col min="2056" max="2056" width="8.75" style="1" customWidth="1"/>
    <col min="2057" max="2058" width="10.125" style="1"/>
    <col min="2059" max="2059" width="10.625" style="1" bestFit="1" customWidth="1"/>
    <col min="2060" max="2304" width="10.125" style="1"/>
    <col min="2305" max="2305" width="3.125" style="1" customWidth="1"/>
    <col min="2306" max="2306" width="29.5" style="1" customWidth="1"/>
    <col min="2307" max="2307" width="8.75" style="1" customWidth="1"/>
    <col min="2308" max="2308" width="1.5" style="1" customWidth="1"/>
    <col min="2309" max="2309" width="10.75" style="1" customWidth="1"/>
    <col min="2310" max="2310" width="6.375" style="1" customWidth="1"/>
    <col min="2311" max="2311" width="6.75" style="1" customWidth="1"/>
    <col min="2312" max="2312" width="8.75" style="1" customWidth="1"/>
    <col min="2313" max="2314" width="10.125" style="1"/>
    <col min="2315" max="2315" width="10.625" style="1" bestFit="1" customWidth="1"/>
    <col min="2316" max="2560" width="10.125" style="1"/>
    <col min="2561" max="2561" width="3.125" style="1" customWidth="1"/>
    <col min="2562" max="2562" width="29.5" style="1" customWidth="1"/>
    <col min="2563" max="2563" width="8.75" style="1" customWidth="1"/>
    <col min="2564" max="2564" width="1.5" style="1" customWidth="1"/>
    <col min="2565" max="2565" width="10.75" style="1" customWidth="1"/>
    <col min="2566" max="2566" width="6.375" style="1" customWidth="1"/>
    <col min="2567" max="2567" width="6.75" style="1" customWidth="1"/>
    <col min="2568" max="2568" width="8.75" style="1" customWidth="1"/>
    <col min="2569" max="2570" width="10.125" style="1"/>
    <col min="2571" max="2571" width="10.625" style="1" bestFit="1" customWidth="1"/>
    <col min="2572" max="2816" width="10.125" style="1"/>
    <col min="2817" max="2817" width="3.125" style="1" customWidth="1"/>
    <col min="2818" max="2818" width="29.5" style="1" customWidth="1"/>
    <col min="2819" max="2819" width="8.75" style="1" customWidth="1"/>
    <col min="2820" max="2820" width="1.5" style="1" customWidth="1"/>
    <col min="2821" max="2821" width="10.75" style="1" customWidth="1"/>
    <col min="2822" max="2822" width="6.375" style="1" customWidth="1"/>
    <col min="2823" max="2823" width="6.75" style="1" customWidth="1"/>
    <col min="2824" max="2824" width="8.75" style="1" customWidth="1"/>
    <col min="2825" max="2826" width="10.125" style="1"/>
    <col min="2827" max="2827" width="10.625" style="1" bestFit="1" customWidth="1"/>
    <col min="2828" max="3072" width="10.125" style="1"/>
    <col min="3073" max="3073" width="3.125" style="1" customWidth="1"/>
    <col min="3074" max="3074" width="29.5" style="1" customWidth="1"/>
    <col min="3075" max="3075" width="8.75" style="1" customWidth="1"/>
    <col min="3076" max="3076" width="1.5" style="1" customWidth="1"/>
    <col min="3077" max="3077" width="10.75" style="1" customWidth="1"/>
    <col min="3078" max="3078" width="6.375" style="1" customWidth="1"/>
    <col min="3079" max="3079" width="6.75" style="1" customWidth="1"/>
    <col min="3080" max="3080" width="8.75" style="1" customWidth="1"/>
    <col min="3081" max="3082" width="10.125" style="1"/>
    <col min="3083" max="3083" width="10.625" style="1" bestFit="1" customWidth="1"/>
    <col min="3084" max="3328" width="10.125" style="1"/>
    <col min="3329" max="3329" width="3.125" style="1" customWidth="1"/>
    <col min="3330" max="3330" width="29.5" style="1" customWidth="1"/>
    <col min="3331" max="3331" width="8.75" style="1" customWidth="1"/>
    <col min="3332" max="3332" width="1.5" style="1" customWidth="1"/>
    <col min="3333" max="3333" width="10.75" style="1" customWidth="1"/>
    <col min="3334" max="3334" width="6.375" style="1" customWidth="1"/>
    <col min="3335" max="3335" width="6.75" style="1" customWidth="1"/>
    <col min="3336" max="3336" width="8.75" style="1" customWidth="1"/>
    <col min="3337" max="3338" width="10.125" style="1"/>
    <col min="3339" max="3339" width="10.625" style="1" bestFit="1" customWidth="1"/>
    <col min="3340" max="3584" width="10.125" style="1"/>
    <col min="3585" max="3585" width="3.125" style="1" customWidth="1"/>
    <col min="3586" max="3586" width="29.5" style="1" customWidth="1"/>
    <col min="3587" max="3587" width="8.75" style="1" customWidth="1"/>
    <col min="3588" max="3588" width="1.5" style="1" customWidth="1"/>
    <col min="3589" max="3589" width="10.75" style="1" customWidth="1"/>
    <col min="3590" max="3590" width="6.375" style="1" customWidth="1"/>
    <col min="3591" max="3591" width="6.75" style="1" customWidth="1"/>
    <col min="3592" max="3592" width="8.75" style="1" customWidth="1"/>
    <col min="3593" max="3594" width="10.125" style="1"/>
    <col min="3595" max="3595" width="10.625" style="1" bestFit="1" customWidth="1"/>
    <col min="3596" max="3840" width="10.125" style="1"/>
    <col min="3841" max="3841" width="3.125" style="1" customWidth="1"/>
    <col min="3842" max="3842" width="29.5" style="1" customWidth="1"/>
    <col min="3843" max="3843" width="8.75" style="1" customWidth="1"/>
    <col min="3844" max="3844" width="1.5" style="1" customWidth="1"/>
    <col min="3845" max="3845" width="10.75" style="1" customWidth="1"/>
    <col min="3846" max="3846" width="6.375" style="1" customWidth="1"/>
    <col min="3847" max="3847" width="6.75" style="1" customWidth="1"/>
    <col min="3848" max="3848" width="8.75" style="1" customWidth="1"/>
    <col min="3849" max="3850" width="10.125" style="1"/>
    <col min="3851" max="3851" width="10.625" style="1" bestFit="1" customWidth="1"/>
    <col min="3852" max="4096" width="10.125" style="1"/>
    <col min="4097" max="4097" width="3.125" style="1" customWidth="1"/>
    <col min="4098" max="4098" width="29.5" style="1" customWidth="1"/>
    <col min="4099" max="4099" width="8.75" style="1" customWidth="1"/>
    <col min="4100" max="4100" width="1.5" style="1" customWidth="1"/>
    <col min="4101" max="4101" width="10.75" style="1" customWidth="1"/>
    <col min="4102" max="4102" width="6.375" style="1" customWidth="1"/>
    <col min="4103" max="4103" width="6.75" style="1" customWidth="1"/>
    <col min="4104" max="4104" width="8.75" style="1" customWidth="1"/>
    <col min="4105" max="4106" width="10.125" style="1"/>
    <col min="4107" max="4107" width="10.625" style="1" bestFit="1" customWidth="1"/>
    <col min="4108" max="4352" width="10.125" style="1"/>
    <col min="4353" max="4353" width="3.125" style="1" customWidth="1"/>
    <col min="4354" max="4354" width="29.5" style="1" customWidth="1"/>
    <col min="4355" max="4355" width="8.75" style="1" customWidth="1"/>
    <col min="4356" max="4356" width="1.5" style="1" customWidth="1"/>
    <col min="4357" max="4357" width="10.75" style="1" customWidth="1"/>
    <col min="4358" max="4358" width="6.375" style="1" customWidth="1"/>
    <col min="4359" max="4359" width="6.75" style="1" customWidth="1"/>
    <col min="4360" max="4360" width="8.75" style="1" customWidth="1"/>
    <col min="4361" max="4362" width="10.125" style="1"/>
    <col min="4363" max="4363" width="10.625" style="1" bestFit="1" customWidth="1"/>
    <col min="4364" max="4608" width="10.125" style="1"/>
    <col min="4609" max="4609" width="3.125" style="1" customWidth="1"/>
    <col min="4610" max="4610" width="29.5" style="1" customWidth="1"/>
    <col min="4611" max="4611" width="8.75" style="1" customWidth="1"/>
    <col min="4612" max="4612" width="1.5" style="1" customWidth="1"/>
    <col min="4613" max="4613" width="10.75" style="1" customWidth="1"/>
    <col min="4614" max="4614" width="6.375" style="1" customWidth="1"/>
    <col min="4615" max="4615" width="6.75" style="1" customWidth="1"/>
    <col min="4616" max="4616" width="8.75" style="1" customWidth="1"/>
    <col min="4617" max="4618" width="10.125" style="1"/>
    <col min="4619" max="4619" width="10.625" style="1" bestFit="1" customWidth="1"/>
    <col min="4620" max="4864" width="10.125" style="1"/>
    <col min="4865" max="4865" width="3.125" style="1" customWidth="1"/>
    <col min="4866" max="4866" width="29.5" style="1" customWidth="1"/>
    <col min="4867" max="4867" width="8.75" style="1" customWidth="1"/>
    <col min="4868" max="4868" width="1.5" style="1" customWidth="1"/>
    <col min="4869" max="4869" width="10.75" style="1" customWidth="1"/>
    <col min="4870" max="4870" width="6.375" style="1" customWidth="1"/>
    <col min="4871" max="4871" width="6.75" style="1" customWidth="1"/>
    <col min="4872" max="4872" width="8.75" style="1" customWidth="1"/>
    <col min="4873" max="4874" width="10.125" style="1"/>
    <col min="4875" max="4875" width="10.625" style="1" bestFit="1" customWidth="1"/>
    <col min="4876" max="5120" width="10.125" style="1"/>
    <col min="5121" max="5121" width="3.125" style="1" customWidth="1"/>
    <col min="5122" max="5122" width="29.5" style="1" customWidth="1"/>
    <col min="5123" max="5123" width="8.75" style="1" customWidth="1"/>
    <col min="5124" max="5124" width="1.5" style="1" customWidth="1"/>
    <col min="5125" max="5125" width="10.75" style="1" customWidth="1"/>
    <col min="5126" max="5126" width="6.375" style="1" customWidth="1"/>
    <col min="5127" max="5127" width="6.75" style="1" customWidth="1"/>
    <col min="5128" max="5128" width="8.75" style="1" customWidth="1"/>
    <col min="5129" max="5130" width="10.125" style="1"/>
    <col min="5131" max="5131" width="10.625" style="1" bestFit="1" customWidth="1"/>
    <col min="5132" max="5376" width="10.125" style="1"/>
    <col min="5377" max="5377" width="3.125" style="1" customWidth="1"/>
    <col min="5378" max="5378" width="29.5" style="1" customWidth="1"/>
    <col min="5379" max="5379" width="8.75" style="1" customWidth="1"/>
    <col min="5380" max="5380" width="1.5" style="1" customWidth="1"/>
    <col min="5381" max="5381" width="10.75" style="1" customWidth="1"/>
    <col min="5382" max="5382" width="6.375" style="1" customWidth="1"/>
    <col min="5383" max="5383" width="6.75" style="1" customWidth="1"/>
    <col min="5384" max="5384" width="8.75" style="1" customWidth="1"/>
    <col min="5385" max="5386" width="10.125" style="1"/>
    <col min="5387" max="5387" width="10.625" style="1" bestFit="1" customWidth="1"/>
    <col min="5388" max="5632" width="10.125" style="1"/>
    <col min="5633" max="5633" width="3.125" style="1" customWidth="1"/>
    <col min="5634" max="5634" width="29.5" style="1" customWidth="1"/>
    <col min="5635" max="5635" width="8.75" style="1" customWidth="1"/>
    <col min="5636" max="5636" width="1.5" style="1" customWidth="1"/>
    <col min="5637" max="5637" width="10.75" style="1" customWidth="1"/>
    <col min="5638" max="5638" width="6.375" style="1" customWidth="1"/>
    <col min="5639" max="5639" width="6.75" style="1" customWidth="1"/>
    <col min="5640" max="5640" width="8.75" style="1" customWidth="1"/>
    <col min="5641" max="5642" width="10.125" style="1"/>
    <col min="5643" max="5643" width="10.625" style="1" bestFit="1" customWidth="1"/>
    <col min="5644" max="5888" width="10.125" style="1"/>
    <col min="5889" max="5889" width="3.125" style="1" customWidth="1"/>
    <col min="5890" max="5890" width="29.5" style="1" customWidth="1"/>
    <col min="5891" max="5891" width="8.75" style="1" customWidth="1"/>
    <col min="5892" max="5892" width="1.5" style="1" customWidth="1"/>
    <col min="5893" max="5893" width="10.75" style="1" customWidth="1"/>
    <col min="5894" max="5894" width="6.375" style="1" customWidth="1"/>
    <col min="5895" max="5895" width="6.75" style="1" customWidth="1"/>
    <col min="5896" max="5896" width="8.75" style="1" customWidth="1"/>
    <col min="5897" max="5898" width="10.125" style="1"/>
    <col min="5899" max="5899" width="10.625" style="1" bestFit="1" customWidth="1"/>
    <col min="5900" max="6144" width="10.125" style="1"/>
    <col min="6145" max="6145" width="3.125" style="1" customWidth="1"/>
    <col min="6146" max="6146" width="29.5" style="1" customWidth="1"/>
    <col min="6147" max="6147" width="8.75" style="1" customWidth="1"/>
    <col min="6148" max="6148" width="1.5" style="1" customWidth="1"/>
    <col min="6149" max="6149" width="10.75" style="1" customWidth="1"/>
    <col min="6150" max="6150" width="6.375" style="1" customWidth="1"/>
    <col min="6151" max="6151" width="6.75" style="1" customWidth="1"/>
    <col min="6152" max="6152" width="8.75" style="1" customWidth="1"/>
    <col min="6153" max="6154" width="10.125" style="1"/>
    <col min="6155" max="6155" width="10.625" style="1" bestFit="1" customWidth="1"/>
    <col min="6156" max="6400" width="10.125" style="1"/>
    <col min="6401" max="6401" width="3.125" style="1" customWidth="1"/>
    <col min="6402" max="6402" width="29.5" style="1" customWidth="1"/>
    <col min="6403" max="6403" width="8.75" style="1" customWidth="1"/>
    <col min="6404" max="6404" width="1.5" style="1" customWidth="1"/>
    <col min="6405" max="6405" width="10.75" style="1" customWidth="1"/>
    <col min="6406" max="6406" width="6.375" style="1" customWidth="1"/>
    <col min="6407" max="6407" width="6.75" style="1" customWidth="1"/>
    <col min="6408" max="6408" width="8.75" style="1" customWidth="1"/>
    <col min="6409" max="6410" width="10.125" style="1"/>
    <col min="6411" max="6411" width="10.625" style="1" bestFit="1" customWidth="1"/>
    <col min="6412" max="6656" width="10.125" style="1"/>
    <col min="6657" max="6657" width="3.125" style="1" customWidth="1"/>
    <col min="6658" max="6658" width="29.5" style="1" customWidth="1"/>
    <col min="6659" max="6659" width="8.75" style="1" customWidth="1"/>
    <col min="6660" max="6660" width="1.5" style="1" customWidth="1"/>
    <col min="6661" max="6661" width="10.75" style="1" customWidth="1"/>
    <col min="6662" max="6662" width="6.375" style="1" customWidth="1"/>
    <col min="6663" max="6663" width="6.75" style="1" customWidth="1"/>
    <col min="6664" max="6664" width="8.75" style="1" customWidth="1"/>
    <col min="6665" max="6666" width="10.125" style="1"/>
    <col min="6667" max="6667" width="10.625" style="1" bestFit="1" customWidth="1"/>
    <col min="6668" max="6912" width="10.125" style="1"/>
    <col min="6913" max="6913" width="3.125" style="1" customWidth="1"/>
    <col min="6914" max="6914" width="29.5" style="1" customWidth="1"/>
    <col min="6915" max="6915" width="8.75" style="1" customWidth="1"/>
    <col min="6916" max="6916" width="1.5" style="1" customWidth="1"/>
    <col min="6917" max="6917" width="10.75" style="1" customWidth="1"/>
    <col min="6918" max="6918" width="6.375" style="1" customWidth="1"/>
    <col min="6919" max="6919" width="6.75" style="1" customWidth="1"/>
    <col min="6920" max="6920" width="8.75" style="1" customWidth="1"/>
    <col min="6921" max="6922" width="10.125" style="1"/>
    <col min="6923" max="6923" width="10.625" style="1" bestFit="1" customWidth="1"/>
    <col min="6924" max="7168" width="10.125" style="1"/>
    <col min="7169" max="7169" width="3.125" style="1" customWidth="1"/>
    <col min="7170" max="7170" width="29.5" style="1" customWidth="1"/>
    <col min="7171" max="7171" width="8.75" style="1" customWidth="1"/>
    <col min="7172" max="7172" width="1.5" style="1" customWidth="1"/>
    <col min="7173" max="7173" width="10.75" style="1" customWidth="1"/>
    <col min="7174" max="7174" width="6.375" style="1" customWidth="1"/>
    <col min="7175" max="7175" width="6.75" style="1" customWidth="1"/>
    <col min="7176" max="7176" width="8.75" style="1" customWidth="1"/>
    <col min="7177" max="7178" width="10.125" style="1"/>
    <col min="7179" max="7179" width="10.625" style="1" bestFit="1" customWidth="1"/>
    <col min="7180" max="7424" width="10.125" style="1"/>
    <col min="7425" max="7425" width="3.125" style="1" customWidth="1"/>
    <col min="7426" max="7426" width="29.5" style="1" customWidth="1"/>
    <col min="7427" max="7427" width="8.75" style="1" customWidth="1"/>
    <col min="7428" max="7428" width="1.5" style="1" customWidth="1"/>
    <col min="7429" max="7429" width="10.75" style="1" customWidth="1"/>
    <col min="7430" max="7430" width="6.375" style="1" customWidth="1"/>
    <col min="7431" max="7431" width="6.75" style="1" customWidth="1"/>
    <col min="7432" max="7432" width="8.75" style="1" customWidth="1"/>
    <col min="7433" max="7434" width="10.125" style="1"/>
    <col min="7435" max="7435" width="10.625" style="1" bestFit="1" customWidth="1"/>
    <col min="7436" max="7680" width="10.125" style="1"/>
    <col min="7681" max="7681" width="3.125" style="1" customWidth="1"/>
    <col min="7682" max="7682" width="29.5" style="1" customWidth="1"/>
    <col min="7683" max="7683" width="8.75" style="1" customWidth="1"/>
    <col min="7684" max="7684" width="1.5" style="1" customWidth="1"/>
    <col min="7685" max="7685" width="10.75" style="1" customWidth="1"/>
    <col min="7686" max="7686" width="6.375" style="1" customWidth="1"/>
    <col min="7687" max="7687" width="6.75" style="1" customWidth="1"/>
    <col min="7688" max="7688" width="8.75" style="1" customWidth="1"/>
    <col min="7689" max="7690" width="10.125" style="1"/>
    <col min="7691" max="7691" width="10.625" style="1" bestFit="1" customWidth="1"/>
    <col min="7692" max="7936" width="10.125" style="1"/>
    <col min="7937" max="7937" width="3.125" style="1" customWidth="1"/>
    <col min="7938" max="7938" width="29.5" style="1" customWidth="1"/>
    <col min="7939" max="7939" width="8.75" style="1" customWidth="1"/>
    <col min="7940" max="7940" width="1.5" style="1" customWidth="1"/>
    <col min="7941" max="7941" width="10.75" style="1" customWidth="1"/>
    <col min="7942" max="7942" width="6.375" style="1" customWidth="1"/>
    <col min="7943" max="7943" width="6.75" style="1" customWidth="1"/>
    <col min="7944" max="7944" width="8.75" style="1" customWidth="1"/>
    <col min="7945" max="7946" width="10.125" style="1"/>
    <col min="7947" max="7947" width="10.625" style="1" bestFit="1" customWidth="1"/>
    <col min="7948" max="8192" width="10.125" style="1"/>
    <col min="8193" max="8193" width="3.125" style="1" customWidth="1"/>
    <col min="8194" max="8194" width="29.5" style="1" customWidth="1"/>
    <col min="8195" max="8195" width="8.75" style="1" customWidth="1"/>
    <col min="8196" max="8196" width="1.5" style="1" customWidth="1"/>
    <col min="8197" max="8197" width="10.75" style="1" customWidth="1"/>
    <col min="8198" max="8198" width="6.375" style="1" customWidth="1"/>
    <col min="8199" max="8199" width="6.75" style="1" customWidth="1"/>
    <col min="8200" max="8200" width="8.75" style="1" customWidth="1"/>
    <col min="8201" max="8202" width="10.125" style="1"/>
    <col min="8203" max="8203" width="10.625" style="1" bestFit="1" customWidth="1"/>
    <col min="8204" max="8448" width="10.125" style="1"/>
    <col min="8449" max="8449" width="3.125" style="1" customWidth="1"/>
    <col min="8450" max="8450" width="29.5" style="1" customWidth="1"/>
    <col min="8451" max="8451" width="8.75" style="1" customWidth="1"/>
    <col min="8452" max="8452" width="1.5" style="1" customWidth="1"/>
    <col min="8453" max="8453" width="10.75" style="1" customWidth="1"/>
    <col min="8454" max="8454" width="6.375" style="1" customWidth="1"/>
    <col min="8455" max="8455" width="6.75" style="1" customWidth="1"/>
    <col min="8456" max="8456" width="8.75" style="1" customWidth="1"/>
    <col min="8457" max="8458" width="10.125" style="1"/>
    <col min="8459" max="8459" width="10.625" style="1" bestFit="1" customWidth="1"/>
    <col min="8460" max="8704" width="10.125" style="1"/>
    <col min="8705" max="8705" width="3.125" style="1" customWidth="1"/>
    <col min="8706" max="8706" width="29.5" style="1" customWidth="1"/>
    <col min="8707" max="8707" width="8.75" style="1" customWidth="1"/>
    <col min="8708" max="8708" width="1.5" style="1" customWidth="1"/>
    <col min="8709" max="8709" width="10.75" style="1" customWidth="1"/>
    <col min="8710" max="8710" width="6.375" style="1" customWidth="1"/>
    <col min="8711" max="8711" width="6.75" style="1" customWidth="1"/>
    <col min="8712" max="8712" width="8.75" style="1" customWidth="1"/>
    <col min="8713" max="8714" width="10.125" style="1"/>
    <col min="8715" max="8715" width="10.625" style="1" bestFit="1" customWidth="1"/>
    <col min="8716" max="8960" width="10.125" style="1"/>
    <col min="8961" max="8961" width="3.125" style="1" customWidth="1"/>
    <col min="8962" max="8962" width="29.5" style="1" customWidth="1"/>
    <col min="8963" max="8963" width="8.75" style="1" customWidth="1"/>
    <col min="8964" max="8964" width="1.5" style="1" customWidth="1"/>
    <col min="8965" max="8965" width="10.75" style="1" customWidth="1"/>
    <col min="8966" max="8966" width="6.375" style="1" customWidth="1"/>
    <col min="8967" max="8967" width="6.75" style="1" customWidth="1"/>
    <col min="8968" max="8968" width="8.75" style="1" customWidth="1"/>
    <col min="8969" max="8970" width="10.125" style="1"/>
    <col min="8971" max="8971" width="10.625" style="1" bestFit="1" customWidth="1"/>
    <col min="8972" max="9216" width="10.125" style="1"/>
    <col min="9217" max="9217" width="3.125" style="1" customWidth="1"/>
    <col min="9218" max="9218" width="29.5" style="1" customWidth="1"/>
    <col min="9219" max="9219" width="8.75" style="1" customWidth="1"/>
    <col min="9220" max="9220" width="1.5" style="1" customWidth="1"/>
    <col min="9221" max="9221" width="10.75" style="1" customWidth="1"/>
    <col min="9222" max="9222" width="6.375" style="1" customWidth="1"/>
    <col min="9223" max="9223" width="6.75" style="1" customWidth="1"/>
    <col min="9224" max="9224" width="8.75" style="1" customWidth="1"/>
    <col min="9225" max="9226" width="10.125" style="1"/>
    <col min="9227" max="9227" width="10.625" style="1" bestFit="1" customWidth="1"/>
    <col min="9228" max="9472" width="10.125" style="1"/>
    <col min="9473" max="9473" width="3.125" style="1" customWidth="1"/>
    <col min="9474" max="9474" width="29.5" style="1" customWidth="1"/>
    <col min="9475" max="9475" width="8.75" style="1" customWidth="1"/>
    <col min="9476" max="9476" width="1.5" style="1" customWidth="1"/>
    <col min="9477" max="9477" width="10.75" style="1" customWidth="1"/>
    <col min="9478" max="9478" width="6.375" style="1" customWidth="1"/>
    <col min="9479" max="9479" width="6.75" style="1" customWidth="1"/>
    <col min="9480" max="9480" width="8.75" style="1" customWidth="1"/>
    <col min="9481" max="9482" width="10.125" style="1"/>
    <col min="9483" max="9483" width="10.625" style="1" bestFit="1" customWidth="1"/>
    <col min="9484" max="9728" width="10.125" style="1"/>
    <col min="9729" max="9729" width="3.125" style="1" customWidth="1"/>
    <col min="9730" max="9730" width="29.5" style="1" customWidth="1"/>
    <col min="9731" max="9731" width="8.75" style="1" customWidth="1"/>
    <col min="9732" max="9732" width="1.5" style="1" customWidth="1"/>
    <col min="9733" max="9733" width="10.75" style="1" customWidth="1"/>
    <col min="9734" max="9734" width="6.375" style="1" customWidth="1"/>
    <col min="9735" max="9735" width="6.75" style="1" customWidth="1"/>
    <col min="9736" max="9736" width="8.75" style="1" customWidth="1"/>
    <col min="9737" max="9738" width="10.125" style="1"/>
    <col min="9739" max="9739" width="10.625" style="1" bestFit="1" customWidth="1"/>
    <col min="9740" max="9984" width="10.125" style="1"/>
    <col min="9985" max="9985" width="3.125" style="1" customWidth="1"/>
    <col min="9986" max="9986" width="29.5" style="1" customWidth="1"/>
    <col min="9987" max="9987" width="8.75" style="1" customWidth="1"/>
    <col min="9988" max="9988" width="1.5" style="1" customWidth="1"/>
    <col min="9989" max="9989" width="10.75" style="1" customWidth="1"/>
    <col min="9990" max="9990" width="6.375" style="1" customWidth="1"/>
    <col min="9991" max="9991" width="6.75" style="1" customWidth="1"/>
    <col min="9992" max="9992" width="8.75" style="1" customWidth="1"/>
    <col min="9993" max="9994" width="10.125" style="1"/>
    <col min="9995" max="9995" width="10.625" style="1" bestFit="1" customWidth="1"/>
    <col min="9996" max="10240" width="10.125" style="1"/>
    <col min="10241" max="10241" width="3.125" style="1" customWidth="1"/>
    <col min="10242" max="10242" width="29.5" style="1" customWidth="1"/>
    <col min="10243" max="10243" width="8.75" style="1" customWidth="1"/>
    <col min="10244" max="10244" width="1.5" style="1" customWidth="1"/>
    <col min="10245" max="10245" width="10.75" style="1" customWidth="1"/>
    <col min="10246" max="10246" width="6.375" style="1" customWidth="1"/>
    <col min="10247" max="10247" width="6.75" style="1" customWidth="1"/>
    <col min="10248" max="10248" width="8.75" style="1" customWidth="1"/>
    <col min="10249" max="10250" width="10.125" style="1"/>
    <col min="10251" max="10251" width="10.625" style="1" bestFit="1" customWidth="1"/>
    <col min="10252" max="10496" width="10.125" style="1"/>
    <col min="10497" max="10497" width="3.125" style="1" customWidth="1"/>
    <col min="10498" max="10498" width="29.5" style="1" customWidth="1"/>
    <col min="10499" max="10499" width="8.75" style="1" customWidth="1"/>
    <col min="10500" max="10500" width="1.5" style="1" customWidth="1"/>
    <col min="10501" max="10501" width="10.75" style="1" customWidth="1"/>
    <col min="10502" max="10502" width="6.375" style="1" customWidth="1"/>
    <col min="10503" max="10503" width="6.75" style="1" customWidth="1"/>
    <col min="10504" max="10504" width="8.75" style="1" customWidth="1"/>
    <col min="10505" max="10506" width="10.125" style="1"/>
    <col min="10507" max="10507" width="10.625" style="1" bestFit="1" customWidth="1"/>
    <col min="10508" max="10752" width="10.125" style="1"/>
    <col min="10753" max="10753" width="3.125" style="1" customWidth="1"/>
    <col min="10754" max="10754" width="29.5" style="1" customWidth="1"/>
    <col min="10755" max="10755" width="8.75" style="1" customWidth="1"/>
    <col min="10756" max="10756" width="1.5" style="1" customWidth="1"/>
    <col min="10757" max="10757" width="10.75" style="1" customWidth="1"/>
    <col min="10758" max="10758" width="6.375" style="1" customWidth="1"/>
    <col min="10759" max="10759" width="6.75" style="1" customWidth="1"/>
    <col min="10760" max="10760" width="8.75" style="1" customWidth="1"/>
    <col min="10761" max="10762" width="10.125" style="1"/>
    <col min="10763" max="10763" width="10.625" style="1" bestFit="1" customWidth="1"/>
    <col min="10764" max="11008" width="10.125" style="1"/>
    <col min="11009" max="11009" width="3.125" style="1" customWidth="1"/>
    <col min="11010" max="11010" width="29.5" style="1" customWidth="1"/>
    <col min="11011" max="11011" width="8.75" style="1" customWidth="1"/>
    <col min="11012" max="11012" width="1.5" style="1" customWidth="1"/>
    <col min="11013" max="11013" width="10.75" style="1" customWidth="1"/>
    <col min="11014" max="11014" width="6.375" style="1" customWidth="1"/>
    <col min="11015" max="11015" width="6.75" style="1" customWidth="1"/>
    <col min="11016" max="11016" width="8.75" style="1" customWidth="1"/>
    <col min="11017" max="11018" width="10.125" style="1"/>
    <col min="11019" max="11019" width="10.625" style="1" bestFit="1" customWidth="1"/>
    <col min="11020" max="11264" width="10.125" style="1"/>
    <col min="11265" max="11265" width="3.125" style="1" customWidth="1"/>
    <col min="11266" max="11266" width="29.5" style="1" customWidth="1"/>
    <col min="11267" max="11267" width="8.75" style="1" customWidth="1"/>
    <col min="11268" max="11268" width="1.5" style="1" customWidth="1"/>
    <col min="11269" max="11269" width="10.75" style="1" customWidth="1"/>
    <col min="11270" max="11270" width="6.375" style="1" customWidth="1"/>
    <col min="11271" max="11271" width="6.75" style="1" customWidth="1"/>
    <col min="11272" max="11272" width="8.75" style="1" customWidth="1"/>
    <col min="11273" max="11274" width="10.125" style="1"/>
    <col min="11275" max="11275" width="10.625" style="1" bestFit="1" customWidth="1"/>
    <col min="11276" max="11520" width="10.125" style="1"/>
    <col min="11521" max="11521" width="3.125" style="1" customWidth="1"/>
    <col min="11522" max="11522" width="29.5" style="1" customWidth="1"/>
    <col min="11523" max="11523" width="8.75" style="1" customWidth="1"/>
    <col min="11524" max="11524" width="1.5" style="1" customWidth="1"/>
    <col min="11525" max="11525" width="10.75" style="1" customWidth="1"/>
    <col min="11526" max="11526" width="6.375" style="1" customWidth="1"/>
    <col min="11527" max="11527" width="6.75" style="1" customWidth="1"/>
    <col min="11528" max="11528" width="8.75" style="1" customWidth="1"/>
    <col min="11529" max="11530" width="10.125" style="1"/>
    <col min="11531" max="11531" width="10.625" style="1" bestFit="1" customWidth="1"/>
    <col min="11532" max="11776" width="10.125" style="1"/>
    <col min="11777" max="11777" width="3.125" style="1" customWidth="1"/>
    <col min="11778" max="11778" width="29.5" style="1" customWidth="1"/>
    <col min="11779" max="11779" width="8.75" style="1" customWidth="1"/>
    <col min="11780" max="11780" width="1.5" style="1" customWidth="1"/>
    <col min="11781" max="11781" width="10.75" style="1" customWidth="1"/>
    <col min="11782" max="11782" width="6.375" style="1" customWidth="1"/>
    <col min="11783" max="11783" width="6.75" style="1" customWidth="1"/>
    <col min="11784" max="11784" width="8.75" style="1" customWidth="1"/>
    <col min="11785" max="11786" width="10.125" style="1"/>
    <col min="11787" max="11787" width="10.625" style="1" bestFit="1" customWidth="1"/>
    <col min="11788" max="12032" width="10.125" style="1"/>
    <col min="12033" max="12033" width="3.125" style="1" customWidth="1"/>
    <col min="12034" max="12034" width="29.5" style="1" customWidth="1"/>
    <col min="12035" max="12035" width="8.75" style="1" customWidth="1"/>
    <col min="12036" max="12036" width="1.5" style="1" customWidth="1"/>
    <col min="12037" max="12037" width="10.75" style="1" customWidth="1"/>
    <col min="12038" max="12038" width="6.375" style="1" customWidth="1"/>
    <col min="12039" max="12039" width="6.75" style="1" customWidth="1"/>
    <col min="12040" max="12040" width="8.75" style="1" customWidth="1"/>
    <col min="12041" max="12042" width="10.125" style="1"/>
    <col min="12043" max="12043" width="10.625" style="1" bestFit="1" customWidth="1"/>
    <col min="12044" max="12288" width="10.125" style="1"/>
    <col min="12289" max="12289" width="3.125" style="1" customWidth="1"/>
    <col min="12290" max="12290" width="29.5" style="1" customWidth="1"/>
    <col min="12291" max="12291" width="8.75" style="1" customWidth="1"/>
    <col min="12292" max="12292" width="1.5" style="1" customWidth="1"/>
    <col min="12293" max="12293" width="10.75" style="1" customWidth="1"/>
    <col min="12294" max="12294" width="6.375" style="1" customWidth="1"/>
    <col min="12295" max="12295" width="6.75" style="1" customWidth="1"/>
    <col min="12296" max="12296" width="8.75" style="1" customWidth="1"/>
    <col min="12297" max="12298" width="10.125" style="1"/>
    <col min="12299" max="12299" width="10.625" style="1" bestFit="1" customWidth="1"/>
    <col min="12300" max="12544" width="10.125" style="1"/>
    <col min="12545" max="12545" width="3.125" style="1" customWidth="1"/>
    <col min="12546" max="12546" width="29.5" style="1" customWidth="1"/>
    <col min="12547" max="12547" width="8.75" style="1" customWidth="1"/>
    <col min="12548" max="12548" width="1.5" style="1" customWidth="1"/>
    <col min="12549" max="12549" width="10.75" style="1" customWidth="1"/>
    <col min="12550" max="12550" width="6.375" style="1" customWidth="1"/>
    <col min="12551" max="12551" width="6.75" style="1" customWidth="1"/>
    <col min="12552" max="12552" width="8.75" style="1" customWidth="1"/>
    <col min="12553" max="12554" width="10.125" style="1"/>
    <col min="12555" max="12555" width="10.625" style="1" bestFit="1" customWidth="1"/>
    <col min="12556" max="12800" width="10.125" style="1"/>
    <col min="12801" max="12801" width="3.125" style="1" customWidth="1"/>
    <col min="12802" max="12802" width="29.5" style="1" customWidth="1"/>
    <col min="12803" max="12803" width="8.75" style="1" customWidth="1"/>
    <col min="12804" max="12804" width="1.5" style="1" customWidth="1"/>
    <col min="12805" max="12805" width="10.75" style="1" customWidth="1"/>
    <col min="12806" max="12806" width="6.375" style="1" customWidth="1"/>
    <col min="12807" max="12807" width="6.75" style="1" customWidth="1"/>
    <col min="12808" max="12808" width="8.75" style="1" customWidth="1"/>
    <col min="12809" max="12810" width="10.125" style="1"/>
    <col min="12811" max="12811" width="10.625" style="1" bestFit="1" customWidth="1"/>
    <col min="12812" max="13056" width="10.125" style="1"/>
    <col min="13057" max="13057" width="3.125" style="1" customWidth="1"/>
    <col min="13058" max="13058" width="29.5" style="1" customWidth="1"/>
    <col min="13059" max="13059" width="8.75" style="1" customWidth="1"/>
    <col min="13060" max="13060" width="1.5" style="1" customWidth="1"/>
    <col min="13061" max="13061" width="10.75" style="1" customWidth="1"/>
    <col min="13062" max="13062" width="6.375" style="1" customWidth="1"/>
    <col min="13063" max="13063" width="6.75" style="1" customWidth="1"/>
    <col min="13064" max="13064" width="8.75" style="1" customWidth="1"/>
    <col min="13065" max="13066" width="10.125" style="1"/>
    <col min="13067" max="13067" width="10.625" style="1" bestFit="1" customWidth="1"/>
    <col min="13068" max="13312" width="10.125" style="1"/>
    <col min="13313" max="13313" width="3.125" style="1" customWidth="1"/>
    <col min="13314" max="13314" width="29.5" style="1" customWidth="1"/>
    <col min="13315" max="13315" width="8.75" style="1" customWidth="1"/>
    <col min="13316" max="13316" width="1.5" style="1" customWidth="1"/>
    <col min="13317" max="13317" width="10.75" style="1" customWidth="1"/>
    <col min="13318" max="13318" width="6.375" style="1" customWidth="1"/>
    <col min="13319" max="13319" width="6.75" style="1" customWidth="1"/>
    <col min="13320" max="13320" width="8.75" style="1" customWidth="1"/>
    <col min="13321" max="13322" width="10.125" style="1"/>
    <col min="13323" max="13323" width="10.625" style="1" bestFit="1" customWidth="1"/>
    <col min="13324" max="13568" width="10.125" style="1"/>
    <col min="13569" max="13569" width="3.125" style="1" customWidth="1"/>
    <col min="13570" max="13570" width="29.5" style="1" customWidth="1"/>
    <col min="13571" max="13571" width="8.75" style="1" customWidth="1"/>
    <col min="13572" max="13572" width="1.5" style="1" customWidth="1"/>
    <col min="13573" max="13573" width="10.75" style="1" customWidth="1"/>
    <col min="13574" max="13574" width="6.375" style="1" customWidth="1"/>
    <col min="13575" max="13575" width="6.75" style="1" customWidth="1"/>
    <col min="13576" max="13576" width="8.75" style="1" customWidth="1"/>
    <col min="13577" max="13578" width="10.125" style="1"/>
    <col min="13579" max="13579" width="10.625" style="1" bestFit="1" customWidth="1"/>
    <col min="13580" max="13824" width="10.125" style="1"/>
    <col min="13825" max="13825" width="3.125" style="1" customWidth="1"/>
    <col min="13826" max="13826" width="29.5" style="1" customWidth="1"/>
    <col min="13827" max="13827" width="8.75" style="1" customWidth="1"/>
    <col min="13828" max="13828" width="1.5" style="1" customWidth="1"/>
    <col min="13829" max="13829" width="10.75" style="1" customWidth="1"/>
    <col min="13830" max="13830" width="6.375" style="1" customWidth="1"/>
    <col min="13831" max="13831" width="6.75" style="1" customWidth="1"/>
    <col min="13832" max="13832" width="8.75" style="1" customWidth="1"/>
    <col min="13833" max="13834" width="10.125" style="1"/>
    <col min="13835" max="13835" width="10.625" style="1" bestFit="1" customWidth="1"/>
    <col min="13836" max="14080" width="10.125" style="1"/>
    <col min="14081" max="14081" width="3.125" style="1" customWidth="1"/>
    <col min="14082" max="14082" width="29.5" style="1" customWidth="1"/>
    <col min="14083" max="14083" width="8.75" style="1" customWidth="1"/>
    <col min="14084" max="14084" width="1.5" style="1" customWidth="1"/>
    <col min="14085" max="14085" width="10.75" style="1" customWidth="1"/>
    <col min="14086" max="14086" width="6.375" style="1" customWidth="1"/>
    <col min="14087" max="14087" width="6.75" style="1" customWidth="1"/>
    <col min="14088" max="14088" width="8.75" style="1" customWidth="1"/>
    <col min="14089" max="14090" width="10.125" style="1"/>
    <col min="14091" max="14091" width="10.625" style="1" bestFit="1" customWidth="1"/>
    <col min="14092" max="14336" width="10.125" style="1"/>
    <col min="14337" max="14337" width="3.125" style="1" customWidth="1"/>
    <col min="14338" max="14338" width="29.5" style="1" customWidth="1"/>
    <col min="14339" max="14339" width="8.75" style="1" customWidth="1"/>
    <col min="14340" max="14340" width="1.5" style="1" customWidth="1"/>
    <col min="14341" max="14341" width="10.75" style="1" customWidth="1"/>
    <col min="14342" max="14342" width="6.375" style="1" customWidth="1"/>
    <col min="14343" max="14343" width="6.75" style="1" customWidth="1"/>
    <col min="14344" max="14344" width="8.75" style="1" customWidth="1"/>
    <col min="14345" max="14346" width="10.125" style="1"/>
    <col min="14347" max="14347" width="10.625" style="1" bestFit="1" customWidth="1"/>
    <col min="14348" max="14592" width="10.125" style="1"/>
    <col min="14593" max="14593" width="3.125" style="1" customWidth="1"/>
    <col min="14594" max="14594" width="29.5" style="1" customWidth="1"/>
    <col min="14595" max="14595" width="8.75" style="1" customWidth="1"/>
    <col min="14596" max="14596" width="1.5" style="1" customWidth="1"/>
    <col min="14597" max="14597" width="10.75" style="1" customWidth="1"/>
    <col min="14598" max="14598" width="6.375" style="1" customWidth="1"/>
    <col min="14599" max="14599" width="6.75" style="1" customWidth="1"/>
    <col min="14600" max="14600" width="8.75" style="1" customWidth="1"/>
    <col min="14601" max="14602" width="10.125" style="1"/>
    <col min="14603" max="14603" width="10.625" style="1" bestFit="1" customWidth="1"/>
    <col min="14604" max="14848" width="10.125" style="1"/>
    <col min="14849" max="14849" width="3.125" style="1" customWidth="1"/>
    <col min="14850" max="14850" width="29.5" style="1" customWidth="1"/>
    <col min="14851" max="14851" width="8.75" style="1" customWidth="1"/>
    <col min="14852" max="14852" width="1.5" style="1" customWidth="1"/>
    <col min="14853" max="14853" width="10.75" style="1" customWidth="1"/>
    <col min="14854" max="14854" width="6.375" style="1" customWidth="1"/>
    <col min="14855" max="14855" width="6.75" style="1" customWidth="1"/>
    <col min="14856" max="14856" width="8.75" style="1" customWidth="1"/>
    <col min="14857" max="14858" width="10.125" style="1"/>
    <col min="14859" max="14859" width="10.625" style="1" bestFit="1" customWidth="1"/>
    <col min="14860" max="15104" width="10.125" style="1"/>
    <col min="15105" max="15105" width="3.125" style="1" customWidth="1"/>
    <col min="15106" max="15106" width="29.5" style="1" customWidth="1"/>
    <col min="15107" max="15107" width="8.75" style="1" customWidth="1"/>
    <col min="15108" max="15108" width="1.5" style="1" customWidth="1"/>
    <col min="15109" max="15109" width="10.75" style="1" customWidth="1"/>
    <col min="15110" max="15110" width="6.375" style="1" customWidth="1"/>
    <col min="15111" max="15111" width="6.75" style="1" customWidth="1"/>
    <col min="15112" max="15112" width="8.75" style="1" customWidth="1"/>
    <col min="15113" max="15114" width="10.125" style="1"/>
    <col min="15115" max="15115" width="10.625" style="1" bestFit="1" customWidth="1"/>
    <col min="15116" max="15360" width="10.125" style="1"/>
    <col min="15361" max="15361" width="3.125" style="1" customWidth="1"/>
    <col min="15362" max="15362" width="29.5" style="1" customWidth="1"/>
    <col min="15363" max="15363" width="8.75" style="1" customWidth="1"/>
    <col min="15364" max="15364" width="1.5" style="1" customWidth="1"/>
    <col min="15365" max="15365" width="10.75" style="1" customWidth="1"/>
    <col min="15366" max="15366" width="6.375" style="1" customWidth="1"/>
    <col min="15367" max="15367" width="6.75" style="1" customWidth="1"/>
    <col min="15368" max="15368" width="8.75" style="1" customWidth="1"/>
    <col min="15369" max="15370" width="10.125" style="1"/>
    <col min="15371" max="15371" width="10.625" style="1" bestFit="1" customWidth="1"/>
    <col min="15372" max="15616" width="10.125" style="1"/>
    <col min="15617" max="15617" width="3.125" style="1" customWidth="1"/>
    <col min="15618" max="15618" width="29.5" style="1" customWidth="1"/>
    <col min="15619" max="15619" width="8.75" style="1" customWidth="1"/>
    <col min="15620" max="15620" width="1.5" style="1" customWidth="1"/>
    <col min="15621" max="15621" width="10.75" style="1" customWidth="1"/>
    <col min="15622" max="15622" width="6.375" style="1" customWidth="1"/>
    <col min="15623" max="15623" width="6.75" style="1" customWidth="1"/>
    <col min="15624" max="15624" width="8.75" style="1" customWidth="1"/>
    <col min="15625" max="15626" width="10.125" style="1"/>
    <col min="15627" max="15627" width="10.625" style="1" bestFit="1" customWidth="1"/>
    <col min="15628" max="15872" width="10.125" style="1"/>
    <col min="15873" max="15873" width="3.125" style="1" customWidth="1"/>
    <col min="15874" max="15874" width="29.5" style="1" customWidth="1"/>
    <col min="15875" max="15875" width="8.75" style="1" customWidth="1"/>
    <col min="15876" max="15876" width="1.5" style="1" customWidth="1"/>
    <col min="15877" max="15877" width="10.75" style="1" customWidth="1"/>
    <col min="15878" max="15878" width="6.375" style="1" customWidth="1"/>
    <col min="15879" max="15879" width="6.75" style="1" customWidth="1"/>
    <col min="15880" max="15880" width="8.75" style="1" customWidth="1"/>
    <col min="15881" max="15882" width="10.125" style="1"/>
    <col min="15883" max="15883" width="10.625" style="1" bestFit="1" customWidth="1"/>
    <col min="15884" max="16128" width="10.125" style="1"/>
    <col min="16129" max="16129" width="3.125" style="1" customWidth="1"/>
    <col min="16130" max="16130" width="29.5" style="1" customWidth="1"/>
    <col min="16131" max="16131" width="8.75" style="1" customWidth="1"/>
    <col min="16132" max="16132" width="1.5" style="1" customWidth="1"/>
    <col min="16133" max="16133" width="10.75" style="1" customWidth="1"/>
    <col min="16134" max="16134" width="6.375" style="1" customWidth="1"/>
    <col min="16135" max="16135" width="6.75" style="1" customWidth="1"/>
    <col min="16136" max="16136" width="8.75" style="1" customWidth="1"/>
    <col min="16137" max="16138" width="10.125" style="1"/>
    <col min="16139" max="16139" width="10.625" style="1" bestFit="1" customWidth="1"/>
    <col min="16140" max="16384" width="10.125" style="1"/>
  </cols>
  <sheetData>
    <row r="5" spans="1:11" x14ac:dyDescent="0.25">
      <c r="A5" s="4" t="s">
        <v>0</v>
      </c>
      <c r="B5" s="5"/>
      <c r="C5" s="5"/>
    </row>
    <row r="6" spans="1:11" ht="9" customHeight="1" x14ac:dyDescent="0.25">
      <c r="A6" s="4"/>
      <c r="B6" s="5"/>
      <c r="C6" s="5"/>
    </row>
    <row r="7" spans="1:11" s="7" customFormat="1" ht="15" x14ac:dyDescent="0.25">
      <c r="A7" s="7" t="s">
        <v>1</v>
      </c>
      <c r="B7" s="8"/>
      <c r="D7" s="9"/>
      <c r="E7" s="131" t="s">
        <v>2</v>
      </c>
      <c r="F7" s="132"/>
      <c r="G7" s="133">
        <v>45474</v>
      </c>
      <c r="H7" s="134"/>
    </row>
    <row r="8" spans="1:11" s="7" customFormat="1" ht="15" x14ac:dyDescent="0.25">
      <c r="A8" s="7" t="s">
        <v>53</v>
      </c>
      <c r="B8" s="8"/>
      <c r="D8" s="9"/>
      <c r="E8" s="135" t="s">
        <v>3</v>
      </c>
      <c r="F8" s="136"/>
      <c r="H8" s="11">
        <v>60431</v>
      </c>
      <c r="K8" s="55"/>
    </row>
    <row r="9" spans="1:11" s="7" customFormat="1" ht="15" x14ac:dyDescent="0.25">
      <c r="A9" s="7" t="s">
        <v>54</v>
      </c>
      <c r="B9" s="8"/>
      <c r="D9" s="9"/>
      <c r="E9" s="135" t="s">
        <v>4</v>
      </c>
      <c r="F9" s="136"/>
      <c r="G9" s="137" t="s">
        <v>90</v>
      </c>
      <c r="H9" s="138"/>
      <c r="K9" s="55"/>
    </row>
    <row r="10" spans="1:11" s="7" customFormat="1" ht="15" x14ac:dyDescent="0.25">
      <c r="B10" s="8"/>
      <c r="D10" s="9"/>
      <c r="E10" s="13" t="s">
        <v>5</v>
      </c>
      <c r="F10" s="14"/>
      <c r="G10" s="139">
        <f>+G7</f>
        <v>45474</v>
      </c>
      <c r="H10" s="140"/>
      <c r="K10" s="55"/>
    </row>
    <row r="11" spans="1:11" s="7" customFormat="1" ht="15" x14ac:dyDescent="0.25">
      <c r="A11" s="15" t="s">
        <v>55</v>
      </c>
      <c r="B11" s="8"/>
      <c r="D11" s="9"/>
      <c r="E11" s="10" t="s">
        <v>6</v>
      </c>
      <c r="F11" s="125" t="s">
        <v>7</v>
      </c>
      <c r="G11" s="125"/>
      <c r="H11" s="126"/>
    </row>
    <row r="12" spans="1:11" s="7" customFormat="1" ht="15" x14ac:dyDescent="0.25">
      <c r="A12" s="15"/>
      <c r="B12" s="8"/>
      <c r="D12" s="9"/>
      <c r="E12" s="13" t="s">
        <v>8</v>
      </c>
      <c r="F12" s="127" t="s">
        <v>9</v>
      </c>
      <c r="G12" s="127"/>
      <c r="H12" s="128"/>
    </row>
    <row r="13" spans="1:11" s="7" customFormat="1" ht="15" x14ac:dyDescent="0.25">
      <c r="A13" s="15"/>
      <c r="B13" s="8"/>
      <c r="D13" s="9"/>
      <c r="E13" s="17"/>
      <c r="F13" s="51"/>
      <c r="G13" s="51"/>
      <c r="H13" s="51"/>
    </row>
    <row r="14" spans="1:11" s="7" customFormat="1" ht="15" x14ac:dyDescent="0.25">
      <c r="A14" s="15"/>
      <c r="B14" s="8"/>
      <c r="D14" s="9"/>
      <c r="E14" s="17"/>
      <c r="F14" s="51"/>
      <c r="G14" s="51"/>
      <c r="H14" s="51"/>
    </row>
    <row r="15" spans="1:11" s="7" customFormat="1" ht="15" x14ac:dyDescent="0.25">
      <c r="A15" s="15"/>
      <c r="B15" s="8"/>
      <c r="D15" s="9"/>
      <c r="E15" s="17"/>
      <c r="F15" s="51"/>
      <c r="G15" s="51"/>
      <c r="H15" s="51"/>
    </row>
    <row r="16" spans="1:11" s="69" customFormat="1" ht="14.25" x14ac:dyDescent="0.2">
      <c r="A16" s="141" t="s">
        <v>10</v>
      </c>
      <c r="B16" s="141"/>
      <c r="C16" s="141"/>
      <c r="D16" s="141"/>
      <c r="E16" s="141"/>
      <c r="F16" s="141"/>
      <c r="G16" s="141"/>
      <c r="H16" s="141"/>
    </row>
    <row r="17" spans="1:8" s="69" customFormat="1" ht="14.25" x14ac:dyDescent="0.2">
      <c r="A17" s="68"/>
      <c r="B17" s="68"/>
      <c r="C17" s="68"/>
      <c r="D17" s="68"/>
      <c r="E17" s="68"/>
      <c r="F17" s="68"/>
      <c r="G17" s="68"/>
      <c r="H17" s="68"/>
    </row>
    <row r="18" spans="1:8" s="63" customFormat="1" ht="15.75" customHeight="1" x14ac:dyDescent="0.25">
      <c r="D18" s="70"/>
      <c r="E18" s="71"/>
      <c r="F18" s="72"/>
    </row>
    <row r="19" spans="1:8" s="63" customFormat="1" ht="15" x14ac:dyDescent="0.25">
      <c r="A19" s="63" t="s">
        <v>38</v>
      </c>
      <c r="B19" s="73"/>
      <c r="D19" s="70"/>
      <c r="E19" s="71"/>
      <c r="F19" s="70"/>
      <c r="G19" s="74"/>
    </row>
    <row r="20" spans="1:8" s="63" customFormat="1" ht="15" x14ac:dyDescent="0.25">
      <c r="A20" s="63" t="s">
        <v>39</v>
      </c>
      <c r="B20" s="73"/>
      <c r="D20" s="70"/>
      <c r="E20" s="71"/>
      <c r="F20" s="70"/>
      <c r="G20" s="74"/>
    </row>
    <row r="21" spans="1:8" s="63" customFormat="1" ht="15" x14ac:dyDescent="0.25">
      <c r="B21" s="73"/>
      <c r="D21" s="70"/>
      <c r="E21" s="71"/>
      <c r="F21" s="70"/>
      <c r="G21" s="75"/>
    </row>
    <row r="22" spans="1:8" s="63" customFormat="1" ht="15" x14ac:dyDescent="0.25">
      <c r="A22" s="76" t="s">
        <v>13</v>
      </c>
      <c r="B22" s="77"/>
      <c r="C22" s="76"/>
      <c r="E22" s="70" t="s">
        <v>40</v>
      </c>
      <c r="F22" s="71" t="s">
        <v>15</v>
      </c>
      <c r="G22" s="70" t="s">
        <v>41</v>
      </c>
      <c r="H22" s="71" t="s">
        <v>17</v>
      </c>
    </row>
    <row r="23" spans="1:8" s="63" customFormat="1" ht="15" x14ac:dyDescent="0.25">
      <c r="A23" s="78" t="s">
        <v>18</v>
      </c>
      <c r="B23" s="78"/>
      <c r="C23" s="79" t="s">
        <v>42</v>
      </c>
      <c r="D23" s="78"/>
      <c r="E23" s="80" t="s">
        <v>80</v>
      </c>
      <c r="F23" s="81"/>
      <c r="G23" s="80" t="s">
        <v>81</v>
      </c>
      <c r="H23" s="82"/>
    </row>
    <row r="24" spans="1:8" s="63" customFormat="1" ht="15" x14ac:dyDescent="0.25">
      <c r="A24" s="63">
        <v>29</v>
      </c>
      <c r="B24" s="63" t="s">
        <v>82</v>
      </c>
      <c r="C24" s="83"/>
      <c r="D24" s="84"/>
      <c r="E24" s="85">
        <v>120</v>
      </c>
      <c r="F24" s="63" t="s">
        <v>36</v>
      </c>
      <c r="G24" s="86">
        <v>4.5</v>
      </c>
      <c r="H24" s="75">
        <f>+G24*E24</f>
        <v>540</v>
      </c>
    </row>
    <row r="25" spans="1:8" s="63" customFormat="1" ht="15" x14ac:dyDescent="0.25">
      <c r="B25" s="63" t="s">
        <v>83</v>
      </c>
      <c r="C25" s="83"/>
      <c r="D25" s="84"/>
    </row>
    <row r="26" spans="1:8" s="63" customFormat="1" ht="15" x14ac:dyDescent="0.25">
      <c r="B26" s="87" t="s">
        <v>84</v>
      </c>
      <c r="C26" s="83"/>
      <c r="D26" s="84"/>
      <c r="E26" s="88"/>
      <c r="G26" s="89"/>
      <c r="H26" s="75"/>
    </row>
    <row r="27" spans="1:8" s="63" customFormat="1" ht="15" x14ac:dyDescent="0.25">
      <c r="B27" s="63" t="s">
        <v>87</v>
      </c>
      <c r="C27" s="83"/>
      <c r="D27" s="84"/>
      <c r="E27" s="88"/>
      <c r="G27" s="89"/>
      <c r="H27" s="75"/>
    </row>
    <row r="28" spans="1:8" s="63" customFormat="1" ht="15" x14ac:dyDescent="0.25">
      <c r="B28" s="63" t="s">
        <v>88</v>
      </c>
      <c r="D28" s="70"/>
      <c r="E28" s="71"/>
      <c r="F28" s="72"/>
    </row>
    <row r="29" spans="1:8" s="63" customFormat="1" ht="15" x14ac:dyDescent="0.25">
      <c r="B29" s="63" t="s">
        <v>85</v>
      </c>
      <c r="D29" s="70"/>
      <c r="E29" s="71"/>
      <c r="F29" s="72"/>
    </row>
    <row r="30" spans="1:8" s="63" customFormat="1" ht="15" x14ac:dyDescent="0.25">
      <c r="B30" s="63" t="s">
        <v>89</v>
      </c>
      <c r="D30" s="70"/>
      <c r="E30" s="71"/>
      <c r="F30" s="72"/>
    </row>
    <row r="31" spans="1:8" s="63" customFormat="1" ht="15" x14ac:dyDescent="0.25">
      <c r="D31" s="84"/>
      <c r="E31" s="90"/>
      <c r="F31" s="89"/>
      <c r="G31" s="86"/>
      <c r="H31" s="75"/>
    </row>
    <row r="32" spans="1:8" s="63" customFormat="1" ht="6.75" customHeight="1" x14ac:dyDescent="0.25">
      <c r="E32" s="71"/>
      <c r="F32" s="72"/>
      <c r="G32" s="91"/>
    </row>
    <row r="33" spans="1:10" s="63" customFormat="1" ht="15" x14ac:dyDescent="0.25">
      <c r="A33" s="63">
        <v>16</v>
      </c>
      <c r="B33" s="63" t="s">
        <v>23</v>
      </c>
      <c r="C33" s="83"/>
      <c r="E33" s="92">
        <f>SUM(H24:H32)*0.2</f>
        <v>108</v>
      </c>
      <c r="F33" s="71"/>
      <c r="G33" s="93"/>
      <c r="H33" s="75">
        <v>10</v>
      </c>
    </row>
    <row r="34" spans="1:10" s="63" customFormat="1" ht="15" x14ac:dyDescent="0.25">
      <c r="A34" s="78"/>
      <c r="B34" s="78" t="s">
        <v>24</v>
      </c>
      <c r="C34" s="78"/>
      <c r="D34" s="78"/>
      <c r="E34" s="94"/>
      <c r="F34" s="81"/>
      <c r="G34" s="80"/>
      <c r="H34" s="95"/>
    </row>
    <row r="35" spans="1:10" s="63" customFormat="1" ht="15" x14ac:dyDescent="0.25">
      <c r="A35" s="96"/>
      <c r="E35" s="63" t="s">
        <v>25</v>
      </c>
      <c r="F35" s="73"/>
      <c r="G35" s="70"/>
      <c r="H35" s="75">
        <f>SUM(H24:H34)</f>
        <v>550</v>
      </c>
      <c r="I35" s="75"/>
    </row>
    <row r="36" spans="1:10" s="63" customFormat="1" ht="15" x14ac:dyDescent="0.25">
      <c r="E36" s="97" t="s">
        <v>26</v>
      </c>
      <c r="F36" s="73"/>
      <c r="G36" s="98"/>
      <c r="H36" s="75">
        <f>+H35*0.19</f>
        <v>104.5</v>
      </c>
    </row>
    <row r="37" spans="1:10" s="63" customFormat="1" thickBot="1" x14ac:dyDescent="0.3">
      <c r="E37" s="99" t="s">
        <v>27</v>
      </c>
      <c r="F37" s="100"/>
      <c r="G37" s="101"/>
      <c r="H37" s="102">
        <f>+H35+H36</f>
        <v>654.5</v>
      </c>
      <c r="J37" s="75"/>
    </row>
    <row r="38" spans="1:10" s="63" customFormat="1" thickTop="1" x14ac:dyDescent="0.25">
      <c r="A38" s="63" t="s">
        <v>86</v>
      </c>
      <c r="D38" s="70"/>
      <c r="E38" s="71"/>
      <c r="F38" s="70"/>
      <c r="G38" s="75"/>
    </row>
    <row r="39" spans="1:10" s="63" customFormat="1" ht="15" x14ac:dyDescent="0.25">
      <c r="B39" s="73"/>
      <c r="D39" s="70"/>
      <c r="E39" s="71"/>
      <c r="F39" s="70"/>
      <c r="G39" s="75"/>
    </row>
    <row r="40" spans="1:10" s="63" customFormat="1" ht="15" x14ac:dyDescent="0.25">
      <c r="D40" s="70"/>
      <c r="E40" s="71"/>
      <c r="F40" s="70"/>
      <c r="G40" s="75"/>
    </row>
    <row r="41" spans="1:10" s="63" customFormat="1" ht="15" x14ac:dyDescent="0.25">
      <c r="D41" s="70"/>
      <c r="E41" s="71"/>
      <c r="F41" s="70"/>
      <c r="G41" s="75"/>
    </row>
    <row r="42" spans="1:10" s="103" customFormat="1" x14ac:dyDescent="0.25">
      <c r="B42" s="78"/>
      <c r="D42" s="104"/>
      <c r="E42" s="105"/>
      <c r="F42" s="104"/>
      <c r="G42" s="106"/>
    </row>
    <row r="43" spans="1:10" s="103" customFormat="1" x14ac:dyDescent="0.25">
      <c r="B43" s="63"/>
      <c r="D43" s="104"/>
      <c r="E43" s="105"/>
      <c r="F43" s="104"/>
      <c r="G43" s="106"/>
    </row>
    <row r="44" spans="1:10" s="103" customFormat="1" x14ac:dyDescent="0.25">
      <c r="D44" s="104"/>
      <c r="E44" s="105"/>
      <c r="F44" s="107"/>
    </row>
    <row r="45" spans="1:10" s="103" customFormat="1" x14ac:dyDescent="0.25">
      <c r="D45" s="104"/>
      <c r="E45" s="105"/>
      <c r="F45" s="107"/>
    </row>
    <row r="46" spans="1:10" x14ac:dyDescent="0.25">
      <c r="D46" s="1"/>
      <c r="E46" s="1"/>
      <c r="F46" s="1"/>
    </row>
    <row r="47" spans="1:10" x14ac:dyDescent="0.25">
      <c r="D47" s="1"/>
      <c r="E47" s="1"/>
      <c r="F47" s="1"/>
    </row>
    <row r="48" spans="1:10" x14ac:dyDescent="0.25">
      <c r="A48" s="130" t="s">
        <v>79</v>
      </c>
      <c r="B48" s="130"/>
      <c r="C48" s="130"/>
      <c r="D48" s="130"/>
      <c r="E48" s="130"/>
      <c r="F48" s="130"/>
      <c r="G48" s="130"/>
      <c r="H48" s="130"/>
    </row>
  </sheetData>
  <mergeCells count="10">
    <mergeCell ref="F11:H11"/>
    <mergeCell ref="F12:H12"/>
    <mergeCell ref="A16:H16"/>
    <mergeCell ref="A48:H48"/>
    <mergeCell ref="E7:F7"/>
    <mergeCell ref="G7:H7"/>
    <mergeCell ref="E8:F8"/>
    <mergeCell ref="E9:F9"/>
    <mergeCell ref="G9:H9"/>
    <mergeCell ref="G10:H10"/>
  </mergeCells>
  <pageMargins left="0.78740157480314965" right="0.78740157480314965" top="0.98425196850393704" bottom="0.98425196850393704" header="0.51181102362204722" footer="0.51181102362204722"/>
  <pageSetup paperSize="9" orientation="portrait" horizontalDpi="300" verticalDpi="300" r:id="rId1"/>
  <headerFooter alignWithMargins="0">
    <oddHeader>&amp;C&amp;"Times New Roman,Standard"&amp;16Hartmut Ahting
Steuerberater
Diplom-Wirtschaftsingenieur</oddHeader>
    <oddFooter>&amp;L&amp;"Times New Roman,Standard"Heerstrasse 50
60488 Frankfurt
&amp;C&amp;"Times New Roman,Standard"Deutsche Bank
BLZ 500 700 24
Konto 409 28 62&amp;R&amp;"Times New Roman,Standard"Tel:      069 / 788 031-71
Fax:     069 / 788 031-72
Mobil: 0174 / 326 99 58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20A11-8A96-4EB6-857C-8DDE7A30FB8C}">
  <dimension ref="A5:S52"/>
  <sheetViews>
    <sheetView workbookViewId="0">
      <selection activeCell="H40" sqref="H40"/>
    </sheetView>
  </sheetViews>
  <sheetFormatPr baseColWidth="10" defaultColWidth="10.125" defaultRowHeight="15.75" x14ac:dyDescent="0.25"/>
  <cols>
    <col min="1" max="1" width="3.125" style="1" customWidth="1"/>
    <col min="2" max="2" width="30.5" style="1" customWidth="1"/>
    <col min="3" max="3" width="8.75" style="1" customWidth="1"/>
    <col min="4" max="4" width="1.5" style="2" customWidth="1"/>
    <col min="5" max="5" width="10" style="3" customWidth="1"/>
    <col min="6" max="6" width="6.125" style="6" customWidth="1"/>
    <col min="7" max="7" width="7.25" style="1" customWidth="1"/>
    <col min="8" max="8" width="8.5" style="1" customWidth="1"/>
    <col min="9" max="9" width="1.125" style="1" customWidth="1"/>
    <col min="10" max="256" width="10.125" style="1"/>
    <col min="257" max="257" width="3.125" style="1" customWidth="1"/>
    <col min="258" max="258" width="30.5" style="1" customWidth="1"/>
    <col min="259" max="259" width="8.75" style="1" customWidth="1"/>
    <col min="260" max="260" width="1.5" style="1" customWidth="1"/>
    <col min="261" max="261" width="10" style="1" customWidth="1"/>
    <col min="262" max="262" width="6.125" style="1" customWidth="1"/>
    <col min="263" max="263" width="7.25" style="1" customWidth="1"/>
    <col min="264" max="264" width="8.5" style="1" customWidth="1"/>
    <col min="265" max="265" width="1.125" style="1" customWidth="1"/>
    <col min="266" max="512" width="10.125" style="1"/>
    <col min="513" max="513" width="3.125" style="1" customWidth="1"/>
    <col min="514" max="514" width="30.5" style="1" customWidth="1"/>
    <col min="515" max="515" width="8.75" style="1" customWidth="1"/>
    <col min="516" max="516" width="1.5" style="1" customWidth="1"/>
    <col min="517" max="517" width="10" style="1" customWidth="1"/>
    <col min="518" max="518" width="6.125" style="1" customWidth="1"/>
    <col min="519" max="519" width="7.25" style="1" customWidth="1"/>
    <col min="520" max="520" width="8.5" style="1" customWidth="1"/>
    <col min="521" max="521" width="1.125" style="1" customWidth="1"/>
    <col min="522" max="768" width="10.125" style="1"/>
    <col min="769" max="769" width="3.125" style="1" customWidth="1"/>
    <col min="770" max="770" width="30.5" style="1" customWidth="1"/>
    <col min="771" max="771" width="8.75" style="1" customWidth="1"/>
    <col min="772" max="772" width="1.5" style="1" customWidth="1"/>
    <col min="773" max="773" width="10" style="1" customWidth="1"/>
    <col min="774" max="774" width="6.125" style="1" customWidth="1"/>
    <col min="775" max="775" width="7.25" style="1" customWidth="1"/>
    <col min="776" max="776" width="8.5" style="1" customWidth="1"/>
    <col min="777" max="777" width="1.125" style="1" customWidth="1"/>
    <col min="778" max="1024" width="10.125" style="1"/>
    <col min="1025" max="1025" width="3.125" style="1" customWidth="1"/>
    <col min="1026" max="1026" width="30.5" style="1" customWidth="1"/>
    <col min="1027" max="1027" width="8.75" style="1" customWidth="1"/>
    <col min="1028" max="1028" width="1.5" style="1" customWidth="1"/>
    <col min="1029" max="1029" width="10" style="1" customWidth="1"/>
    <col min="1030" max="1030" width="6.125" style="1" customWidth="1"/>
    <col min="1031" max="1031" width="7.25" style="1" customWidth="1"/>
    <col min="1032" max="1032" width="8.5" style="1" customWidth="1"/>
    <col min="1033" max="1033" width="1.125" style="1" customWidth="1"/>
    <col min="1034" max="1280" width="10.125" style="1"/>
    <col min="1281" max="1281" width="3.125" style="1" customWidth="1"/>
    <col min="1282" max="1282" width="30.5" style="1" customWidth="1"/>
    <col min="1283" max="1283" width="8.75" style="1" customWidth="1"/>
    <col min="1284" max="1284" width="1.5" style="1" customWidth="1"/>
    <col min="1285" max="1285" width="10" style="1" customWidth="1"/>
    <col min="1286" max="1286" width="6.125" style="1" customWidth="1"/>
    <col min="1287" max="1287" width="7.25" style="1" customWidth="1"/>
    <col min="1288" max="1288" width="8.5" style="1" customWidth="1"/>
    <col min="1289" max="1289" width="1.125" style="1" customWidth="1"/>
    <col min="1290" max="1536" width="10.125" style="1"/>
    <col min="1537" max="1537" width="3.125" style="1" customWidth="1"/>
    <col min="1538" max="1538" width="30.5" style="1" customWidth="1"/>
    <col min="1539" max="1539" width="8.75" style="1" customWidth="1"/>
    <col min="1540" max="1540" width="1.5" style="1" customWidth="1"/>
    <col min="1541" max="1541" width="10" style="1" customWidth="1"/>
    <col min="1542" max="1542" width="6.125" style="1" customWidth="1"/>
    <col min="1543" max="1543" width="7.25" style="1" customWidth="1"/>
    <col min="1544" max="1544" width="8.5" style="1" customWidth="1"/>
    <col min="1545" max="1545" width="1.125" style="1" customWidth="1"/>
    <col min="1546" max="1792" width="10.125" style="1"/>
    <col min="1793" max="1793" width="3.125" style="1" customWidth="1"/>
    <col min="1794" max="1794" width="30.5" style="1" customWidth="1"/>
    <col min="1795" max="1795" width="8.75" style="1" customWidth="1"/>
    <col min="1796" max="1796" width="1.5" style="1" customWidth="1"/>
    <col min="1797" max="1797" width="10" style="1" customWidth="1"/>
    <col min="1798" max="1798" width="6.125" style="1" customWidth="1"/>
    <col min="1799" max="1799" width="7.25" style="1" customWidth="1"/>
    <col min="1800" max="1800" width="8.5" style="1" customWidth="1"/>
    <col min="1801" max="1801" width="1.125" style="1" customWidth="1"/>
    <col min="1802" max="2048" width="10.125" style="1"/>
    <col min="2049" max="2049" width="3.125" style="1" customWidth="1"/>
    <col min="2050" max="2050" width="30.5" style="1" customWidth="1"/>
    <col min="2051" max="2051" width="8.75" style="1" customWidth="1"/>
    <col min="2052" max="2052" width="1.5" style="1" customWidth="1"/>
    <col min="2053" max="2053" width="10" style="1" customWidth="1"/>
    <col min="2054" max="2054" width="6.125" style="1" customWidth="1"/>
    <col min="2055" max="2055" width="7.25" style="1" customWidth="1"/>
    <col min="2056" max="2056" width="8.5" style="1" customWidth="1"/>
    <col min="2057" max="2057" width="1.125" style="1" customWidth="1"/>
    <col min="2058" max="2304" width="10.125" style="1"/>
    <col min="2305" max="2305" width="3.125" style="1" customWidth="1"/>
    <col min="2306" max="2306" width="30.5" style="1" customWidth="1"/>
    <col min="2307" max="2307" width="8.75" style="1" customWidth="1"/>
    <col min="2308" max="2308" width="1.5" style="1" customWidth="1"/>
    <col min="2309" max="2309" width="10" style="1" customWidth="1"/>
    <col min="2310" max="2310" width="6.125" style="1" customWidth="1"/>
    <col min="2311" max="2311" width="7.25" style="1" customWidth="1"/>
    <col min="2312" max="2312" width="8.5" style="1" customWidth="1"/>
    <col min="2313" max="2313" width="1.125" style="1" customWidth="1"/>
    <col min="2314" max="2560" width="10.125" style="1"/>
    <col min="2561" max="2561" width="3.125" style="1" customWidth="1"/>
    <col min="2562" max="2562" width="30.5" style="1" customWidth="1"/>
    <col min="2563" max="2563" width="8.75" style="1" customWidth="1"/>
    <col min="2564" max="2564" width="1.5" style="1" customWidth="1"/>
    <col min="2565" max="2565" width="10" style="1" customWidth="1"/>
    <col min="2566" max="2566" width="6.125" style="1" customWidth="1"/>
    <col min="2567" max="2567" width="7.25" style="1" customWidth="1"/>
    <col min="2568" max="2568" width="8.5" style="1" customWidth="1"/>
    <col min="2569" max="2569" width="1.125" style="1" customWidth="1"/>
    <col min="2570" max="2816" width="10.125" style="1"/>
    <col min="2817" max="2817" width="3.125" style="1" customWidth="1"/>
    <col min="2818" max="2818" width="30.5" style="1" customWidth="1"/>
    <col min="2819" max="2819" width="8.75" style="1" customWidth="1"/>
    <col min="2820" max="2820" width="1.5" style="1" customWidth="1"/>
    <col min="2821" max="2821" width="10" style="1" customWidth="1"/>
    <col min="2822" max="2822" width="6.125" style="1" customWidth="1"/>
    <col min="2823" max="2823" width="7.25" style="1" customWidth="1"/>
    <col min="2824" max="2824" width="8.5" style="1" customWidth="1"/>
    <col min="2825" max="2825" width="1.125" style="1" customWidth="1"/>
    <col min="2826" max="3072" width="10.125" style="1"/>
    <col min="3073" max="3073" width="3.125" style="1" customWidth="1"/>
    <col min="3074" max="3074" width="30.5" style="1" customWidth="1"/>
    <col min="3075" max="3075" width="8.75" style="1" customWidth="1"/>
    <col min="3076" max="3076" width="1.5" style="1" customWidth="1"/>
    <col min="3077" max="3077" width="10" style="1" customWidth="1"/>
    <col min="3078" max="3078" width="6.125" style="1" customWidth="1"/>
    <col min="3079" max="3079" width="7.25" style="1" customWidth="1"/>
    <col min="3080" max="3080" width="8.5" style="1" customWidth="1"/>
    <col min="3081" max="3081" width="1.125" style="1" customWidth="1"/>
    <col min="3082" max="3328" width="10.125" style="1"/>
    <col min="3329" max="3329" width="3.125" style="1" customWidth="1"/>
    <col min="3330" max="3330" width="30.5" style="1" customWidth="1"/>
    <col min="3331" max="3331" width="8.75" style="1" customWidth="1"/>
    <col min="3332" max="3332" width="1.5" style="1" customWidth="1"/>
    <col min="3333" max="3333" width="10" style="1" customWidth="1"/>
    <col min="3334" max="3334" width="6.125" style="1" customWidth="1"/>
    <col min="3335" max="3335" width="7.25" style="1" customWidth="1"/>
    <col min="3336" max="3336" width="8.5" style="1" customWidth="1"/>
    <col min="3337" max="3337" width="1.125" style="1" customWidth="1"/>
    <col min="3338" max="3584" width="10.125" style="1"/>
    <col min="3585" max="3585" width="3.125" style="1" customWidth="1"/>
    <col min="3586" max="3586" width="30.5" style="1" customWidth="1"/>
    <col min="3587" max="3587" width="8.75" style="1" customWidth="1"/>
    <col min="3588" max="3588" width="1.5" style="1" customWidth="1"/>
    <col min="3589" max="3589" width="10" style="1" customWidth="1"/>
    <col min="3590" max="3590" width="6.125" style="1" customWidth="1"/>
    <col min="3591" max="3591" width="7.25" style="1" customWidth="1"/>
    <col min="3592" max="3592" width="8.5" style="1" customWidth="1"/>
    <col min="3593" max="3593" width="1.125" style="1" customWidth="1"/>
    <col min="3594" max="3840" width="10.125" style="1"/>
    <col min="3841" max="3841" width="3.125" style="1" customWidth="1"/>
    <col min="3842" max="3842" width="30.5" style="1" customWidth="1"/>
    <col min="3843" max="3843" width="8.75" style="1" customWidth="1"/>
    <col min="3844" max="3844" width="1.5" style="1" customWidth="1"/>
    <col min="3845" max="3845" width="10" style="1" customWidth="1"/>
    <col min="3846" max="3846" width="6.125" style="1" customWidth="1"/>
    <col min="3847" max="3847" width="7.25" style="1" customWidth="1"/>
    <col min="3848" max="3848" width="8.5" style="1" customWidth="1"/>
    <col min="3849" max="3849" width="1.125" style="1" customWidth="1"/>
    <col min="3850" max="4096" width="10.125" style="1"/>
    <col min="4097" max="4097" width="3.125" style="1" customWidth="1"/>
    <col min="4098" max="4098" width="30.5" style="1" customWidth="1"/>
    <col min="4099" max="4099" width="8.75" style="1" customWidth="1"/>
    <col min="4100" max="4100" width="1.5" style="1" customWidth="1"/>
    <col min="4101" max="4101" width="10" style="1" customWidth="1"/>
    <col min="4102" max="4102" width="6.125" style="1" customWidth="1"/>
    <col min="4103" max="4103" width="7.25" style="1" customWidth="1"/>
    <col min="4104" max="4104" width="8.5" style="1" customWidth="1"/>
    <col min="4105" max="4105" width="1.125" style="1" customWidth="1"/>
    <col min="4106" max="4352" width="10.125" style="1"/>
    <col min="4353" max="4353" width="3.125" style="1" customWidth="1"/>
    <col min="4354" max="4354" width="30.5" style="1" customWidth="1"/>
    <col min="4355" max="4355" width="8.75" style="1" customWidth="1"/>
    <col min="4356" max="4356" width="1.5" style="1" customWidth="1"/>
    <col min="4357" max="4357" width="10" style="1" customWidth="1"/>
    <col min="4358" max="4358" width="6.125" style="1" customWidth="1"/>
    <col min="4359" max="4359" width="7.25" style="1" customWidth="1"/>
    <col min="4360" max="4360" width="8.5" style="1" customWidth="1"/>
    <col min="4361" max="4361" width="1.125" style="1" customWidth="1"/>
    <col min="4362" max="4608" width="10.125" style="1"/>
    <col min="4609" max="4609" width="3.125" style="1" customWidth="1"/>
    <col min="4610" max="4610" width="30.5" style="1" customWidth="1"/>
    <col min="4611" max="4611" width="8.75" style="1" customWidth="1"/>
    <col min="4612" max="4612" width="1.5" style="1" customWidth="1"/>
    <col min="4613" max="4613" width="10" style="1" customWidth="1"/>
    <col min="4614" max="4614" width="6.125" style="1" customWidth="1"/>
    <col min="4615" max="4615" width="7.25" style="1" customWidth="1"/>
    <col min="4616" max="4616" width="8.5" style="1" customWidth="1"/>
    <col min="4617" max="4617" width="1.125" style="1" customWidth="1"/>
    <col min="4618" max="4864" width="10.125" style="1"/>
    <col min="4865" max="4865" width="3.125" style="1" customWidth="1"/>
    <col min="4866" max="4866" width="30.5" style="1" customWidth="1"/>
    <col min="4867" max="4867" width="8.75" style="1" customWidth="1"/>
    <col min="4868" max="4868" width="1.5" style="1" customWidth="1"/>
    <col min="4869" max="4869" width="10" style="1" customWidth="1"/>
    <col min="4870" max="4870" width="6.125" style="1" customWidth="1"/>
    <col min="4871" max="4871" width="7.25" style="1" customWidth="1"/>
    <col min="4872" max="4872" width="8.5" style="1" customWidth="1"/>
    <col min="4873" max="4873" width="1.125" style="1" customWidth="1"/>
    <col min="4874" max="5120" width="10.125" style="1"/>
    <col min="5121" max="5121" width="3.125" style="1" customWidth="1"/>
    <col min="5122" max="5122" width="30.5" style="1" customWidth="1"/>
    <col min="5123" max="5123" width="8.75" style="1" customWidth="1"/>
    <col min="5124" max="5124" width="1.5" style="1" customWidth="1"/>
    <col min="5125" max="5125" width="10" style="1" customWidth="1"/>
    <col min="5126" max="5126" width="6.125" style="1" customWidth="1"/>
    <col min="5127" max="5127" width="7.25" style="1" customWidth="1"/>
    <col min="5128" max="5128" width="8.5" style="1" customWidth="1"/>
    <col min="5129" max="5129" width="1.125" style="1" customWidth="1"/>
    <col min="5130" max="5376" width="10.125" style="1"/>
    <col min="5377" max="5377" width="3.125" style="1" customWidth="1"/>
    <col min="5378" max="5378" width="30.5" style="1" customWidth="1"/>
    <col min="5379" max="5379" width="8.75" style="1" customWidth="1"/>
    <col min="5380" max="5380" width="1.5" style="1" customWidth="1"/>
    <col min="5381" max="5381" width="10" style="1" customWidth="1"/>
    <col min="5382" max="5382" width="6.125" style="1" customWidth="1"/>
    <col min="5383" max="5383" width="7.25" style="1" customWidth="1"/>
    <col min="5384" max="5384" width="8.5" style="1" customWidth="1"/>
    <col min="5385" max="5385" width="1.125" style="1" customWidth="1"/>
    <col min="5386" max="5632" width="10.125" style="1"/>
    <col min="5633" max="5633" width="3.125" style="1" customWidth="1"/>
    <col min="5634" max="5634" width="30.5" style="1" customWidth="1"/>
    <col min="5635" max="5635" width="8.75" style="1" customWidth="1"/>
    <col min="5636" max="5636" width="1.5" style="1" customWidth="1"/>
    <col min="5637" max="5637" width="10" style="1" customWidth="1"/>
    <col min="5638" max="5638" width="6.125" style="1" customWidth="1"/>
    <col min="5639" max="5639" width="7.25" style="1" customWidth="1"/>
    <col min="5640" max="5640" width="8.5" style="1" customWidth="1"/>
    <col min="5641" max="5641" width="1.125" style="1" customWidth="1"/>
    <col min="5642" max="5888" width="10.125" style="1"/>
    <col min="5889" max="5889" width="3.125" style="1" customWidth="1"/>
    <col min="5890" max="5890" width="30.5" style="1" customWidth="1"/>
    <col min="5891" max="5891" width="8.75" style="1" customWidth="1"/>
    <col min="5892" max="5892" width="1.5" style="1" customWidth="1"/>
    <col min="5893" max="5893" width="10" style="1" customWidth="1"/>
    <col min="5894" max="5894" width="6.125" style="1" customWidth="1"/>
    <col min="5895" max="5895" width="7.25" style="1" customWidth="1"/>
    <col min="5896" max="5896" width="8.5" style="1" customWidth="1"/>
    <col min="5897" max="5897" width="1.125" style="1" customWidth="1"/>
    <col min="5898" max="6144" width="10.125" style="1"/>
    <col min="6145" max="6145" width="3.125" style="1" customWidth="1"/>
    <col min="6146" max="6146" width="30.5" style="1" customWidth="1"/>
    <col min="6147" max="6147" width="8.75" style="1" customWidth="1"/>
    <col min="6148" max="6148" width="1.5" style="1" customWidth="1"/>
    <col min="6149" max="6149" width="10" style="1" customWidth="1"/>
    <col min="6150" max="6150" width="6.125" style="1" customWidth="1"/>
    <col min="6151" max="6151" width="7.25" style="1" customWidth="1"/>
    <col min="6152" max="6152" width="8.5" style="1" customWidth="1"/>
    <col min="6153" max="6153" width="1.125" style="1" customWidth="1"/>
    <col min="6154" max="6400" width="10.125" style="1"/>
    <col min="6401" max="6401" width="3.125" style="1" customWidth="1"/>
    <col min="6402" max="6402" width="30.5" style="1" customWidth="1"/>
    <col min="6403" max="6403" width="8.75" style="1" customWidth="1"/>
    <col min="6404" max="6404" width="1.5" style="1" customWidth="1"/>
    <col min="6405" max="6405" width="10" style="1" customWidth="1"/>
    <col min="6406" max="6406" width="6.125" style="1" customWidth="1"/>
    <col min="6407" max="6407" width="7.25" style="1" customWidth="1"/>
    <col min="6408" max="6408" width="8.5" style="1" customWidth="1"/>
    <col min="6409" max="6409" width="1.125" style="1" customWidth="1"/>
    <col min="6410" max="6656" width="10.125" style="1"/>
    <col min="6657" max="6657" width="3.125" style="1" customWidth="1"/>
    <col min="6658" max="6658" width="30.5" style="1" customWidth="1"/>
    <col min="6659" max="6659" width="8.75" style="1" customWidth="1"/>
    <col min="6660" max="6660" width="1.5" style="1" customWidth="1"/>
    <col min="6661" max="6661" width="10" style="1" customWidth="1"/>
    <col min="6662" max="6662" width="6.125" style="1" customWidth="1"/>
    <col min="6663" max="6663" width="7.25" style="1" customWidth="1"/>
    <col min="6664" max="6664" width="8.5" style="1" customWidth="1"/>
    <col min="6665" max="6665" width="1.125" style="1" customWidth="1"/>
    <col min="6666" max="6912" width="10.125" style="1"/>
    <col min="6913" max="6913" width="3.125" style="1" customWidth="1"/>
    <col min="6914" max="6914" width="30.5" style="1" customWidth="1"/>
    <col min="6915" max="6915" width="8.75" style="1" customWidth="1"/>
    <col min="6916" max="6916" width="1.5" style="1" customWidth="1"/>
    <col min="6917" max="6917" width="10" style="1" customWidth="1"/>
    <col min="6918" max="6918" width="6.125" style="1" customWidth="1"/>
    <col min="6919" max="6919" width="7.25" style="1" customWidth="1"/>
    <col min="6920" max="6920" width="8.5" style="1" customWidth="1"/>
    <col min="6921" max="6921" width="1.125" style="1" customWidth="1"/>
    <col min="6922" max="7168" width="10.125" style="1"/>
    <col min="7169" max="7169" width="3.125" style="1" customWidth="1"/>
    <col min="7170" max="7170" width="30.5" style="1" customWidth="1"/>
    <col min="7171" max="7171" width="8.75" style="1" customWidth="1"/>
    <col min="7172" max="7172" width="1.5" style="1" customWidth="1"/>
    <col min="7173" max="7173" width="10" style="1" customWidth="1"/>
    <col min="7174" max="7174" width="6.125" style="1" customWidth="1"/>
    <col min="7175" max="7175" width="7.25" style="1" customWidth="1"/>
    <col min="7176" max="7176" width="8.5" style="1" customWidth="1"/>
    <col min="7177" max="7177" width="1.125" style="1" customWidth="1"/>
    <col min="7178" max="7424" width="10.125" style="1"/>
    <col min="7425" max="7425" width="3.125" style="1" customWidth="1"/>
    <col min="7426" max="7426" width="30.5" style="1" customWidth="1"/>
    <col min="7427" max="7427" width="8.75" style="1" customWidth="1"/>
    <col min="7428" max="7428" width="1.5" style="1" customWidth="1"/>
    <col min="7429" max="7429" width="10" style="1" customWidth="1"/>
    <col min="7430" max="7430" width="6.125" style="1" customWidth="1"/>
    <col min="7431" max="7431" width="7.25" style="1" customWidth="1"/>
    <col min="7432" max="7432" width="8.5" style="1" customWidth="1"/>
    <col min="7433" max="7433" width="1.125" style="1" customWidth="1"/>
    <col min="7434" max="7680" width="10.125" style="1"/>
    <col min="7681" max="7681" width="3.125" style="1" customWidth="1"/>
    <col min="7682" max="7682" width="30.5" style="1" customWidth="1"/>
    <col min="7683" max="7683" width="8.75" style="1" customWidth="1"/>
    <col min="7684" max="7684" width="1.5" style="1" customWidth="1"/>
    <col min="7685" max="7685" width="10" style="1" customWidth="1"/>
    <col min="7686" max="7686" width="6.125" style="1" customWidth="1"/>
    <col min="7687" max="7687" width="7.25" style="1" customWidth="1"/>
    <col min="7688" max="7688" width="8.5" style="1" customWidth="1"/>
    <col min="7689" max="7689" width="1.125" style="1" customWidth="1"/>
    <col min="7690" max="7936" width="10.125" style="1"/>
    <col min="7937" max="7937" width="3.125" style="1" customWidth="1"/>
    <col min="7938" max="7938" width="30.5" style="1" customWidth="1"/>
    <col min="7939" max="7939" width="8.75" style="1" customWidth="1"/>
    <col min="7940" max="7940" width="1.5" style="1" customWidth="1"/>
    <col min="7941" max="7941" width="10" style="1" customWidth="1"/>
    <col min="7942" max="7942" width="6.125" style="1" customWidth="1"/>
    <col min="7943" max="7943" width="7.25" style="1" customWidth="1"/>
    <col min="7944" max="7944" width="8.5" style="1" customWidth="1"/>
    <col min="7945" max="7945" width="1.125" style="1" customWidth="1"/>
    <col min="7946" max="8192" width="10.125" style="1"/>
    <col min="8193" max="8193" width="3.125" style="1" customWidth="1"/>
    <col min="8194" max="8194" width="30.5" style="1" customWidth="1"/>
    <col min="8195" max="8195" width="8.75" style="1" customWidth="1"/>
    <col min="8196" max="8196" width="1.5" style="1" customWidth="1"/>
    <col min="8197" max="8197" width="10" style="1" customWidth="1"/>
    <col min="8198" max="8198" width="6.125" style="1" customWidth="1"/>
    <col min="8199" max="8199" width="7.25" style="1" customWidth="1"/>
    <col min="8200" max="8200" width="8.5" style="1" customWidth="1"/>
    <col min="8201" max="8201" width="1.125" style="1" customWidth="1"/>
    <col min="8202" max="8448" width="10.125" style="1"/>
    <col min="8449" max="8449" width="3.125" style="1" customWidth="1"/>
    <col min="8450" max="8450" width="30.5" style="1" customWidth="1"/>
    <col min="8451" max="8451" width="8.75" style="1" customWidth="1"/>
    <col min="8452" max="8452" width="1.5" style="1" customWidth="1"/>
    <col min="8453" max="8453" width="10" style="1" customWidth="1"/>
    <col min="8454" max="8454" width="6.125" style="1" customWidth="1"/>
    <col min="8455" max="8455" width="7.25" style="1" customWidth="1"/>
    <col min="8456" max="8456" width="8.5" style="1" customWidth="1"/>
    <col min="8457" max="8457" width="1.125" style="1" customWidth="1"/>
    <col min="8458" max="8704" width="10.125" style="1"/>
    <col min="8705" max="8705" width="3.125" style="1" customWidth="1"/>
    <col min="8706" max="8706" width="30.5" style="1" customWidth="1"/>
    <col min="8707" max="8707" width="8.75" style="1" customWidth="1"/>
    <col min="8708" max="8708" width="1.5" style="1" customWidth="1"/>
    <col min="8709" max="8709" width="10" style="1" customWidth="1"/>
    <col min="8710" max="8710" width="6.125" style="1" customWidth="1"/>
    <col min="8711" max="8711" width="7.25" style="1" customWidth="1"/>
    <col min="8712" max="8712" width="8.5" style="1" customWidth="1"/>
    <col min="8713" max="8713" width="1.125" style="1" customWidth="1"/>
    <col min="8714" max="8960" width="10.125" style="1"/>
    <col min="8961" max="8961" width="3.125" style="1" customWidth="1"/>
    <col min="8962" max="8962" width="30.5" style="1" customWidth="1"/>
    <col min="8963" max="8963" width="8.75" style="1" customWidth="1"/>
    <col min="8964" max="8964" width="1.5" style="1" customWidth="1"/>
    <col min="8965" max="8965" width="10" style="1" customWidth="1"/>
    <col min="8966" max="8966" width="6.125" style="1" customWidth="1"/>
    <col min="8967" max="8967" width="7.25" style="1" customWidth="1"/>
    <col min="8968" max="8968" width="8.5" style="1" customWidth="1"/>
    <col min="8969" max="8969" width="1.125" style="1" customWidth="1"/>
    <col min="8970" max="9216" width="10.125" style="1"/>
    <col min="9217" max="9217" width="3.125" style="1" customWidth="1"/>
    <col min="9218" max="9218" width="30.5" style="1" customWidth="1"/>
    <col min="9219" max="9219" width="8.75" style="1" customWidth="1"/>
    <col min="9220" max="9220" width="1.5" style="1" customWidth="1"/>
    <col min="9221" max="9221" width="10" style="1" customWidth="1"/>
    <col min="9222" max="9222" width="6.125" style="1" customWidth="1"/>
    <col min="9223" max="9223" width="7.25" style="1" customWidth="1"/>
    <col min="9224" max="9224" width="8.5" style="1" customWidth="1"/>
    <col min="9225" max="9225" width="1.125" style="1" customWidth="1"/>
    <col min="9226" max="9472" width="10.125" style="1"/>
    <col min="9473" max="9473" width="3.125" style="1" customWidth="1"/>
    <col min="9474" max="9474" width="30.5" style="1" customWidth="1"/>
    <col min="9475" max="9475" width="8.75" style="1" customWidth="1"/>
    <col min="9476" max="9476" width="1.5" style="1" customWidth="1"/>
    <col min="9477" max="9477" width="10" style="1" customWidth="1"/>
    <col min="9478" max="9478" width="6.125" style="1" customWidth="1"/>
    <col min="9479" max="9479" width="7.25" style="1" customWidth="1"/>
    <col min="9480" max="9480" width="8.5" style="1" customWidth="1"/>
    <col min="9481" max="9481" width="1.125" style="1" customWidth="1"/>
    <col min="9482" max="9728" width="10.125" style="1"/>
    <col min="9729" max="9729" width="3.125" style="1" customWidth="1"/>
    <col min="9730" max="9730" width="30.5" style="1" customWidth="1"/>
    <col min="9731" max="9731" width="8.75" style="1" customWidth="1"/>
    <col min="9732" max="9732" width="1.5" style="1" customWidth="1"/>
    <col min="9733" max="9733" width="10" style="1" customWidth="1"/>
    <col min="9734" max="9734" width="6.125" style="1" customWidth="1"/>
    <col min="9735" max="9735" width="7.25" style="1" customWidth="1"/>
    <col min="9736" max="9736" width="8.5" style="1" customWidth="1"/>
    <col min="9737" max="9737" width="1.125" style="1" customWidth="1"/>
    <col min="9738" max="9984" width="10.125" style="1"/>
    <col min="9985" max="9985" width="3.125" style="1" customWidth="1"/>
    <col min="9986" max="9986" width="30.5" style="1" customWidth="1"/>
    <col min="9987" max="9987" width="8.75" style="1" customWidth="1"/>
    <col min="9988" max="9988" width="1.5" style="1" customWidth="1"/>
    <col min="9989" max="9989" width="10" style="1" customWidth="1"/>
    <col min="9990" max="9990" width="6.125" style="1" customWidth="1"/>
    <col min="9991" max="9991" width="7.25" style="1" customWidth="1"/>
    <col min="9992" max="9992" width="8.5" style="1" customWidth="1"/>
    <col min="9993" max="9993" width="1.125" style="1" customWidth="1"/>
    <col min="9994" max="10240" width="10.125" style="1"/>
    <col min="10241" max="10241" width="3.125" style="1" customWidth="1"/>
    <col min="10242" max="10242" width="30.5" style="1" customWidth="1"/>
    <col min="10243" max="10243" width="8.75" style="1" customWidth="1"/>
    <col min="10244" max="10244" width="1.5" style="1" customWidth="1"/>
    <col min="10245" max="10245" width="10" style="1" customWidth="1"/>
    <col min="10246" max="10246" width="6.125" style="1" customWidth="1"/>
    <col min="10247" max="10247" width="7.25" style="1" customWidth="1"/>
    <col min="10248" max="10248" width="8.5" style="1" customWidth="1"/>
    <col min="10249" max="10249" width="1.125" style="1" customWidth="1"/>
    <col min="10250" max="10496" width="10.125" style="1"/>
    <col min="10497" max="10497" width="3.125" style="1" customWidth="1"/>
    <col min="10498" max="10498" width="30.5" style="1" customWidth="1"/>
    <col min="10499" max="10499" width="8.75" style="1" customWidth="1"/>
    <col min="10500" max="10500" width="1.5" style="1" customWidth="1"/>
    <col min="10501" max="10501" width="10" style="1" customWidth="1"/>
    <col min="10502" max="10502" width="6.125" style="1" customWidth="1"/>
    <col min="10503" max="10503" width="7.25" style="1" customWidth="1"/>
    <col min="10504" max="10504" width="8.5" style="1" customWidth="1"/>
    <col min="10505" max="10505" width="1.125" style="1" customWidth="1"/>
    <col min="10506" max="10752" width="10.125" style="1"/>
    <col min="10753" max="10753" width="3.125" style="1" customWidth="1"/>
    <col min="10754" max="10754" width="30.5" style="1" customWidth="1"/>
    <col min="10755" max="10755" width="8.75" style="1" customWidth="1"/>
    <col min="10756" max="10756" width="1.5" style="1" customWidth="1"/>
    <col min="10757" max="10757" width="10" style="1" customWidth="1"/>
    <col min="10758" max="10758" width="6.125" style="1" customWidth="1"/>
    <col min="10759" max="10759" width="7.25" style="1" customWidth="1"/>
    <col min="10760" max="10760" width="8.5" style="1" customWidth="1"/>
    <col min="10761" max="10761" width="1.125" style="1" customWidth="1"/>
    <col min="10762" max="11008" width="10.125" style="1"/>
    <col min="11009" max="11009" width="3.125" style="1" customWidth="1"/>
    <col min="11010" max="11010" width="30.5" style="1" customWidth="1"/>
    <col min="11011" max="11011" width="8.75" style="1" customWidth="1"/>
    <col min="11012" max="11012" width="1.5" style="1" customWidth="1"/>
    <col min="11013" max="11013" width="10" style="1" customWidth="1"/>
    <col min="11014" max="11014" width="6.125" style="1" customWidth="1"/>
    <col min="11015" max="11015" width="7.25" style="1" customWidth="1"/>
    <col min="11016" max="11016" width="8.5" style="1" customWidth="1"/>
    <col min="11017" max="11017" width="1.125" style="1" customWidth="1"/>
    <col min="11018" max="11264" width="10.125" style="1"/>
    <col min="11265" max="11265" width="3.125" style="1" customWidth="1"/>
    <col min="11266" max="11266" width="30.5" style="1" customWidth="1"/>
    <col min="11267" max="11267" width="8.75" style="1" customWidth="1"/>
    <col min="11268" max="11268" width="1.5" style="1" customWidth="1"/>
    <col min="11269" max="11269" width="10" style="1" customWidth="1"/>
    <col min="11270" max="11270" width="6.125" style="1" customWidth="1"/>
    <col min="11271" max="11271" width="7.25" style="1" customWidth="1"/>
    <col min="11272" max="11272" width="8.5" style="1" customWidth="1"/>
    <col min="11273" max="11273" width="1.125" style="1" customWidth="1"/>
    <col min="11274" max="11520" width="10.125" style="1"/>
    <col min="11521" max="11521" width="3.125" style="1" customWidth="1"/>
    <col min="11522" max="11522" width="30.5" style="1" customWidth="1"/>
    <col min="11523" max="11523" width="8.75" style="1" customWidth="1"/>
    <col min="11524" max="11524" width="1.5" style="1" customWidth="1"/>
    <col min="11525" max="11525" width="10" style="1" customWidth="1"/>
    <col min="11526" max="11526" width="6.125" style="1" customWidth="1"/>
    <col min="11527" max="11527" width="7.25" style="1" customWidth="1"/>
    <col min="11528" max="11528" width="8.5" style="1" customWidth="1"/>
    <col min="11529" max="11529" width="1.125" style="1" customWidth="1"/>
    <col min="11530" max="11776" width="10.125" style="1"/>
    <col min="11777" max="11777" width="3.125" style="1" customWidth="1"/>
    <col min="11778" max="11778" width="30.5" style="1" customWidth="1"/>
    <col min="11779" max="11779" width="8.75" style="1" customWidth="1"/>
    <col min="11780" max="11780" width="1.5" style="1" customWidth="1"/>
    <col min="11781" max="11781" width="10" style="1" customWidth="1"/>
    <col min="11782" max="11782" width="6.125" style="1" customWidth="1"/>
    <col min="11783" max="11783" width="7.25" style="1" customWidth="1"/>
    <col min="11784" max="11784" width="8.5" style="1" customWidth="1"/>
    <col min="11785" max="11785" width="1.125" style="1" customWidth="1"/>
    <col min="11786" max="12032" width="10.125" style="1"/>
    <col min="12033" max="12033" width="3.125" style="1" customWidth="1"/>
    <col min="12034" max="12034" width="30.5" style="1" customWidth="1"/>
    <col min="12035" max="12035" width="8.75" style="1" customWidth="1"/>
    <col min="12036" max="12036" width="1.5" style="1" customWidth="1"/>
    <col min="12037" max="12037" width="10" style="1" customWidth="1"/>
    <col min="12038" max="12038" width="6.125" style="1" customWidth="1"/>
    <col min="12039" max="12039" width="7.25" style="1" customWidth="1"/>
    <col min="12040" max="12040" width="8.5" style="1" customWidth="1"/>
    <col min="12041" max="12041" width="1.125" style="1" customWidth="1"/>
    <col min="12042" max="12288" width="10.125" style="1"/>
    <col min="12289" max="12289" width="3.125" style="1" customWidth="1"/>
    <col min="12290" max="12290" width="30.5" style="1" customWidth="1"/>
    <col min="12291" max="12291" width="8.75" style="1" customWidth="1"/>
    <col min="12292" max="12292" width="1.5" style="1" customWidth="1"/>
    <col min="12293" max="12293" width="10" style="1" customWidth="1"/>
    <col min="12294" max="12294" width="6.125" style="1" customWidth="1"/>
    <col min="12295" max="12295" width="7.25" style="1" customWidth="1"/>
    <col min="12296" max="12296" width="8.5" style="1" customWidth="1"/>
    <col min="12297" max="12297" width="1.125" style="1" customWidth="1"/>
    <col min="12298" max="12544" width="10.125" style="1"/>
    <col min="12545" max="12545" width="3.125" style="1" customWidth="1"/>
    <col min="12546" max="12546" width="30.5" style="1" customWidth="1"/>
    <col min="12547" max="12547" width="8.75" style="1" customWidth="1"/>
    <col min="12548" max="12548" width="1.5" style="1" customWidth="1"/>
    <col min="12549" max="12549" width="10" style="1" customWidth="1"/>
    <col min="12550" max="12550" width="6.125" style="1" customWidth="1"/>
    <col min="12551" max="12551" width="7.25" style="1" customWidth="1"/>
    <col min="12552" max="12552" width="8.5" style="1" customWidth="1"/>
    <col min="12553" max="12553" width="1.125" style="1" customWidth="1"/>
    <col min="12554" max="12800" width="10.125" style="1"/>
    <col min="12801" max="12801" width="3.125" style="1" customWidth="1"/>
    <col min="12802" max="12802" width="30.5" style="1" customWidth="1"/>
    <col min="12803" max="12803" width="8.75" style="1" customWidth="1"/>
    <col min="12804" max="12804" width="1.5" style="1" customWidth="1"/>
    <col min="12805" max="12805" width="10" style="1" customWidth="1"/>
    <col min="12806" max="12806" width="6.125" style="1" customWidth="1"/>
    <col min="12807" max="12807" width="7.25" style="1" customWidth="1"/>
    <col min="12808" max="12808" width="8.5" style="1" customWidth="1"/>
    <col min="12809" max="12809" width="1.125" style="1" customWidth="1"/>
    <col min="12810" max="13056" width="10.125" style="1"/>
    <col min="13057" max="13057" width="3.125" style="1" customWidth="1"/>
    <col min="13058" max="13058" width="30.5" style="1" customWidth="1"/>
    <col min="13059" max="13059" width="8.75" style="1" customWidth="1"/>
    <col min="13060" max="13060" width="1.5" style="1" customWidth="1"/>
    <col min="13061" max="13061" width="10" style="1" customWidth="1"/>
    <col min="13062" max="13062" width="6.125" style="1" customWidth="1"/>
    <col min="13063" max="13063" width="7.25" style="1" customWidth="1"/>
    <col min="13064" max="13064" width="8.5" style="1" customWidth="1"/>
    <col min="13065" max="13065" width="1.125" style="1" customWidth="1"/>
    <col min="13066" max="13312" width="10.125" style="1"/>
    <col min="13313" max="13313" width="3.125" style="1" customWidth="1"/>
    <col min="13314" max="13314" width="30.5" style="1" customWidth="1"/>
    <col min="13315" max="13315" width="8.75" style="1" customWidth="1"/>
    <col min="13316" max="13316" width="1.5" style="1" customWidth="1"/>
    <col min="13317" max="13317" width="10" style="1" customWidth="1"/>
    <col min="13318" max="13318" width="6.125" style="1" customWidth="1"/>
    <col min="13319" max="13319" width="7.25" style="1" customWidth="1"/>
    <col min="13320" max="13320" width="8.5" style="1" customWidth="1"/>
    <col min="13321" max="13321" width="1.125" style="1" customWidth="1"/>
    <col min="13322" max="13568" width="10.125" style="1"/>
    <col min="13569" max="13569" width="3.125" style="1" customWidth="1"/>
    <col min="13570" max="13570" width="30.5" style="1" customWidth="1"/>
    <col min="13571" max="13571" width="8.75" style="1" customWidth="1"/>
    <col min="13572" max="13572" width="1.5" style="1" customWidth="1"/>
    <col min="13573" max="13573" width="10" style="1" customWidth="1"/>
    <col min="13574" max="13574" width="6.125" style="1" customWidth="1"/>
    <col min="13575" max="13575" width="7.25" style="1" customWidth="1"/>
    <col min="13576" max="13576" width="8.5" style="1" customWidth="1"/>
    <col min="13577" max="13577" width="1.125" style="1" customWidth="1"/>
    <col min="13578" max="13824" width="10.125" style="1"/>
    <col min="13825" max="13825" width="3.125" style="1" customWidth="1"/>
    <col min="13826" max="13826" width="30.5" style="1" customWidth="1"/>
    <col min="13827" max="13827" width="8.75" style="1" customWidth="1"/>
    <col min="13828" max="13828" width="1.5" style="1" customWidth="1"/>
    <col min="13829" max="13829" width="10" style="1" customWidth="1"/>
    <col min="13830" max="13830" width="6.125" style="1" customWidth="1"/>
    <col min="13831" max="13831" width="7.25" style="1" customWidth="1"/>
    <col min="13832" max="13832" width="8.5" style="1" customWidth="1"/>
    <col min="13833" max="13833" width="1.125" style="1" customWidth="1"/>
    <col min="13834" max="14080" width="10.125" style="1"/>
    <col min="14081" max="14081" width="3.125" style="1" customWidth="1"/>
    <col min="14082" max="14082" width="30.5" style="1" customWidth="1"/>
    <col min="14083" max="14083" width="8.75" style="1" customWidth="1"/>
    <col min="14084" max="14084" width="1.5" style="1" customWidth="1"/>
    <col min="14085" max="14085" width="10" style="1" customWidth="1"/>
    <col min="14086" max="14086" width="6.125" style="1" customWidth="1"/>
    <col min="14087" max="14087" width="7.25" style="1" customWidth="1"/>
    <col min="14088" max="14088" width="8.5" style="1" customWidth="1"/>
    <col min="14089" max="14089" width="1.125" style="1" customWidth="1"/>
    <col min="14090" max="14336" width="10.125" style="1"/>
    <col min="14337" max="14337" width="3.125" style="1" customWidth="1"/>
    <col min="14338" max="14338" width="30.5" style="1" customWidth="1"/>
    <col min="14339" max="14339" width="8.75" style="1" customWidth="1"/>
    <col min="14340" max="14340" width="1.5" style="1" customWidth="1"/>
    <col min="14341" max="14341" width="10" style="1" customWidth="1"/>
    <col min="14342" max="14342" width="6.125" style="1" customWidth="1"/>
    <col min="14343" max="14343" width="7.25" style="1" customWidth="1"/>
    <col min="14344" max="14344" width="8.5" style="1" customWidth="1"/>
    <col min="14345" max="14345" width="1.125" style="1" customWidth="1"/>
    <col min="14346" max="14592" width="10.125" style="1"/>
    <col min="14593" max="14593" width="3.125" style="1" customWidth="1"/>
    <col min="14594" max="14594" width="30.5" style="1" customWidth="1"/>
    <col min="14595" max="14595" width="8.75" style="1" customWidth="1"/>
    <col min="14596" max="14596" width="1.5" style="1" customWidth="1"/>
    <col min="14597" max="14597" width="10" style="1" customWidth="1"/>
    <col min="14598" max="14598" width="6.125" style="1" customWidth="1"/>
    <col min="14599" max="14599" width="7.25" style="1" customWidth="1"/>
    <col min="14600" max="14600" width="8.5" style="1" customWidth="1"/>
    <col min="14601" max="14601" width="1.125" style="1" customWidth="1"/>
    <col min="14602" max="14848" width="10.125" style="1"/>
    <col min="14849" max="14849" width="3.125" style="1" customWidth="1"/>
    <col min="14850" max="14850" width="30.5" style="1" customWidth="1"/>
    <col min="14851" max="14851" width="8.75" style="1" customWidth="1"/>
    <col min="14852" max="14852" width="1.5" style="1" customWidth="1"/>
    <col min="14853" max="14853" width="10" style="1" customWidth="1"/>
    <col min="14854" max="14854" width="6.125" style="1" customWidth="1"/>
    <col min="14855" max="14855" width="7.25" style="1" customWidth="1"/>
    <col min="14856" max="14856" width="8.5" style="1" customWidth="1"/>
    <col min="14857" max="14857" width="1.125" style="1" customWidth="1"/>
    <col min="14858" max="15104" width="10.125" style="1"/>
    <col min="15105" max="15105" width="3.125" style="1" customWidth="1"/>
    <col min="15106" max="15106" width="30.5" style="1" customWidth="1"/>
    <col min="15107" max="15107" width="8.75" style="1" customWidth="1"/>
    <col min="15108" max="15108" width="1.5" style="1" customWidth="1"/>
    <col min="15109" max="15109" width="10" style="1" customWidth="1"/>
    <col min="15110" max="15110" width="6.125" style="1" customWidth="1"/>
    <col min="15111" max="15111" width="7.25" style="1" customWidth="1"/>
    <col min="15112" max="15112" width="8.5" style="1" customWidth="1"/>
    <col min="15113" max="15113" width="1.125" style="1" customWidth="1"/>
    <col min="15114" max="15360" width="10.125" style="1"/>
    <col min="15361" max="15361" width="3.125" style="1" customWidth="1"/>
    <col min="15362" max="15362" width="30.5" style="1" customWidth="1"/>
    <col min="15363" max="15363" width="8.75" style="1" customWidth="1"/>
    <col min="15364" max="15364" width="1.5" style="1" customWidth="1"/>
    <col min="15365" max="15365" width="10" style="1" customWidth="1"/>
    <col min="15366" max="15366" width="6.125" style="1" customWidth="1"/>
    <col min="15367" max="15367" width="7.25" style="1" customWidth="1"/>
    <col min="15368" max="15368" width="8.5" style="1" customWidth="1"/>
    <col min="15369" max="15369" width="1.125" style="1" customWidth="1"/>
    <col min="15370" max="15616" width="10.125" style="1"/>
    <col min="15617" max="15617" width="3.125" style="1" customWidth="1"/>
    <col min="15618" max="15618" width="30.5" style="1" customWidth="1"/>
    <col min="15619" max="15619" width="8.75" style="1" customWidth="1"/>
    <col min="15620" max="15620" width="1.5" style="1" customWidth="1"/>
    <col min="15621" max="15621" width="10" style="1" customWidth="1"/>
    <col min="15622" max="15622" width="6.125" style="1" customWidth="1"/>
    <col min="15623" max="15623" width="7.25" style="1" customWidth="1"/>
    <col min="15624" max="15624" width="8.5" style="1" customWidth="1"/>
    <col min="15625" max="15625" width="1.125" style="1" customWidth="1"/>
    <col min="15626" max="15872" width="10.125" style="1"/>
    <col min="15873" max="15873" width="3.125" style="1" customWidth="1"/>
    <col min="15874" max="15874" width="30.5" style="1" customWidth="1"/>
    <col min="15875" max="15875" width="8.75" style="1" customWidth="1"/>
    <col min="15876" max="15876" width="1.5" style="1" customWidth="1"/>
    <col min="15877" max="15877" width="10" style="1" customWidth="1"/>
    <col min="15878" max="15878" width="6.125" style="1" customWidth="1"/>
    <col min="15879" max="15879" width="7.25" style="1" customWidth="1"/>
    <col min="15880" max="15880" width="8.5" style="1" customWidth="1"/>
    <col min="15881" max="15881" width="1.125" style="1" customWidth="1"/>
    <col min="15882" max="16128" width="10.125" style="1"/>
    <col min="16129" max="16129" width="3.125" style="1" customWidth="1"/>
    <col min="16130" max="16130" width="30.5" style="1" customWidth="1"/>
    <col min="16131" max="16131" width="8.75" style="1" customWidth="1"/>
    <col min="16132" max="16132" width="1.5" style="1" customWidth="1"/>
    <col min="16133" max="16133" width="10" style="1" customWidth="1"/>
    <col min="16134" max="16134" width="6.125" style="1" customWidth="1"/>
    <col min="16135" max="16135" width="7.25" style="1" customWidth="1"/>
    <col min="16136" max="16136" width="8.5" style="1" customWidth="1"/>
    <col min="16137" max="16137" width="1.125" style="1" customWidth="1"/>
    <col min="16138" max="16384" width="10.125" style="1"/>
  </cols>
  <sheetData>
    <row r="5" spans="1:19" x14ac:dyDescent="0.25">
      <c r="A5" s="4" t="s">
        <v>0</v>
      </c>
      <c r="B5" s="5"/>
      <c r="C5" s="5"/>
    </row>
    <row r="6" spans="1:19" ht="9" customHeight="1" x14ac:dyDescent="0.25">
      <c r="A6" s="4"/>
      <c r="B6" s="5"/>
      <c r="C6" s="5"/>
    </row>
    <row r="7" spans="1:19" s="7" customFormat="1" ht="15" x14ac:dyDescent="0.25">
      <c r="A7" s="7" t="s">
        <v>1</v>
      </c>
      <c r="B7" s="8"/>
      <c r="D7" s="9"/>
      <c r="E7" s="131" t="s">
        <v>2</v>
      </c>
      <c r="F7" s="132"/>
      <c r="G7" s="133">
        <v>45540</v>
      </c>
      <c r="H7" s="134"/>
    </row>
    <row r="8" spans="1:19" s="7" customFormat="1" ht="15" x14ac:dyDescent="0.25">
      <c r="A8" s="7" t="s">
        <v>53</v>
      </c>
      <c r="B8" s="8"/>
      <c r="D8" s="9"/>
      <c r="E8" s="135" t="s">
        <v>3</v>
      </c>
      <c r="F8" s="136"/>
      <c r="H8" s="11">
        <v>60431</v>
      </c>
    </row>
    <row r="9" spans="1:19" s="7" customFormat="1" ht="15" x14ac:dyDescent="0.25">
      <c r="A9" s="7" t="s">
        <v>54</v>
      </c>
      <c r="B9" s="8"/>
      <c r="D9" s="9"/>
      <c r="E9" s="135" t="s">
        <v>4</v>
      </c>
      <c r="F9" s="136"/>
      <c r="G9" s="137" t="s">
        <v>96</v>
      </c>
      <c r="H9" s="138"/>
    </row>
    <row r="10" spans="1:19" s="7" customFormat="1" ht="15" x14ac:dyDescent="0.25">
      <c r="B10" s="8"/>
      <c r="D10" s="9"/>
      <c r="E10" s="13" t="s">
        <v>5</v>
      </c>
      <c r="F10" s="14"/>
      <c r="G10" s="139" t="s">
        <v>32</v>
      </c>
      <c r="H10" s="140"/>
      <c r="L10" s="7">
        <v>34</v>
      </c>
      <c r="M10" s="7" t="s">
        <v>33</v>
      </c>
      <c r="N10" s="44"/>
      <c r="O10" s="45"/>
      <c r="P10" s="46"/>
      <c r="R10" s="47"/>
      <c r="S10" s="28"/>
    </row>
    <row r="11" spans="1:19" s="7" customFormat="1" ht="15" x14ac:dyDescent="0.25">
      <c r="A11" s="15" t="s">
        <v>55</v>
      </c>
      <c r="B11" s="8"/>
      <c r="D11" s="9"/>
      <c r="E11" s="10" t="s">
        <v>6</v>
      </c>
      <c r="F11" s="125" t="s">
        <v>7</v>
      </c>
      <c r="G11" s="125"/>
      <c r="H11" s="126"/>
      <c r="M11" s="7" t="s">
        <v>34</v>
      </c>
      <c r="O11" s="45"/>
    </row>
    <row r="12" spans="1:19" s="7" customFormat="1" ht="15" x14ac:dyDescent="0.25">
      <c r="A12" s="15"/>
      <c r="B12" s="8"/>
      <c r="D12" s="9"/>
      <c r="E12" s="13" t="s">
        <v>8</v>
      </c>
      <c r="F12" s="127" t="s">
        <v>9</v>
      </c>
      <c r="G12" s="127"/>
      <c r="H12" s="128"/>
      <c r="M12" s="48" t="s">
        <v>35</v>
      </c>
      <c r="P12" s="49">
        <v>50</v>
      </c>
      <c r="Q12" s="47" t="s">
        <v>36</v>
      </c>
      <c r="R12" s="50">
        <v>0.5</v>
      </c>
      <c r="S12" s="28">
        <f>+R12*P12</f>
        <v>25</v>
      </c>
    </row>
    <row r="13" spans="1:19" s="7" customFormat="1" ht="15" x14ac:dyDescent="0.25">
      <c r="A13" s="15"/>
      <c r="B13" s="8"/>
      <c r="D13" s="9"/>
      <c r="E13" s="17"/>
      <c r="F13" s="51"/>
      <c r="G13" s="51"/>
      <c r="H13" s="51"/>
      <c r="M13" s="7" t="s">
        <v>37</v>
      </c>
      <c r="P13" s="49"/>
      <c r="Q13" s="47"/>
      <c r="R13" s="50"/>
      <c r="S13" s="28"/>
    </row>
    <row r="14" spans="1:19" s="7" customFormat="1" ht="15" x14ac:dyDescent="0.25">
      <c r="A14" s="15"/>
      <c r="B14" s="8"/>
      <c r="D14" s="9"/>
      <c r="E14" s="17"/>
      <c r="F14" s="51"/>
      <c r="G14" s="51"/>
      <c r="H14" s="51"/>
    </row>
    <row r="15" spans="1:19" s="7" customFormat="1" ht="15" x14ac:dyDescent="0.25">
      <c r="A15" s="15"/>
      <c r="B15" s="8"/>
      <c r="D15" s="9"/>
      <c r="E15" s="17"/>
      <c r="F15" s="51"/>
      <c r="G15" s="51"/>
      <c r="H15" s="51"/>
    </row>
    <row r="16" spans="1:19" s="15" customFormat="1" ht="14.25" x14ac:dyDescent="0.2">
      <c r="A16" s="129" t="s">
        <v>10</v>
      </c>
      <c r="B16" s="129"/>
      <c r="C16" s="129"/>
      <c r="D16" s="129"/>
      <c r="E16" s="129"/>
      <c r="F16" s="129"/>
      <c r="G16" s="129"/>
      <c r="H16" s="129"/>
    </row>
    <row r="17" spans="1:8" s="15" customFormat="1" ht="14.25" x14ac:dyDescent="0.2">
      <c r="A17" s="19"/>
      <c r="B17" s="19"/>
      <c r="C17" s="19"/>
      <c r="D17" s="19"/>
      <c r="E17" s="19"/>
      <c r="F17" s="19"/>
      <c r="G17" s="19"/>
      <c r="H17" s="19"/>
    </row>
    <row r="18" spans="1:8" s="15" customFormat="1" ht="14.25" x14ac:dyDescent="0.2">
      <c r="A18" s="19"/>
      <c r="B18" s="19"/>
      <c r="C18" s="19"/>
      <c r="D18" s="19"/>
      <c r="E18" s="19"/>
      <c r="F18" s="19"/>
      <c r="G18" s="19"/>
      <c r="H18" s="19"/>
    </row>
    <row r="19" spans="1:8" s="7" customFormat="1" ht="15" x14ac:dyDescent="0.25">
      <c r="A19" s="7" t="s">
        <v>38</v>
      </c>
      <c r="B19" s="8"/>
      <c r="D19" s="9"/>
      <c r="E19" s="17"/>
      <c r="F19" s="9"/>
      <c r="G19" s="18"/>
    </row>
    <row r="20" spans="1:8" s="7" customFormat="1" ht="15" x14ac:dyDescent="0.25">
      <c r="A20" s="7" t="s">
        <v>39</v>
      </c>
      <c r="B20" s="8"/>
      <c r="D20" s="9"/>
      <c r="E20" s="17"/>
      <c r="F20" s="9"/>
      <c r="G20" s="18"/>
    </row>
    <row r="21" spans="1:8" s="7" customFormat="1" ht="9" customHeight="1" x14ac:dyDescent="0.25">
      <c r="D21" s="9"/>
      <c r="E21" s="17"/>
      <c r="F21" s="18"/>
    </row>
    <row r="22" spans="1:8" s="7" customFormat="1" ht="15" x14ac:dyDescent="0.25">
      <c r="A22" s="20" t="s">
        <v>13</v>
      </c>
      <c r="B22" s="21"/>
      <c r="C22" s="20"/>
      <c r="D22" s="9"/>
      <c r="E22" s="9" t="s">
        <v>40</v>
      </c>
      <c r="F22" s="17" t="s">
        <v>15</v>
      </c>
      <c r="G22" s="9" t="s">
        <v>41</v>
      </c>
      <c r="H22" s="17" t="s">
        <v>17</v>
      </c>
    </row>
    <row r="23" spans="1:8" s="7" customFormat="1" ht="15" x14ac:dyDescent="0.25">
      <c r="A23" s="23" t="s">
        <v>18</v>
      </c>
      <c r="B23" s="23"/>
      <c r="C23" s="22" t="s">
        <v>42</v>
      </c>
      <c r="D23" s="24"/>
      <c r="E23" s="24" t="s">
        <v>43</v>
      </c>
      <c r="F23" s="16"/>
      <c r="G23" s="24" t="s">
        <v>44</v>
      </c>
      <c r="H23" s="14"/>
    </row>
    <row r="24" spans="1:8" s="7" customFormat="1" ht="15" x14ac:dyDescent="0.25">
      <c r="A24" s="7">
        <v>34</v>
      </c>
      <c r="B24" s="7" t="s">
        <v>91</v>
      </c>
      <c r="C24" s="44">
        <v>45379</v>
      </c>
      <c r="D24" s="45"/>
      <c r="E24" s="26"/>
      <c r="F24" s="28"/>
      <c r="G24" s="47"/>
      <c r="H24" s="28"/>
    </row>
    <row r="25" spans="1:8" s="7" customFormat="1" ht="15" x14ac:dyDescent="0.25">
      <c r="A25" s="52" t="s">
        <v>45</v>
      </c>
      <c r="B25" s="53" t="s">
        <v>46</v>
      </c>
      <c r="C25" s="44"/>
      <c r="D25" s="45"/>
      <c r="E25" s="54">
        <v>18</v>
      </c>
      <c r="F25" s="28"/>
      <c r="G25" s="47">
        <v>2</v>
      </c>
      <c r="H25" s="28">
        <f>+G25*E25</f>
        <v>36</v>
      </c>
    </row>
    <row r="26" spans="1:8" s="7" customFormat="1" ht="15" x14ac:dyDescent="0.25">
      <c r="A26" s="12" t="s">
        <v>45</v>
      </c>
      <c r="B26" s="53" t="s">
        <v>47</v>
      </c>
      <c r="C26" s="44"/>
      <c r="D26" s="45"/>
      <c r="E26" s="54">
        <v>28</v>
      </c>
      <c r="F26" s="28"/>
      <c r="G26" s="47">
        <v>2</v>
      </c>
      <c r="H26" s="28">
        <f>+G26*E26</f>
        <v>56</v>
      </c>
    </row>
    <row r="27" spans="1:8" s="7" customFormat="1" ht="5.25" customHeight="1" x14ac:dyDescent="0.25">
      <c r="B27" s="55"/>
      <c r="C27" s="44"/>
      <c r="E27" s="40"/>
      <c r="F27" s="26"/>
      <c r="G27" s="17"/>
      <c r="H27" s="41"/>
    </row>
    <row r="28" spans="1:8" s="7" customFormat="1" ht="15" x14ac:dyDescent="0.25">
      <c r="A28" s="7">
        <v>34</v>
      </c>
      <c r="B28" s="7" t="s">
        <v>92</v>
      </c>
      <c r="C28" s="44">
        <v>45401</v>
      </c>
      <c r="D28" s="45"/>
      <c r="E28" s="26"/>
      <c r="F28" s="28"/>
      <c r="G28" s="47"/>
      <c r="H28" s="28"/>
    </row>
    <row r="29" spans="1:8" s="7" customFormat="1" ht="15" x14ac:dyDescent="0.25">
      <c r="A29" s="12" t="s">
        <v>45</v>
      </c>
      <c r="B29" s="53" t="s">
        <v>47</v>
      </c>
      <c r="C29" s="44"/>
      <c r="D29" s="45"/>
      <c r="E29" s="54">
        <v>28</v>
      </c>
      <c r="F29" s="28"/>
      <c r="G29" s="47">
        <v>2</v>
      </c>
      <c r="H29" s="28">
        <f>+G29*E29</f>
        <v>56</v>
      </c>
    </row>
    <row r="30" spans="1:8" s="7" customFormat="1" ht="5.25" customHeight="1" x14ac:dyDescent="0.25">
      <c r="A30" s="12"/>
      <c r="B30" s="53"/>
      <c r="C30" s="44"/>
      <c r="D30" s="45"/>
      <c r="E30" s="54"/>
      <c r="F30" s="28"/>
      <c r="G30" s="47"/>
      <c r="H30" s="28"/>
    </row>
    <row r="31" spans="1:8" s="7" customFormat="1" ht="15" x14ac:dyDescent="0.25">
      <c r="A31" s="7">
        <v>34</v>
      </c>
      <c r="B31" s="7" t="s">
        <v>93</v>
      </c>
      <c r="C31" s="44">
        <v>45434</v>
      </c>
      <c r="D31" s="45"/>
      <c r="E31" s="26"/>
      <c r="F31" s="28"/>
      <c r="G31" s="47"/>
      <c r="H31" s="28"/>
    </row>
    <row r="32" spans="1:8" s="7" customFormat="1" ht="15" x14ac:dyDescent="0.25">
      <c r="A32" s="12" t="s">
        <v>45</v>
      </c>
      <c r="B32" s="53" t="s">
        <v>47</v>
      </c>
      <c r="C32" s="44"/>
      <c r="D32" s="45"/>
      <c r="E32" s="54">
        <v>28</v>
      </c>
      <c r="F32" s="28"/>
      <c r="G32" s="47">
        <v>2</v>
      </c>
      <c r="H32" s="28">
        <f>+G32*E32</f>
        <v>56</v>
      </c>
    </row>
    <row r="33" spans="1:10" s="7" customFormat="1" ht="5.25" customHeight="1" x14ac:dyDescent="0.25">
      <c r="A33" s="12"/>
      <c r="B33" s="53"/>
      <c r="C33" s="44"/>
      <c r="D33" s="45"/>
      <c r="E33" s="54"/>
      <c r="F33" s="28"/>
      <c r="G33" s="47"/>
      <c r="H33" s="28"/>
    </row>
    <row r="34" spans="1:10" s="7" customFormat="1" ht="15" x14ac:dyDescent="0.25">
      <c r="A34" s="7">
        <v>34</v>
      </c>
      <c r="B34" s="7" t="s">
        <v>94</v>
      </c>
      <c r="C34" s="44">
        <v>45461</v>
      </c>
      <c r="D34" s="45"/>
      <c r="E34" s="26"/>
      <c r="F34" s="28"/>
      <c r="G34" s="47"/>
      <c r="H34" s="28"/>
    </row>
    <row r="35" spans="1:10" s="7" customFormat="1" ht="15" x14ac:dyDescent="0.25">
      <c r="A35" s="12" t="s">
        <v>45</v>
      </c>
      <c r="B35" s="53" t="s">
        <v>47</v>
      </c>
      <c r="C35" s="44"/>
      <c r="D35" s="45"/>
      <c r="E35" s="54">
        <v>28</v>
      </c>
      <c r="F35" s="28"/>
      <c r="G35" s="47">
        <v>2</v>
      </c>
      <c r="H35" s="28">
        <f>+G35*E35</f>
        <v>56</v>
      </c>
    </row>
    <row r="36" spans="1:10" s="7" customFormat="1" ht="5.25" customHeight="1" x14ac:dyDescent="0.25">
      <c r="A36" s="12"/>
      <c r="B36" s="53"/>
      <c r="C36" s="44"/>
      <c r="D36" s="45"/>
      <c r="E36" s="54"/>
      <c r="F36" s="28"/>
      <c r="G36" s="47"/>
      <c r="H36" s="28"/>
    </row>
    <row r="37" spans="1:10" s="7" customFormat="1" ht="5.25" customHeight="1" x14ac:dyDescent="0.25">
      <c r="A37" s="12"/>
      <c r="B37" s="53"/>
      <c r="C37" s="44"/>
      <c r="D37" s="45"/>
      <c r="E37" s="54"/>
      <c r="F37" s="28"/>
      <c r="G37" s="47"/>
      <c r="H37" s="28"/>
    </row>
    <row r="38" spans="1:10" s="7" customFormat="1" ht="15" x14ac:dyDescent="0.25">
      <c r="A38" s="7">
        <v>16</v>
      </c>
      <c r="B38" s="7" t="s">
        <v>23</v>
      </c>
      <c r="C38" s="56" t="s">
        <v>95</v>
      </c>
      <c r="E38" s="41">
        <f>SUM(H24:H37)</f>
        <v>260</v>
      </c>
      <c r="F38" s="26"/>
      <c r="G38" s="17">
        <f>+E38*0.2</f>
        <v>52</v>
      </c>
      <c r="H38" s="41">
        <f>+G38</f>
        <v>52</v>
      </c>
    </row>
    <row r="39" spans="1:10" s="7" customFormat="1" ht="15" x14ac:dyDescent="0.25">
      <c r="A39" s="23"/>
      <c r="B39" s="23" t="s">
        <v>24</v>
      </c>
      <c r="C39" s="23"/>
      <c r="D39" s="23"/>
      <c r="E39" s="24"/>
      <c r="F39" s="16"/>
      <c r="G39" s="57"/>
      <c r="H39" s="58"/>
    </row>
    <row r="40" spans="1:10" s="7" customFormat="1" ht="15.75" customHeight="1" x14ac:dyDescent="0.25">
      <c r="D40" s="9"/>
      <c r="E40" s="7" t="s">
        <v>25</v>
      </c>
      <c r="F40" s="9"/>
      <c r="G40" s="12"/>
      <c r="H40" s="41">
        <f>SUM(H24:H39)</f>
        <v>312</v>
      </c>
      <c r="J40" s="59"/>
    </row>
    <row r="41" spans="1:10" s="7" customFormat="1" ht="15.75" customHeight="1" x14ac:dyDescent="0.25">
      <c r="D41" s="9"/>
      <c r="E41" s="7" t="s">
        <v>26</v>
      </c>
      <c r="F41" s="9"/>
      <c r="H41" s="41">
        <f>+H40*0.19</f>
        <v>59.28</v>
      </c>
    </row>
    <row r="42" spans="1:10" s="7" customFormat="1" thickBot="1" x14ac:dyDescent="0.3">
      <c r="D42" s="9"/>
      <c r="E42" s="34" t="s">
        <v>27</v>
      </c>
      <c r="F42" s="35"/>
      <c r="G42" s="60"/>
      <c r="H42" s="61">
        <f>SUM(H40:H41)</f>
        <v>371.28</v>
      </c>
    </row>
    <row r="43" spans="1:10" s="7" customFormat="1" ht="7.5" customHeight="1" thickTop="1" x14ac:dyDescent="0.25">
      <c r="D43" s="9"/>
      <c r="E43" s="38"/>
      <c r="F43" s="17"/>
      <c r="G43" s="9"/>
      <c r="H43" s="41"/>
    </row>
    <row r="44" spans="1:10" s="7" customFormat="1" ht="15" x14ac:dyDescent="0.25">
      <c r="A44" s="7" t="s">
        <v>48</v>
      </c>
      <c r="B44" s="8"/>
      <c r="D44" s="9"/>
      <c r="E44" s="17"/>
      <c r="F44" s="18"/>
    </row>
    <row r="45" spans="1:10" s="7" customFormat="1" ht="15" x14ac:dyDescent="0.25">
      <c r="D45" s="9"/>
      <c r="E45" s="17"/>
      <c r="F45" s="18"/>
    </row>
    <row r="46" spans="1:10" s="7" customFormat="1" ht="15" x14ac:dyDescent="0.25">
      <c r="D46" s="9"/>
      <c r="E46" s="17"/>
      <c r="F46" s="18"/>
    </row>
    <row r="47" spans="1:10" ht="14.25" customHeight="1" x14ac:dyDescent="0.25"/>
    <row r="48" spans="1:10" x14ac:dyDescent="0.25">
      <c r="B48" s="23"/>
    </row>
    <row r="50" spans="1:8" x14ac:dyDescent="0.25">
      <c r="D50" s="1"/>
      <c r="E50" s="1"/>
      <c r="F50" s="1"/>
    </row>
    <row r="51" spans="1:8" x14ac:dyDescent="0.25">
      <c r="D51" s="1"/>
      <c r="E51" s="1"/>
      <c r="F51" s="1"/>
    </row>
    <row r="52" spans="1:8" x14ac:dyDescent="0.25">
      <c r="A52" s="142" t="s">
        <v>98</v>
      </c>
      <c r="B52" s="142"/>
      <c r="C52" s="142"/>
      <c r="D52" s="142"/>
      <c r="E52" s="142"/>
      <c r="F52" s="142"/>
      <c r="G52" s="142"/>
      <c r="H52" s="142"/>
    </row>
  </sheetData>
  <mergeCells count="10">
    <mergeCell ref="F11:H11"/>
    <mergeCell ref="F12:H12"/>
    <mergeCell ref="A16:H16"/>
    <mergeCell ref="A52:H52"/>
    <mergeCell ref="E7:F7"/>
    <mergeCell ref="G7:H7"/>
    <mergeCell ref="E8:F8"/>
    <mergeCell ref="E9:F9"/>
    <mergeCell ref="G9:H9"/>
    <mergeCell ref="G10:H10"/>
  </mergeCells>
  <pageMargins left="0.78740157480314965" right="0.78740157480314965" top="0.98425196850393704" bottom="0.98425196850393704" header="0.51181102362204722" footer="0.51181102362204722"/>
  <pageSetup paperSize="9" orientation="portrait" horizontalDpi="300" verticalDpi="300" r:id="rId1"/>
  <headerFooter alignWithMargins="0">
    <oddHeader>&amp;C&amp;"Times New Roman,Standard"&amp;16Hartmut Ahting
Steuerberater
Diplom-Wirtschaftsingenieur</oddHeader>
    <oddFooter>&amp;L&amp;"Times New Roman,Standard"Heerstrasse 50
60488 Frankfurt
&amp;C&amp;"Times New Roman,Standard"Deutsche Bank
BLZ 500 700 24
Konto 409 28 62&amp;R&amp;"Times New Roman,Standard"Tel:      069 / 788 031-71
Fax:     069 / 788 031-72
Mobil: 0174 / 326 99 58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79693-4EF3-4893-9493-5C2842F1E777}">
  <dimension ref="A5:L49"/>
  <sheetViews>
    <sheetView workbookViewId="0">
      <selection activeCell="G29" sqref="G29"/>
    </sheetView>
  </sheetViews>
  <sheetFormatPr baseColWidth="10" defaultColWidth="10.125" defaultRowHeight="15.75" x14ac:dyDescent="0.25"/>
  <cols>
    <col min="1" max="1" width="3.125" style="1" customWidth="1"/>
    <col min="2" max="2" width="29.5" style="1" customWidth="1"/>
    <col min="3" max="3" width="8.75" style="1" customWidth="1"/>
    <col min="4" max="4" width="1.5" style="2" customWidth="1"/>
    <col min="5" max="5" width="10.75" style="3" customWidth="1"/>
    <col min="6" max="6" width="6.375" style="6" customWidth="1"/>
    <col min="7" max="7" width="6.75" style="1" customWidth="1"/>
    <col min="8" max="8" width="8.75" style="1" customWidth="1"/>
    <col min="9" max="10" width="10.125" style="1"/>
    <col min="11" max="11" width="10.625" style="1" bestFit="1" customWidth="1"/>
    <col min="12" max="256" width="10.125" style="1"/>
    <col min="257" max="257" width="3.125" style="1" customWidth="1"/>
    <col min="258" max="258" width="29.5" style="1" customWidth="1"/>
    <col min="259" max="259" width="8.75" style="1" customWidth="1"/>
    <col min="260" max="260" width="1.5" style="1" customWidth="1"/>
    <col min="261" max="261" width="10.75" style="1" customWidth="1"/>
    <col min="262" max="262" width="6.375" style="1" customWidth="1"/>
    <col min="263" max="263" width="6.75" style="1" customWidth="1"/>
    <col min="264" max="264" width="8.75" style="1" customWidth="1"/>
    <col min="265" max="266" width="10.125" style="1"/>
    <col min="267" max="267" width="10.625" style="1" bestFit="1" customWidth="1"/>
    <col min="268" max="512" width="10.125" style="1"/>
    <col min="513" max="513" width="3.125" style="1" customWidth="1"/>
    <col min="514" max="514" width="29.5" style="1" customWidth="1"/>
    <col min="515" max="515" width="8.75" style="1" customWidth="1"/>
    <col min="516" max="516" width="1.5" style="1" customWidth="1"/>
    <col min="517" max="517" width="10.75" style="1" customWidth="1"/>
    <col min="518" max="518" width="6.375" style="1" customWidth="1"/>
    <col min="519" max="519" width="6.75" style="1" customWidth="1"/>
    <col min="520" max="520" width="8.75" style="1" customWidth="1"/>
    <col min="521" max="522" width="10.125" style="1"/>
    <col min="523" max="523" width="10.625" style="1" bestFit="1" customWidth="1"/>
    <col min="524" max="768" width="10.125" style="1"/>
    <col min="769" max="769" width="3.125" style="1" customWidth="1"/>
    <col min="770" max="770" width="29.5" style="1" customWidth="1"/>
    <col min="771" max="771" width="8.75" style="1" customWidth="1"/>
    <col min="772" max="772" width="1.5" style="1" customWidth="1"/>
    <col min="773" max="773" width="10.75" style="1" customWidth="1"/>
    <col min="774" max="774" width="6.375" style="1" customWidth="1"/>
    <col min="775" max="775" width="6.75" style="1" customWidth="1"/>
    <col min="776" max="776" width="8.75" style="1" customWidth="1"/>
    <col min="777" max="778" width="10.125" style="1"/>
    <col min="779" max="779" width="10.625" style="1" bestFit="1" customWidth="1"/>
    <col min="780" max="1024" width="10.125" style="1"/>
    <col min="1025" max="1025" width="3.125" style="1" customWidth="1"/>
    <col min="1026" max="1026" width="29.5" style="1" customWidth="1"/>
    <col min="1027" max="1027" width="8.75" style="1" customWidth="1"/>
    <col min="1028" max="1028" width="1.5" style="1" customWidth="1"/>
    <col min="1029" max="1029" width="10.75" style="1" customWidth="1"/>
    <col min="1030" max="1030" width="6.375" style="1" customWidth="1"/>
    <col min="1031" max="1031" width="6.75" style="1" customWidth="1"/>
    <col min="1032" max="1032" width="8.75" style="1" customWidth="1"/>
    <col min="1033" max="1034" width="10.125" style="1"/>
    <col min="1035" max="1035" width="10.625" style="1" bestFit="1" customWidth="1"/>
    <col min="1036" max="1280" width="10.125" style="1"/>
    <col min="1281" max="1281" width="3.125" style="1" customWidth="1"/>
    <col min="1282" max="1282" width="29.5" style="1" customWidth="1"/>
    <col min="1283" max="1283" width="8.75" style="1" customWidth="1"/>
    <col min="1284" max="1284" width="1.5" style="1" customWidth="1"/>
    <col min="1285" max="1285" width="10.75" style="1" customWidth="1"/>
    <col min="1286" max="1286" width="6.375" style="1" customWidth="1"/>
    <col min="1287" max="1287" width="6.75" style="1" customWidth="1"/>
    <col min="1288" max="1288" width="8.75" style="1" customWidth="1"/>
    <col min="1289" max="1290" width="10.125" style="1"/>
    <col min="1291" max="1291" width="10.625" style="1" bestFit="1" customWidth="1"/>
    <col min="1292" max="1536" width="10.125" style="1"/>
    <col min="1537" max="1537" width="3.125" style="1" customWidth="1"/>
    <col min="1538" max="1538" width="29.5" style="1" customWidth="1"/>
    <col min="1539" max="1539" width="8.75" style="1" customWidth="1"/>
    <col min="1540" max="1540" width="1.5" style="1" customWidth="1"/>
    <col min="1541" max="1541" width="10.75" style="1" customWidth="1"/>
    <col min="1542" max="1542" width="6.375" style="1" customWidth="1"/>
    <col min="1543" max="1543" width="6.75" style="1" customWidth="1"/>
    <col min="1544" max="1544" width="8.75" style="1" customWidth="1"/>
    <col min="1545" max="1546" width="10.125" style="1"/>
    <col min="1547" max="1547" width="10.625" style="1" bestFit="1" customWidth="1"/>
    <col min="1548" max="1792" width="10.125" style="1"/>
    <col min="1793" max="1793" width="3.125" style="1" customWidth="1"/>
    <col min="1794" max="1794" width="29.5" style="1" customWidth="1"/>
    <col min="1795" max="1795" width="8.75" style="1" customWidth="1"/>
    <col min="1796" max="1796" width="1.5" style="1" customWidth="1"/>
    <col min="1797" max="1797" width="10.75" style="1" customWidth="1"/>
    <col min="1798" max="1798" width="6.375" style="1" customWidth="1"/>
    <col min="1799" max="1799" width="6.75" style="1" customWidth="1"/>
    <col min="1800" max="1800" width="8.75" style="1" customWidth="1"/>
    <col min="1801" max="1802" width="10.125" style="1"/>
    <col min="1803" max="1803" width="10.625" style="1" bestFit="1" customWidth="1"/>
    <col min="1804" max="2048" width="10.125" style="1"/>
    <col min="2049" max="2049" width="3.125" style="1" customWidth="1"/>
    <col min="2050" max="2050" width="29.5" style="1" customWidth="1"/>
    <col min="2051" max="2051" width="8.75" style="1" customWidth="1"/>
    <col min="2052" max="2052" width="1.5" style="1" customWidth="1"/>
    <col min="2053" max="2053" width="10.75" style="1" customWidth="1"/>
    <col min="2054" max="2054" width="6.375" style="1" customWidth="1"/>
    <col min="2055" max="2055" width="6.75" style="1" customWidth="1"/>
    <col min="2056" max="2056" width="8.75" style="1" customWidth="1"/>
    <col min="2057" max="2058" width="10.125" style="1"/>
    <col min="2059" max="2059" width="10.625" style="1" bestFit="1" customWidth="1"/>
    <col min="2060" max="2304" width="10.125" style="1"/>
    <col min="2305" max="2305" width="3.125" style="1" customWidth="1"/>
    <col min="2306" max="2306" width="29.5" style="1" customWidth="1"/>
    <col min="2307" max="2307" width="8.75" style="1" customWidth="1"/>
    <col min="2308" max="2308" width="1.5" style="1" customWidth="1"/>
    <col min="2309" max="2309" width="10.75" style="1" customWidth="1"/>
    <col min="2310" max="2310" width="6.375" style="1" customWidth="1"/>
    <col min="2311" max="2311" width="6.75" style="1" customWidth="1"/>
    <col min="2312" max="2312" width="8.75" style="1" customWidth="1"/>
    <col min="2313" max="2314" width="10.125" style="1"/>
    <col min="2315" max="2315" width="10.625" style="1" bestFit="1" customWidth="1"/>
    <col min="2316" max="2560" width="10.125" style="1"/>
    <col min="2561" max="2561" width="3.125" style="1" customWidth="1"/>
    <col min="2562" max="2562" width="29.5" style="1" customWidth="1"/>
    <col min="2563" max="2563" width="8.75" style="1" customWidth="1"/>
    <col min="2564" max="2564" width="1.5" style="1" customWidth="1"/>
    <col min="2565" max="2565" width="10.75" style="1" customWidth="1"/>
    <col min="2566" max="2566" width="6.375" style="1" customWidth="1"/>
    <col min="2567" max="2567" width="6.75" style="1" customWidth="1"/>
    <col min="2568" max="2568" width="8.75" style="1" customWidth="1"/>
    <col min="2569" max="2570" width="10.125" style="1"/>
    <col min="2571" max="2571" width="10.625" style="1" bestFit="1" customWidth="1"/>
    <col min="2572" max="2816" width="10.125" style="1"/>
    <col min="2817" max="2817" width="3.125" style="1" customWidth="1"/>
    <col min="2818" max="2818" width="29.5" style="1" customWidth="1"/>
    <col min="2819" max="2819" width="8.75" style="1" customWidth="1"/>
    <col min="2820" max="2820" width="1.5" style="1" customWidth="1"/>
    <col min="2821" max="2821" width="10.75" style="1" customWidth="1"/>
    <col min="2822" max="2822" width="6.375" style="1" customWidth="1"/>
    <col min="2823" max="2823" width="6.75" style="1" customWidth="1"/>
    <col min="2824" max="2824" width="8.75" style="1" customWidth="1"/>
    <col min="2825" max="2826" width="10.125" style="1"/>
    <col min="2827" max="2827" width="10.625" style="1" bestFit="1" customWidth="1"/>
    <col min="2828" max="3072" width="10.125" style="1"/>
    <col min="3073" max="3073" width="3.125" style="1" customWidth="1"/>
    <col min="3074" max="3074" width="29.5" style="1" customWidth="1"/>
    <col min="3075" max="3075" width="8.75" style="1" customWidth="1"/>
    <col min="3076" max="3076" width="1.5" style="1" customWidth="1"/>
    <col min="3077" max="3077" width="10.75" style="1" customWidth="1"/>
    <col min="3078" max="3078" width="6.375" style="1" customWidth="1"/>
    <col min="3079" max="3079" width="6.75" style="1" customWidth="1"/>
    <col min="3080" max="3080" width="8.75" style="1" customWidth="1"/>
    <col min="3081" max="3082" width="10.125" style="1"/>
    <col min="3083" max="3083" width="10.625" style="1" bestFit="1" customWidth="1"/>
    <col min="3084" max="3328" width="10.125" style="1"/>
    <col min="3329" max="3329" width="3.125" style="1" customWidth="1"/>
    <col min="3330" max="3330" width="29.5" style="1" customWidth="1"/>
    <col min="3331" max="3331" width="8.75" style="1" customWidth="1"/>
    <col min="3332" max="3332" width="1.5" style="1" customWidth="1"/>
    <col min="3333" max="3333" width="10.75" style="1" customWidth="1"/>
    <col min="3334" max="3334" width="6.375" style="1" customWidth="1"/>
    <col min="3335" max="3335" width="6.75" style="1" customWidth="1"/>
    <col min="3336" max="3336" width="8.75" style="1" customWidth="1"/>
    <col min="3337" max="3338" width="10.125" style="1"/>
    <col min="3339" max="3339" width="10.625" style="1" bestFit="1" customWidth="1"/>
    <col min="3340" max="3584" width="10.125" style="1"/>
    <col min="3585" max="3585" width="3.125" style="1" customWidth="1"/>
    <col min="3586" max="3586" width="29.5" style="1" customWidth="1"/>
    <col min="3587" max="3587" width="8.75" style="1" customWidth="1"/>
    <col min="3588" max="3588" width="1.5" style="1" customWidth="1"/>
    <col min="3589" max="3589" width="10.75" style="1" customWidth="1"/>
    <col min="3590" max="3590" width="6.375" style="1" customWidth="1"/>
    <col min="3591" max="3591" width="6.75" style="1" customWidth="1"/>
    <col min="3592" max="3592" width="8.75" style="1" customWidth="1"/>
    <col min="3593" max="3594" width="10.125" style="1"/>
    <col min="3595" max="3595" width="10.625" style="1" bestFit="1" customWidth="1"/>
    <col min="3596" max="3840" width="10.125" style="1"/>
    <col min="3841" max="3841" width="3.125" style="1" customWidth="1"/>
    <col min="3842" max="3842" width="29.5" style="1" customWidth="1"/>
    <col min="3843" max="3843" width="8.75" style="1" customWidth="1"/>
    <col min="3844" max="3844" width="1.5" style="1" customWidth="1"/>
    <col min="3845" max="3845" width="10.75" style="1" customWidth="1"/>
    <col min="3846" max="3846" width="6.375" style="1" customWidth="1"/>
    <col min="3847" max="3847" width="6.75" style="1" customWidth="1"/>
    <col min="3848" max="3848" width="8.75" style="1" customWidth="1"/>
    <col min="3849" max="3850" width="10.125" style="1"/>
    <col min="3851" max="3851" width="10.625" style="1" bestFit="1" customWidth="1"/>
    <col min="3852" max="4096" width="10.125" style="1"/>
    <col min="4097" max="4097" width="3.125" style="1" customWidth="1"/>
    <col min="4098" max="4098" width="29.5" style="1" customWidth="1"/>
    <col min="4099" max="4099" width="8.75" style="1" customWidth="1"/>
    <col min="4100" max="4100" width="1.5" style="1" customWidth="1"/>
    <col min="4101" max="4101" width="10.75" style="1" customWidth="1"/>
    <col min="4102" max="4102" width="6.375" style="1" customWidth="1"/>
    <col min="4103" max="4103" width="6.75" style="1" customWidth="1"/>
    <col min="4104" max="4104" width="8.75" style="1" customWidth="1"/>
    <col min="4105" max="4106" width="10.125" style="1"/>
    <col min="4107" max="4107" width="10.625" style="1" bestFit="1" customWidth="1"/>
    <col min="4108" max="4352" width="10.125" style="1"/>
    <col min="4353" max="4353" width="3.125" style="1" customWidth="1"/>
    <col min="4354" max="4354" width="29.5" style="1" customWidth="1"/>
    <col min="4355" max="4355" width="8.75" style="1" customWidth="1"/>
    <col min="4356" max="4356" width="1.5" style="1" customWidth="1"/>
    <col min="4357" max="4357" width="10.75" style="1" customWidth="1"/>
    <col min="4358" max="4358" width="6.375" style="1" customWidth="1"/>
    <col min="4359" max="4359" width="6.75" style="1" customWidth="1"/>
    <col min="4360" max="4360" width="8.75" style="1" customWidth="1"/>
    <col min="4361" max="4362" width="10.125" style="1"/>
    <col min="4363" max="4363" width="10.625" style="1" bestFit="1" customWidth="1"/>
    <col min="4364" max="4608" width="10.125" style="1"/>
    <col min="4609" max="4609" width="3.125" style="1" customWidth="1"/>
    <col min="4610" max="4610" width="29.5" style="1" customWidth="1"/>
    <col min="4611" max="4611" width="8.75" style="1" customWidth="1"/>
    <col min="4612" max="4612" width="1.5" style="1" customWidth="1"/>
    <col min="4613" max="4613" width="10.75" style="1" customWidth="1"/>
    <col min="4614" max="4614" width="6.375" style="1" customWidth="1"/>
    <col min="4615" max="4615" width="6.75" style="1" customWidth="1"/>
    <col min="4616" max="4616" width="8.75" style="1" customWidth="1"/>
    <col min="4617" max="4618" width="10.125" style="1"/>
    <col min="4619" max="4619" width="10.625" style="1" bestFit="1" customWidth="1"/>
    <col min="4620" max="4864" width="10.125" style="1"/>
    <col min="4865" max="4865" width="3.125" style="1" customWidth="1"/>
    <col min="4866" max="4866" width="29.5" style="1" customWidth="1"/>
    <col min="4867" max="4867" width="8.75" style="1" customWidth="1"/>
    <col min="4868" max="4868" width="1.5" style="1" customWidth="1"/>
    <col min="4869" max="4869" width="10.75" style="1" customWidth="1"/>
    <col min="4870" max="4870" width="6.375" style="1" customWidth="1"/>
    <col min="4871" max="4871" width="6.75" style="1" customWidth="1"/>
    <col min="4872" max="4872" width="8.75" style="1" customWidth="1"/>
    <col min="4873" max="4874" width="10.125" style="1"/>
    <col min="4875" max="4875" width="10.625" style="1" bestFit="1" customWidth="1"/>
    <col min="4876" max="5120" width="10.125" style="1"/>
    <col min="5121" max="5121" width="3.125" style="1" customWidth="1"/>
    <col min="5122" max="5122" width="29.5" style="1" customWidth="1"/>
    <col min="5123" max="5123" width="8.75" style="1" customWidth="1"/>
    <col min="5124" max="5124" width="1.5" style="1" customWidth="1"/>
    <col min="5125" max="5125" width="10.75" style="1" customWidth="1"/>
    <col min="5126" max="5126" width="6.375" style="1" customWidth="1"/>
    <col min="5127" max="5127" width="6.75" style="1" customWidth="1"/>
    <col min="5128" max="5128" width="8.75" style="1" customWidth="1"/>
    <col min="5129" max="5130" width="10.125" style="1"/>
    <col min="5131" max="5131" width="10.625" style="1" bestFit="1" customWidth="1"/>
    <col min="5132" max="5376" width="10.125" style="1"/>
    <col min="5377" max="5377" width="3.125" style="1" customWidth="1"/>
    <col min="5378" max="5378" width="29.5" style="1" customWidth="1"/>
    <col min="5379" max="5379" width="8.75" style="1" customWidth="1"/>
    <col min="5380" max="5380" width="1.5" style="1" customWidth="1"/>
    <col min="5381" max="5381" width="10.75" style="1" customWidth="1"/>
    <col min="5382" max="5382" width="6.375" style="1" customWidth="1"/>
    <col min="5383" max="5383" width="6.75" style="1" customWidth="1"/>
    <col min="5384" max="5384" width="8.75" style="1" customWidth="1"/>
    <col min="5385" max="5386" width="10.125" style="1"/>
    <col min="5387" max="5387" width="10.625" style="1" bestFit="1" customWidth="1"/>
    <col min="5388" max="5632" width="10.125" style="1"/>
    <col min="5633" max="5633" width="3.125" style="1" customWidth="1"/>
    <col min="5634" max="5634" width="29.5" style="1" customWidth="1"/>
    <col min="5635" max="5635" width="8.75" style="1" customWidth="1"/>
    <col min="5636" max="5636" width="1.5" style="1" customWidth="1"/>
    <col min="5637" max="5637" width="10.75" style="1" customWidth="1"/>
    <col min="5638" max="5638" width="6.375" style="1" customWidth="1"/>
    <col min="5639" max="5639" width="6.75" style="1" customWidth="1"/>
    <col min="5640" max="5640" width="8.75" style="1" customWidth="1"/>
    <col min="5641" max="5642" width="10.125" style="1"/>
    <col min="5643" max="5643" width="10.625" style="1" bestFit="1" customWidth="1"/>
    <col min="5644" max="5888" width="10.125" style="1"/>
    <col min="5889" max="5889" width="3.125" style="1" customWidth="1"/>
    <col min="5890" max="5890" width="29.5" style="1" customWidth="1"/>
    <col min="5891" max="5891" width="8.75" style="1" customWidth="1"/>
    <col min="5892" max="5892" width="1.5" style="1" customWidth="1"/>
    <col min="5893" max="5893" width="10.75" style="1" customWidth="1"/>
    <col min="5894" max="5894" width="6.375" style="1" customWidth="1"/>
    <col min="5895" max="5895" width="6.75" style="1" customWidth="1"/>
    <col min="5896" max="5896" width="8.75" style="1" customWidth="1"/>
    <col min="5897" max="5898" width="10.125" style="1"/>
    <col min="5899" max="5899" width="10.625" style="1" bestFit="1" customWidth="1"/>
    <col min="5900" max="6144" width="10.125" style="1"/>
    <col min="6145" max="6145" width="3.125" style="1" customWidth="1"/>
    <col min="6146" max="6146" width="29.5" style="1" customWidth="1"/>
    <col min="6147" max="6147" width="8.75" style="1" customWidth="1"/>
    <col min="6148" max="6148" width="1.5" style="1" customWidth="1"/>
    <col min="6149" max="6149" width="10.75" style="1" customWidth="1"/>
    <col min="6150" max="6150" width="6.375" style="1" customWidth="1"/>
    <col min="6151" max="6151" width="6.75" style="1" customWidth="1"/>
    <col min="6152" max="6152" width="8.75" style="1" customWidth="1"/>
    <col min="6153" max="6154" width="10.125" style="1"/>
    <col min="6155" max="6155" width="10.625" style="1" bestFit="1" customWidth="1"/>
    <col min="6156" max="6400" width="10.125" style="1"/>
    <col min="6401" max="6401" width="3.125" style="1" customWidth="1"/>
    <col min="6402" max="6402" width="29.5" style="1" customWidth="1"/>
    <col min="6403" max="6403" width="8.75" style="1" customWidth="1"/>
    <col min="6404" max="6404" width="1.5" style="1" customWidth="1"/>
    <col min="6405" max="6405" width="10.75" style="1" customWidth="1"/>
    <col min="6406" max="6406" width="6.375" style="1" customWidth="1"/>
    <col min="6407" max="6407" width="6.75" style="1" customWidth="1"/>
    <col min="6408" max="6408" width="8.75" style="1" customWidth="1"/>
    <col min="6409" max="6410" width="10.125" style="1"/>
    <col min="6411" max="6411" width="10.625" style="1" bestFit="1" customWidth="1"/>
    <col min="6412" max="6656" width="10.125" style="1"/>
    <col min="6657" max="6657" width="3.125" style="1" customWidth="1"/>
    <col min="6658" max="6658" width="29.5" style="1" customWidth="1"/>
    <col min="6659" max="6659" width="8.75" style="1" customWidth="1"/>
    <col min="6660" max="6660" width="1.5" style="1" customWidth="1"/>
    <col min="6661" max="6661" width="10.75" style="1" customWidth="1"/>
    <col min="6662" max="6662" width="6.375" style="1" customWidth="1"/>
    <col min="6663" max="6663" width="6.75" style="1" customWidth="1"/>
    <col min="6664" max="6664" width="8.75" style="1" customWidth="1"/>
    <col min="6665" max="6666" width="10.125" style="1"/>
    <col min="6667" max="6667" width="10.625" style="1" bestFit="1" customWidth="1"/>
    <col min="6668" max="6912" width="10.125" style="1"/>
    <col min="6913" max="6913" width="3.125" style="1" customWidth="1"/>
    <col min="6914" max="6914" width="29.5" style="1" customWidth="1"/>
    <col min="6915" max="6915" width="8.75" style="1" customWidth="1"/>
    <col min="6916" max="6916" width="1.5" style="1" customWidth="1"/>
    <col min="6917" max="6917" width="10.75" style="1" customWidth="1"/>
    <col min="6918" max="6918" width="6.375" style="1" customWidth="1"/>
    <col min="6919" max="6919" width="6.75" style="1" customWidth="1"/>
    <col min="6920" max="6920" width="8.75" style="1" customWidth="1"/>
    <col min="6921" max="6922" width="10.125" style="1"/>
    <col min="6923" max="6923" width="10.625" style="1" bestFit="1" customWidth="1"/>
    <col min="6924" max="7168" width="10.125" style="1"/>
    <col min="7169" max="7169" width="3.125" style="1" customWidth="1"/>
    <col min="7170" max="7170" width="29.5" style="1" customWidth="1"/>
    <col min="7171" max="7171" width="8.75" style="1" customWidth="1"/>
    <col min="7172" max="7172" width="1.5" style="1" customWidth="1"/>
    <col min="7173" max="7173" width="10.75" style="1" customWidth="1"/>
    <col min="7174" max="7174" width="6.375" style="1" customWidth="1"/>
    <col min="7175" max="7175" width="6.75" style="1" customWidth="1"/>
    <col min="7176" max="7176" width="8.75" style="1" customWidth="1"/>
    <col min="7177" max="7178" width="10.125" style="1"/>
    <col min="7179" max="7179" width="10.625" style="1" bestFit="1" customWidth="1"/>
    <col min="7180" max="7424" width="10.125" style="1"/>
    <col min="7425" max="7425" width="3.125" style="1" customWidth="1"/>
    <col min="7426" max="7426" width="29.5" style="1" customWidth="1"/>
    <col min="7427" max="7427" width="8.75" style="1" customWidth="1"/>
    <col min="7428" max="7428" width="1.5" style="1" customWidth="1"/>
    <col min="7429" max="7429" width="10.75" style="1" customWidth="1"/>
    <col min="7430" max="7430" width="6.375" style="1" customWidth="1"/>
    <col min="7431" max="7431" width="6.75" style="1" customWidth="1"/>
    <col min="7432" max="7432" width="8.75" style="1" customWidth="1"/>
    <col min="7433" max="7434" width="10.125" style="1"/>
    <col min="7435" max="7435" width="10.625" style="1" bestFit="1" customWidth="1"/>
    <col min="7436" max="7680" width="10.125" style="1"/>
    <col min="7681" max="7681" width="3.125" style="1" customWidth="1"/>
    <col min="7682" max="7682" width="29.5" style="1" customWidth="1"/>
    <col min="7683" max="7683" width="8.75" style="1" customWidth="1"/>
    <col min="7684" max="7684" width="1.5" style="1" customWidth="1"/>
    <col min="7685" max="7685" width="10.75" style="1" customWidth="1"/>
    <col min="7686" max="7686" width="6.375" style="1" customWidth="1"/>
    <col min="7687" max="7687" width="6.75" style="1" customWidth="1"/>
    <col min="7688" max="7688" width="8.75" style="1" customWidth="1"/>
    <col min="7689" max="7690" width="10.125" style="1"/>
    <col min="7691" max="7691" width="10.625" style="1" bestFit="1" customWidth="1"/>
    <col min="7692" max="7936" width="10.125" style="1"/>
    <col min="7937" max="7937" width="3.125" style="1" customWidth="1"/>
    <col min="7938" max="7938" width="29.5" style="1" customWidth="1"/>
    <col min="7939" max="7939" width="8.75" style="1" customWidth="1"/>
    <col min="7940" max="7940" width="1.5" style="1" customWidth="1"/>
    <col min="7941" max="7941" width="10.75" style="1" customWidth="1"/>
    <col min="7942" max="7942" width="6.375" style="1" customWidth="1"/>
    <col min="7943" max="7943" width="6.75" style="1" customWidth="1"/>
    <col min="7944" max="7944" width="8.75" style="1" customWidth="1"/>
    <col min="7945" max="7946" width="10.125" style="1"/>
    <col min="7947" max="7947" width="10.625" style="1" bestFit="1" customWidth="1"/>
    <col min="7948" max="8192" width="10.125" style="1"/>
    <col min="8193" max="8193" width="3.125" style="1" customWidth="1"/>
    <col min="8194" max="8194" width="29.5" style="1" customWidth="1"/>
    <col min="8195" max="8195" width="8.75" style="1" customWidth="1"/>
    <col min="8196" max="8196" width="1.5" style="1" customWidth="1"/>
    <col min="8197" max="8197" width="10.75" style="1" customWidth="1"/>
    <col min="8198" max="8198" width="6.375" style="1" customWidth="1"/>
    <col min="8199" max="8199" width="6.75" style="1" customWidth="1"/>
    <col min="8200" max="8200" width="8.75" style="1" customWidth="1"/>
    <col min="8201" max="8202" width="10.125" style="1"/>
    <col min="8203" max="8203" width="10.625" style="1" bestFit="1" customWidth="1"/>
    <col min="8204" max="8448" width="10.125" style="1"/>
    <col min="8449" max="8449" width="3.125" style="1" customWidth="1"/>
    <col min="8450" max="8450" width="29.5" style="1" customWidth="1"/>
    <col min="8451" max="8451" width="8.75" style="1" customWidth="1"/>
    <col min="8452" max="8452" width="1.5" style="1" customWidth="1"/>
    <col min="8453" max="8453" width="10.75" style="1" customWidth="1"/>
    <col min="8454" max="8454" width="6.375" style="1" customWidth="1"/>
    <col min="8455" max="8455" width="6.75" style="1" customWidth="1"/>
    <col min="8456" max="8456" width="8.75" style="1" customWidth="1"/>
    <col min="8457" max="8458" width="10.125" style="1"/>
    <col min="8459" max="8459" width="10.625" style="1" bestFit="1" customWidth="1"/>
    <col min="8460" max="8704" width="10.125" style="1"/>
    <col min="8705" max="8705" width="3.125" style="1" customWidth="1"/>
    <col min="8706" max="8706" width="29.5" style="1" customWidth="1"/>
    <col min="8707" max="8707" width="8.75" style="1" customWidth="1"/>
    <col min="8708" max="8708" width="1.5" style="1" customWidth="1"/>
    <col min="8709" max="8709" width="10.75" style="1" customWidth="1"/>
    <col min="8710" max="8710" width="6.375" style="1" customWidth="1"/>
    <col min="8711" max="8711" width="6.75" style="1" customWidth="1"/>
    <col min="8712" max="8712" width="8.75" style="1" customWidth="1"/>
    <col min="8713" max="8714" width="10.125" style="1"/>
    <col min="8715" max="8715" width="10.625" style="1" bestFit="1" customWidth="1"/>
    <col min="8716" max="8960" width="10.125" style="1"/>
    <col min="8961" max="8961" width="3.125" style="1" customWidth="1"/>
    <col min="8962" max="8962" width="29.5" style="1" customWidth="1"/>
    <col min="8963" max="8963" width="8.75" style="1" customWidth="1"/>
    <col min="8964" max="8964" width="1.5" style="1" customWidth="1"/>
    <col min="8965" max="8965" width="10.75" style="1" customWidth="1"/>
    <col min="8966" max="8966" width="6.375" style="1" customWidth="1"/>
    <col min="8967" max="8967" width="6.75" style="1" customWidth="1"/>
    <col min="8968" max="8968" width="8.75" style="1" customWidth="1"/>
    <col min="8969" max="8970" width="10.125" style="1"/>
    <col min="8971" max="8971" width="10.625" style="1" bestFit="1" customWidth="1"/>
    <col min="8972" max="9216" width="10.125" style="1"/>
    <col min="9217" max="9217" width="3.125" style="1" customWidth="1"/>
    <col min="9218" max="9218" width="29.5" style="1" customWidth="1"/>
    <col min="9219" max="9219" width="8.75" style="1" customWidth="1"/>
    <col min="9220" max="9220" width="1.5" style="1" customWidth="1"/>
    <col min="9221" max="9221" width="10.75" style="1" customWidth="1"/>
    <col min="9222" max="9222" width="6.375" style="1" customWidth="1"/>
    <col min="9223" max="9223" width="6.75" style="1" customWidth="1"/>
    <col min="9224" max="9224" width="8.75" style="1" customWidth="1"/>
    <col min="9225" max="9226" width="10.125" style="1"/>
    <col min="9227" max="9227" width="10.625" style="1" bestFit="1" customWidth="1"/>
    <col min="9228" max="9472" width="10.125" style="1"/>
    <col min="9473" max="9473" width="3.125" style="1" customWidth="1"/>
    <col min="9474" max="9474" width="29.5" style="1" customWidth="1"/>
    <col min="9475" max="9475" width="8.75" style="1" customWidth="1"/>
    <col min="9476" max="9476" width="1.5" style="1" customWidth="1"/>
    <col min="9477" max="9477" width="10.75" style="1" customWidth="1"/>
    <col min="9478" max="9478" width="6.375" style="1" customWidth="1"/>
    <col min="9479" max="9479" width="6.75" style="1" customWidth="1"/>
    <col min="9480" max="9480" width="8.75" style="1" customWidth="1"/>
    <col min="9481" max="9482" width="10.125" style="1"/>
    <col min="9483" max="9483" width="10.625" style="1" bestFit="1" customWidth="1"/>
    <col min="9484" max="9728" width="10.125" style="1"/>
    <col min="9729" max="9729" width="3.125" style="1" customWidth="1"/>
    <col min="9730" max="9730" width="29.5" style="1" customWidth="1"/>
    <col min="9731" max="9731" width="8.75" style="1" customWidth="1"/>
    <col min="9732" max="9732" width="1.5" style="1" customWidth="1"/>
    <col min="9733" max="9733" width="10.75" style="1" customWidth="1"/>
    <col min="9734" max="9734" width="6.375" style="1" customWidth="1"/>
    <col min="9735" max="9735" width="6.75" style="1" customWidth="1"/>
    <col min="9736" max="9736" width="8.75" style="1" customWidth="1"/>
    <col min="9737" max="9738" width="10.125" style="1"/>
    <col min="9739" max="9739" width="10.625" style="1" bestFit="1" customWidth="1"/>
    <col min="9740" max="9984" width="10.125" style="1"/>
    <col min="9985" max="9985" width="3.125" style="1" customWidth="1"/>
    <col min="9986" max="9986" width="29.5" style="1" customWidth="1"/>
    <col min="9987" max="9987" width="8.75" style="1" customWidth="1"/>
    <col min="9988" max="9988" width="1.5" style="1" customWidth="1"/>
    <col min="9989" max="9989" width="10.75" style="1" customWidth="1"/>
    <col min="9990" max="9990" width="6.375" style="1" customWidth="1"/>
    <col min="9991" max="9991" width="6.75" style="1" customWidth="1"/>
    <col min="9992" max="9992" width="8.75" style="1" customWidth="1"/>
    <col min="9993" max="9994" width="10.125" style="1"/>
    <col min="9995" max="9995" width="10.625" style="1" bestFit="1" customWidth="1"/>
    <col min="9996" max="10240" width="10.125" style="1"/>
    <col min="10241" max="10241" width="3.125" style="1" customWidth="1"/>
    <col min="10242" max="10242" width="29.5" style="1" customWidth="1"/>
    <col min="10243" max="10243" width="8.75" style="1" customWidth="1"/>
    <col min="10244" max="10244" width="1.5" style="1" customWidth="1"/>
    <col min="10245" max="10245" width="10.75" style="1" customWidth="1"/>
    <col min="10246" max="10246" width="6.375" style="1" customWidth="1"/>
    <col min="10247" max="10247" width="6.75" style="1" customWidth="1"/>
    <col min="10248" max="10248" width="8.75" style="1" customWidth="1"/>
    <col min="10249" max="10250" width="10.125" style="1"/>
    <col min="10251" max="10251" width="10.625" style="1" bestFit="1" customWidth="1"/>
    <col min="10252" max="10496" width="10.125" style="1"/>
    <col min="10497" max="10497" width="3.125" style="1" customWidth="1"/>
    <col min="10498" max="10498" width="29.5" style="1" customWidth="1"/>
    <col min="10499" max="10499" width="8.75" style="1" customWidth="1"/>
    <col min="10500" max="10500" width="1.5" style="1" customWidth="1"/>
    <col min="10501" max="10501" width="10.75" style="1" customWidth="1"/>
    <col min="10502" max="10502" width="6.375" style="1" customWidth="1"/>
    <col min="10503" max="10503" width="6.75" style="1" customWidth="1"/>
    <col min="10504" max="10504" width="8.75" style="1" customWidth="1"/>
    <col min="10505" max="10506" width="10.125" style="1"/>
    <col min="10507" max="10507" width="10.625" style="1" bestFit="1" customWidth="1"/>
    <col min="10508" max="10752" width="10.125" style="1"/>
    <col min="10753" max="10753" width="3.125" style="1" customWidth="1"/>
    <col min="10754" max="10754" width="29.5" style="1" customWidth="1"/>
    <col min="10755" max="10755" width="8.75" style="1" customWidth="1"/>
    <col min="10756" max="10756" width="1.5" style="1" customWidth="1"/>
    <col min="10757" max="10757" width="10.75" style="1" customWidth="1"/>
    <col min="10758" max="10758" width="6.375" style="1" customWidth="1"/>
    <col min="10759" max="10759" width="6.75" style="1" customWidth="1"/>
    <col min="10760" max="10760" width="8.75" style="1" customWidth="1"/>
    <col min="10761" max="10762" width="10.125" style="1"/>
    <col min="10763" max="10763" width="10.625" style="1" bestFit="1" customWidth="1"/>
    <col min="10764" max="11008" width="10.125" style="1"/>
    <col min="11009" max="11009" width="3.125" style="1" customWidth="1"/>
    <col min="11010" max="11010" width="29.5" style="1" customWidth="1"/>
    <col min="11011" max="11011" width="8.75" style="1" customWidth="1"/>
    <col min="11012" max="11012" width="1.5" style="1" customWidth="1"/>
    <col min="11013" max="11013" width="10.75" style="1" customWidth="1"/>
    <col min="11014" max="11014" width="6.375" style="1" customWidth="1"/>
    <col min="11015" max="11015" width="6.75" style="1" customWidth="1"/>
    <col min="11016" max="11016" width="8.75" style="1" customWidth="1"/>
    <col min="11017" max="11018" width="10.125" style="1"/>
    <col min="11019" max="11019" width="10.625" style="1" bestFit="1" customWidth="1"/>
    <col min="11020" max="11264" width="10.125" style="1"/>
    <col min="11265" max="11265" width="3.125" style="1" customWidth="1"/>
    <col min="11266" max="11266" width="29.5" style="1" customWidth="1"/>
    <col min="11267" max="11267" width="8.75" style="1" customWidth="1"/>
    <col min="11268" max="11268" width="1.5" style="1" customWidth="1"/>
    <col min="11269" max="11269" width="10.75" style="1" customWidth="1"/>
    <col min="11270" max="11270" width="6.375" style="1" customWidth="1"/>
    <col min="11271" max="11271" width="6.75" style="1" customWidth="1"/>
    <col min="11272" max="11272" width="8.75" style="1" customWidth="1"/>
    <col min="11273" max="11274" width="10.125" style="1"/>
    <col min="11275" max="11275" width="10.625" style="1" bestFit="1" customWidth="1"/>
    <col min="11276" max="11520" width="10.125" style="1"/>
    <col min="11521" max="11521" width="3.125" style="1" customWidth="1"/>
    <col min="11522" max="11522" width="29.5" style="1" customWidth="1"/>
    <col min="11523" max="11523" width="8.75" style="1" customWidth="1"/>
    <col min="11524" max="11524" width="1.5" style="1" customWidth="1"/>
    <col min="11525" max="11525" width="10.75" style="1" customWidth="1"/>
    <col min="11526" max="11526" width="6.375" style="1" customWidth="1"/>
    <col min="11527" max="11527" width="6.75" style="1" customWidth="1"/>
    <col min="11528" max="11528" width="8.75" style="1" customWidth="1"/>
    <col min="11529" max="11530" width="10.125" style="1"/>
    <col min="11531" max="11531" width="10.625" style="1" bestFit="1" customWidth="1"/>
    <col min="11532" max="11776" width="10.125" style="1"/>
    <col min="11777" max="11777" width="3.125" style="1" customWidth="1"/>
    <col min="11778" max="11778" width="29.5" style="1" customWidth="1"/>
    <col min="11779" max="11779" width="8.75" style="1" customWidth="1"/>
    <col min="11780" max="11780" width="1.5" style="1" customWidth="1"/>
    <col min="11781" max="11781" width="10.75" style="1" customWidth="1"/>
    <col min="11782" max="11782" width="6.375" style="1" customWidth="1"/>
    <col min="11783" max="11783" width="6.75" style="1" customWidth="1"/>
    <col min="11784" max="11784" width="8.75" style="1" customWidth="1"/>
    <col min="11785" max="11786" width="10.125" style="1"/>
    <col min="11787" max="11787" width="10.625" style="1" bestFit="1" customWidth="1"/>
    <col min="11788" max="12032" width="10.125" style="1"/>
    <col min="12033" max="12033" width="3.125" style="1" customWidth="1"/>
    <col min="12034" max="12034" width="29.5" style="1" customWidth="1"/>
    <col min="12035" max="12035" width="8.75" style="1" customWidth="1"/>
    <col min="12036" max="12036" width="1.5" style="1" customWidth="1"/>
    <col min="12037" max="12037" width="10.75" style="1" customWidth="1"/>
    <col min="12038" max="12038" width="6.375" style="1" customWidth="1"/>
    <col min="12039" max="12039" width="6.75" style="1" customWidth="1"/>
    <col min="12040" max="12040" width="8.75" style="1" customWidth="1"/>
    <col min="12041" max="12042" width="10.125" style="1"/>
    <col min="12043" max="12043" width="10.625" style="1" bestFit="1" customWidth="1"/>
    <col min="12044" max="12288" width="10.125" style="1"/>
    <col min="12289" max="12289" width="3.125" style="1" customWidth="1"/>
    <col min="12290" max="12290" width="29.5" style="1" customWidth="1"/>
    <col min="12291" max="12291" width="8.75" style="1" customWidth="1"/>
    <col min="12292" max="12292" width="1.5" style="1" customWidth="1"/>
    <col min="12293" max="12293" width="10.75" style="1" customWidth="1"/>
    <col min="12294" max="12294" width="6.375" style="1" customWidth="1"/>
    <col min="12295" max="12295" width="6.75" style="1" customWidth="1"/>
    <col min="12296" max="12296" width="8.75" style="1" customWidth="1"/>
    <col min="12297" max="12298" width="10.125" style="1"/>
    <col min="12299" max="12299" width="10.625" style="1" bestFit="1" customWidth="1"/>
    <col min="12300" max="12544" width="10.125" style="1"/>
    <col min="12545" max="12545" width="3.125" style="1" customWidth="1"/>
    <col min="12546" max="12546" width="29.5" style="1" customWidth="1"/>
    <col min="12547" max="12547" width="8.75" style="1" customWidth="1"/>
    <col min="12548" max="12548" width="1.5" style="1" customWidth="1"/>
    <col min="12549" max="12549" width="10.75" style="1" customWidth="1"/>
    <col min="12550" max="12550" width="6.375" style="1" customWidth="1"/>
    <col min="12551" max="12551" width="6.75" style="1" customWidth="1"/>
    <col min="12552" max="12552" width="8.75" style="1" customWidth="1"/>
    <col min="12553" max="12554" width="10.125" style="1"/>
    <col min="12555" max="12555" width="10.625" style="1" bestFit="1" customWidth="1"/>
    <col min="12556" max="12800" width="10.125" style="1"/>
    <col min="12801" max="12801" width="3.125" style="1" customWidth="1"/>
    <col min="12802" max="12802" width="29.5" style="1" customWidth="1"/>
    <col min="12803" max="12803" width="8.75" style="1" customWidth="1"/>
    <col min="12804" max="12804" width="1.5" style="1" customWidth="1"/>
    <col min="12805" max="12805" width="10.75" style="1" customWidth="1"/>
    <col min="12806" max="12806" width="6.375" style="1" customWidth="1"/>
    <col min="12807" max="12807" width="6.75" style="1" customWidth="1"/>
    <col min="12808" max="12808" width="8.75" style="1" customWidth="1"/>
    <col min="12809" max="12810" width="10.125" style="1"/>
    <col min="12811" max="12811" width="10.625" style="1" bestFit="1" customWidth="1"/>
    <col min="12812" max="13056" width="10.125" style="1"/>
    <col min="13057" max="13057" width="3.125" style="1" customWidth="1"/>
    <col min="13058" max="13058" width="29.5" style="1" customWidth="1"/>
    <col min="13059" max="13059" width="8.75" style="1" customWidth="1"/>
    <col min="13060" max="13060" width="1.5" style="1" customWidth="1"/>
    <col min="13061" max="13061" width="10.75" style="1" customWidth="1"/>
    <col min="13062" max="13062" width="6.375" style="1" customWidth="1"/>
    <col min="13063" max="13063" width="6.75" style="1" customWidth="1"/>
    <col min="13064" max="13064" width="8.75" style="1" customWidth="1"/>
    <col min="13065" max="13066" width="10.125" style="1"/>
    <col min="13067" max="13067" width="10.625" style="1" bestFit="1" customWidth="1"/>
    <col min="13068" max="13312" width="10.125" style="1"/>
    <col min="13313" max="13313" width="3.125" style="1" customWidth="1"/>
    <col min="13314" max="13314" width="29.5" style="1" customWidth="1"/>
    <col min="13315" max="13315" width="8.75" style="1" customWidth="1"/>
    <col min="13316" max="13316" width="1.5" style="1" customWidth="1"/>
    <col min="13317" max="13317" width="10.75" style="1" customWidth="1"/>
    <col min="13318" max="13318" width="6.375" style="1" customWidth="1"/>
    <col min="13319" max="13319" width="6.75" style="1" customWidth="1"/>
    <col min="13320" max="13320" width="8.75" style="1" customWidth="1"/>
    <col min="13321" max="13322" width="10.125" style="1"/>
    <col min="13323" max="13323" width="10.625" style="1" bestFit="1" customWidth="1"/>
    <col min="13324" max="13568" width="10.125" style="1"/>
    <col min="13569" max="13569" width="3.125" style="1" customWidth="1"/>
    <col min="13570" max="13570" width="29.5" style="1" customWidth="1"/>
    <col min="13571" max="13571" width="8.75" style="1" customWidth="1"/>
    <col min="13572" max="13572" width="1.5" style="1" customWidth="1"/>
    <col min="13573" max="13573" width="10.75" style="1" customWidth="1"/>
    <col min="13574" max="13574" width="6.375" style="1" customWidth="1"/>
    <col min="13575" max="13575" width="6.75" style="1" customWidth="1"/>
    <col min="13576" max="13576" width="8.75" style="1" customWidth="1"/>
    <col min="13577" max="13578" width="10.125" style="1"/>
    <col min="13579" max="13579" width="10.625" style="1" bestFit="1" customWidth="1"/>
    <col min="13580" max="13824" width="10.125" style="1"/>
    <col min="13825" max="13825" width="3.125" style="1" customWidth="1"/>
    <col min="13826" max="13826" width="29.5" style="1" customWidth="1"/>
    <col min="13827" max="13827" width="8.75" style="1" customWidth="1"/>
    <col min="13828" max="13828" width="1.5" style="1" customWidth="1"/>
    <col min="13829" max="13829" width="10.75" style="1" customWidth="1"/>
    <col min="13830" max="13830" width="6.375" style="1" customWidth="1"/>
    <col min="13831" max="13831" width="6.75" style="1" customWidth="1"/>
    <col min="13832" max="13832" width="8.75" style="1" customWidth="1"/>
    <col min="13833" max="13834" width="10.125" style="1"/>
    <col min="13835" max="13835" width="10.625" style="1" bestFit="1" customWidth="1"/>
    <col min="13836" max="14080" width="10.125" style="1"/>
    <col min="14081" max="14081" width="3.125" style="1" customWidth="1"/>
    <col min="14082" max="14082" width="29.5" style="1" customWidth="1"/>
    <col min="14083" max="14083" width="8.75" style="1" customWidth="1"/>
    <col min="14084" max="14084" width="1.5" style="1" customWidth="1"/>
    <col min="14085" max="14085" width="10.75" style="1" customWidth="1"/>
    <col min="14086" max="14086" width="6.375" style="1" customWidth="1"/>
    <col min="14087" max="14087" width="6.75" style="1" customWidth="1"/>
    <col min="14088" max="14088" width="8.75" style="1" customWidth="1"/>
    <col min="14089" max="14090" width="10.125" style="1"/>
    <col min="14091" max="14091" width="10.625" style="1" bestFit="1" customWidth="1"/>
    <col min="14092" max="14336" width="10.125" style="1"/>
    <col min="14337" max="14337" width="3.125" style="1" customWidth="1"/>
    <col min="14338" max="14338" width="29.5" style="1" customWidth="1"/>
    <col min="14339" max="14339" width="8.75" style="1" customWidth="1"/>
    <col min="14340" max="14340" width="1.5" style="1" customWidth="1"/>
    <col min="14341" max="14341" width="10.75" style="1" customWidth="1"/>
    <col min="14342" max="14342" width="6.375" style="1" customWidth="1"/>
    <col min="14343" max="14343" width="6.75" style="1" customWidth="1"/>
    <col min="14344" max="14344" width="8.75" style="1" customWidth="1"/>
    <col min="14345" max="14346" width="10.125" style="1"/>
    <col min="14347" max="14347" width="10.625" style="1" bestFit="1" customWidth="1"/>
    <col min="14348" max="14592" width="10.125" style="1"/>
    <col min="14593" max="14593" width="3.125" style="1" customWidth="1"/>
    <col min="14594" max="14594" width="29.5" style="1" customWidth="1"/>
    <col min="14595" max="14595" width="8.75" style="1" customWidth="1"/>
    <col min="14596" max="14596" width="1.5" style="1" customWidth="1"/>
    <col min="14597" max="14597" width="10.75" style="1" customWidth="1"/>
    <col min="14598" max="14598" width="6.375" style="1" customWidth="1"/>
    <col min="14599" max="14599" width="6.75" style="1" customWidth="1"/>
    <col min="14600" max="14600" width="8.75" style="1" customWidth="1"/>
    <col min="14601" max="14602" width="10.125" style="1"/>
    <col min="14603" max="14603" width="10.625" style="1" bestFit="1" customWidth="1"/>
    <col min="14604" max="14848" width="10.125" style="1"/>
    <col min="14849" max="14849" width="3.125" style="1" customWidth="1"/>
    <col min="14850" max="14850" width="29.5" style="1" customWidth="1"/>
    <col min="14851" max="14851" width="8.75" style="1" customWidth="1"/>
    <col min="14852" max="14852" width="1.5" style="1" customWidth="1"/>
    <col min="14853" max="14853" width="10.75" style="1" customWidth="1"/>
    <col min="14854" max="14854" width="6.375" style="1" customWidth="1"/>
    <col min="14855" max="14855" width="6.75" style="1" customWidth="1"/>
    <col min="14856" max="14856" width="8.75" style="1" customWidth="1"/>
    <col min="14857" max="14858" width="10.125" style="1"/>
    <col min="14859" max="14859" width="10.625" style="1" bestFit="1" customWidth="1"/>
    <col min="14860" max="15104" width="10.125" style="1"/>
    <col min="15105" max="15105" width="3.125" style="1" customWidth="1"/>
    <col min="15106" max="15106" width="29.5" style="1" customWidth="1"/>
    <col min="15107" max="15107" width="8.75" style="1" customWidth="1"/>
    <col min="15108" max="15108" width="1.5" style="1" customWidth="1"/>
    <col min="15109" max="15109" width="10.75" style="1" customWidth="1"/>
    <col min="15110" max="15110" width="6.375" style="1" customWidth="1"/>
    <col min="15111" max="15111" width="6.75" style="1" customWidth="1"/>
    <col min="15112" max="15112" width="8.75" style="1" customWidth="1"/>
    <col min="15113" max="15114" width="10.125" style="1"/>
    <col min="15115" max="15115" width="10.625" style="1" bestFit="1" customWidth="1"/>
    <col min="15116" max="15360" width="10.125" style="1"/>
    <col min="15361" max="15361" width="3.125" style="1" customWidth="1"/>
    <col min="15362" max="15362" width="29.5" style="1" customWidth="1"/>
    <col min="15363" max="15363" width="8.75" style="1" customWidth="1"/>
    <col min="15364" max="15364" width="1.5" style="1" customWidth="1"/>
    <col min="15365" max="15365" width="10.75" style="1" customWidth="1"/>
    <col min="15366" max="15366" width="6.375" style="1" customWidth="1"/>
    <col min="15367" max="15367" width="6.75" style="1" customWidth="1"/>
    <col min="15368" max="15368" width="8.75" style="1" customWidth="1"/>
    <col min="15369" max="15370" width="10.125" style="1"/>
    <col min="15371" max="15371" width="10.625" style="1" bestFit="1" customWidth="1"/>
    <col min="15372" max="15616" width="10.125" style="1"/>
    <col min="15617" max="15617" width="3.125" style="1" customWidth="1"/>
    <col min="15618" max="15618" width="29.5" style="1" customWidth="1"/>
    <col min="15619" max="15619" width="8.75" style="1" customWidth="1"/>
    <col min="15620" max="15620" width="1.5" style="1" customWidth="1"/>
    <col min="15621" max="15621" width="10.75" style="1" customWidth="1"/>
    <col min="15622" max="15622" width="6.375" style="1" customWidth="1"/>
    <col min="15623" max="15623" width="6.75" style="1" customWidth="1"/>
    <col min="15624" max="15624" width="8.75" style="1" customWidth="1"/>
    <col min="15625" max="15626" width="10.125" style="1"/>
    <col min="15627" max="15627" width="10.625" style="1" bestFit="1" customWidth="1"/>
    <col min="15628" max="15872" width="10.125" style="1"/>
    <col min="15873" max="15873" width="3.125" style="1" customWidth="1"/>
    <col min="15874" max="15874" width="29.5" style="1" customWidth="1"/>
    <col min="15875" max="15875" width="8.75" style="1" customWidth="1"/>
    <col min="15876" max="15876" width="1.5" style="1" customWidth="1"/>
    <col min="15877" max="15877" width="10.75" style="1" customWidth="1"/>
    <col min="15878" max="15878" width="6.375" style="1" customWidth="1"/>
    <col min="15879" max="15879" width="6.75" style="1" customWidth="1"/>
    <col min="15880" max="15880" width="8.75" style="1" customWidth="1"/>
    <col min="15881" max="15882" width="10.125" style="1"/>
    <col min="15883" max="15883" width="10.625" style="1" bestFit="1" customWidth="1"/>
    <col min="15884" max="16128" width="10.125" style="1"/>
    <col min="16129" max="16129" width="3.125" style="1" customWidth="1"/>
    <col min="16130" max="16130" width="29.5" style="1" customWidth="1"/>
    <col min="16131" max="16131" width="8.75" style="1" customWidth="1"/>
    <col min="16132" max="16132" width="1.5" style="1" customWidth="1"/>
    <col min="16133" max="16133" width="10.75" style="1" customWidth="1"/>
    <col min="16134" max="16134" width="6.375" style="1" customWidth="1"/>
    <col min="16135" max="16135" width="6.75" style="1" customWidth="1"/>
    <col min="16136" max="16136" width="8.75" style="1" customWidth="1"/>
    <col min="16137" max="16138" width="10.125" style="1"/>
    <col min="16139" max="16139" width="10.625" style="1" bestFit="1" customWidth="1"/>
    <col min="16140" max="16384" width="10.125" style="1"/>
  </cols>
  <sheetData>
    <row r="5" spans="1:12" x14ac:dyDescent="0.25">
      <c r="A5" s="4" t="s">
        <v>0</v>
      </c>
      <c r="B5" s="5"/>
      <c r="C5" s="5"/>
    </row>
    <row r="6" spans="1:12" ht="9" customHeight="1" x14ac:dyDescent="0.25">
      <c r="A6" s="4"/>
      <c r="B6" s="5"/>
      <c r="C6" s="5"/>
    </row>
    <row r="7" spans="1:12" s="7" customFormat="1" ht="15" x14ac:dyDescent="0.25">
      <c r="A7" s="7" t="s">
        <v>1</v>
      </c>
      <c r="B7" s="8"/>
      <c r="D7" s="9"/>
      <c r="E7" s="131" t="s">
        <v>2</v>
      </c>
      <c r="F7" s="132"/>
      <c r="G7" s="133">
        <v>45540</v>
      </c>
      <c r="H7" s="134"/>
    </row>
    <row r="8" spans="1:12" s="7" customFormat="1" ht="15" x14ac:dyDescent="0.25">
      <c r="A8" s="7" t="s">
        <v>53</v>
      </c>
      <c r="B8" s="8"/>
      <c r="D8" s="9"/>
      <c r="E8" s="135" t="s">
        <v>3</v>
      </c>
      <c r="F8" s="136"/>
      <c r="H8" s="11">
        <v>60431</v>
      </c>
      <c r="K8" s="55"/>
      <c r="L8" s="55"/>
    </row>
    <row r="9" spans="1:12" s="7" customFormat="1" ht="15" x14ac:dyDescent="0.25">
      <c r="A9" s="7" t="s">
        <v>54</v>
      </c>
      <c r="B9" s="8"/>
      <c r="D9" s="9"/>
      <c r="E9" s="135" t="s">
        <v>4</v>
      </c>
      <c r="F9" s="136"/>
      <c r="G9" s="137" t="s">
        <v>97</v>
      </c>
      <c r="H9" s="138"/>
      <c r="K9" s="55"/>
      <c r="L9" s="55"/>
    </row>
    <row r="10" spans="1:12" s="7" customFormat="1" ht="15" x14ac:dyDescent="0.25">
      <c r="B10" s="8"/>
      <c r="D10" s="9"/>
      <c r="E10" s="13" t="s">
        <v>5</v>
      </c>
      <c r="F10" s="14"/>
      <c r="G10" s="139" t="s">
        <v>99</v>
      </c>
      <c r="H10" s="140"/>
      <c r="K10" s="55"/>
    </row>
    <row r="11" spans="1:12" s="7" customFormat="1" ht="15" x14ac:dyDescent="0.25">
      <c r="A11" s="15" t="s">
        <v>55</v>
      </c>
      <c r="B11" s="8"/>
      <c r="D11" s="9"/>
      <c r="E11" s="10" t="s">
        <v>6</v>
      </c>
      <c r="F11" s="125" t="s">
        <v>7</v>
      </c>
      <c r="G11" s="125"/>
      <c r="H11" s="126"/>
    </row>
    <row r="12" spans="1:12" s="7" customFormat="1" ht="15" x14ac:dyDescent="0.25">
      <c r="A12" s="15"/>
      <c r="B12" s="8"/>
      <c r="D12" s="9"/>
      <c r="E12" s="13" t="s">
        <v>8</v>
      </c>
      <c r="F12" s="127" t="s">
        <v>9</v>
      </c>
      <c r="G12" s="127"/>
      <c r="H12" s="128"/>
    </row>
    <row r="13" spans="1:12" s="7" customFormat="1" ht="15" x14ac:dyDescent="0.25">
      <c r="A13" s="15"/>
      <c r="B13" s="8"/>
      <c r="D13" s="9"/>
      <c r="E13" s="17"/>
      <c r="F13" s="51"/>
      <c r="G13" s="51"/>
      <c r="H13" s="51"/>
    </row>
    <row r="14" spans="1:12" s="7" customFormat="1" ht="15" x14ac:dyDescent="0.25">
      <c r="A14" s="15"/>
      <c r="B14" s="8"/>
      <c r="D14" s="9"/>
      <c r="E14" s="17"/>
      <c r="F14" s="51"/>
      <c r="G14" s="51"/>
      <c r="H14" s="51"/>
    </row>
    <row r="15" spans="1:12" s="7" customFormat="1" ht="15" x14ac:dyDescent="0.25">
      <c r="A15" s="15"/>
      <c r="B15" s="8"/>
      <c r="D15" s="9"/>
      <c r="E15" s="17"/>
      <c r="F15" s="51"/>
      <c r="G15" s="51"/>
      <c r="H15" s="51"/>
    </row>
    <row r="16" spans="1:12" s="15" customFormat="1" ht="14.25" x14ac:dyDescent="0.2">
      <c r="A16" s="129" t="s">
        <v>10</v>
      </c>
      <c r="B16" s="129"/>
      <c r="C16" s="129"/>
      <c r="D16" s="129"/>
      <c r="E16" s="129"/>
      <c r="F16" s="129"/>
      <c r="G16" s="129"/>
      <c r="H16" s="129"/>
    </row>
    <row r="17" spans="1:8" s="15" customFormat="1" ht="14.25" x14ac:dyDescent="0.2">
      <c r="A17" s="19"/>
      <c r="B17" s="19"/>
      <c r="C17" s="19"/>
      <c r="D17" s="19"/>
      <c r="E17" s="19"/>
      <c r="F17" s="19"/>
      <c r="G17" s="19"/>
      <c r="H17" s="19"/>
    </row>
    <row r="18" spans="1:8" s="15" customFormat="1" ht="14.25" x14ac:dyDescent="0.2">
      <c r="A18" s="19"/>
      <c r="B18" s="19"/>
      <c r="C18" s="19"/>
      <c r="D18" s="19"/>
      <c r="E18" s="19"/>
      <c r="F18" s="19"/>
      <c r="G18" s="19"/>
      <c r="H18" s="19"/>
    </row>
    <row r="19" spans="1:8" s="7" customFormat="1" ht="15" x14ac:dyDescent="0.25">
      <c r="A19" s="7" t="s">
        <v>38</v>
      </c>
      <c r="B19" s="8"/>
      <c r="D19" s="9"/>
      <c r="E19" s="17"/>
      <c r="F19" s="9"/>
      <c r="G19" s="18"/>
    </row>
    <row r="20" spans="1:8" s="7" customFormat="1" ht="15" x14ac:dyDescent="0.25">
      <c r="A20" s="7" t="s">
        <v>39</v>
      </c>
      <c r="B20" s="8"/>
      <c r="D20" s="9"/>
      <c r="E20" s="17"/>
      <c r="F20" s="9"/>
      <c r="G20" s="18"/>
    </row>
    <row r="21" spans="1:8" s="7" customFormat="1" ht="9" customHeight="1" x14ac:dyDescent="0.25">
      <c r="D21" s="9"/>
      <c r="E21" s="17"/>
      <c r="F21" s="18"/>
    </row>
    <row r="22" spans="1:8" s="7" customFormat="1" ht="15" x14ac:dyDescent="0.25">
      <c r="A22" s="20" t="s">
        <v>13</v>
      </c>
      <c r="B22" s="21"/>
      <c r="C22" s="20"/>
      <c r="D22" s="9"/>
      <c r="E22" s="9" t="s">
        <v>40</v>
      </c>
      <c r="F22" s="17" t="s">
        <v>15</v>
      </c>
      <c r="G22" s="9" t="s">
        <v>41</v>
      </c>
      <c r="H22" s="17" t="s">
        <v>17</v>
      </c>
    </row>
    <row r="23" spans="1:8" s="7" customFormat="1" ht="15" x14ac:dyDescent="0.25">
      <c r="A23" s="23" t="s">
        <v>18</v>
      </c>
      <c r="B23" s="23"/>
      <c r="C23" s="22" t="s">
        <v>49</v>
      </c>
      <c r="D23" s="24"/>
      <c r="E23" s="24" t="s">
        <v>50</v>
      </c>
      <c r="F23" s="16"/>
      <c r="G23" s="24" t="s">
        <v>44</v>
      </c>
      <c r="H23" s="14"/>
    </row>
    <row r="24" spans="1:8" s="7" customFormat="1" ht="15" x14ac:dyDescent="0.25">
      <c r="A24" s="7">
        <v>33</v>
      </c>
      <c r="B24" s="7" t="s">
        <v>51</v>
      </c>
      <c r="C24" s="45"/>
      <c r="D24" s="45"/>
      <c r="E24" s="26"/>
      <c r="F24" s="12"/>
      <c r="G24" s="17"/>
      <c r="H24" s="28"/>
    </row>
    <row r="25" spans="1:8" s="7" customFormat="1" ht="15" x14ac:dyDescent="0.25">
      <c r="A25" s="12"/>
      <c r="B25" s="55">
        <v>45383</v>
      </c>
      <c r="C25" s="44">
        <v>45475</v>
      </c>
      <c r="E25" s="26">
        <f>ROUNDDOWN((23974.96/2)/(128664.92/12)*128664.92/1000,)*1000</f>
        <v>143000</v>
      </c>
      <c r="F25" s="12" t="s">
        <v>52</v>
      </c>
      <c r="G25" s="17">
        <v>7</v>
      </c>
      <c r="H25" s="28">
        <f>G25/10*217</f>
        <v>151.89999999999998</v>
      </c>
    </row>
    <row r="26" spans="1:8" s="7" customFormat="1" ht="15" x14ac:dyDescent="0.25">
      <c r="A26" s="12"/>
      <c r="B26" s="55">
        <v>45413</v>
      </c>
      <c r="C26" s="44">
        <v>45510</v>
      </c>
      <c r="E26" s="26">
        <f>+E25</f>
        <v>143000</v>
      </c>
      <c r="F26" s="12" t="s">
        <v>52</v>
      </c>
      <c r="G26" s="17">
        <v>7</v>
      </c>
      <c r="H26" s="28">
        <f>G26/10*217</f>
        <v>151.89999999999998</v>
      </c>
    </row>
    <row r="27" spans="1:8" s="7" customFormat="1" ht="15" x14ac:dyDescent="0.25">
      <c r="A27" s="12"/>
      <c r="B27" s="55">
        <v>45444</v>
      </c>
      <c r="C27" s="44">
        <f>+C26</f>
        <v>45510</v>
      </c>
      <c r="E27" s="26">
        <f>+E26</f>
        <v>143000</v>
      </c>
      <c r="F27" s="12" t="s">
        <v>52</v>
      </c>
      <c r="G27" s="17">
        <v>7</v>
      </c>
      <c r="H27" s="28">
        <f>G27/10*217</f>
        <v>151.89999999999998</v>
      </c>
    </row>
    <row r="28" spans="1:8" s="7" customFormat="1" ht="5.25" customHeight="1" x14ac:dyDescent="0.25">
      <c r="A28" s="12"/>
      <c r="B28" s="53"/>
      <c r="C28" s="44"/>
      <c r="D28" s="45"/>
      <c r="E28" s="54"/>
      <c r="F28" s="28"/>
      <c r="G28" s="47"/>
      <c r="H28" s="28"/>
    </row>
    <row r="29" spans="1:8" s="7" customFormat="1" ht="15" x14ac:dyDescent="0.25">
      <c r="A29" s="7">
        <v>16</v>
      </c>
      <c r="B29" s="7" t="s">
        <v>23</v>
      </c>
      <c r="C29" s="62" t="s">
        <v>100</v>
      </c>
      <c r="E29" s="41"/>
      <c r="F29" s="26"/>
      <c r="G29" s="17"/>
      <c r="H29" s="41">
        <v>40</v>
      </c>
    </row>
    <row r="30" spans="1:8" s="7" customFormat="1" ht="15" x14ac:dyDescent="0.25">
      <c r="A30" s="23"/>
      <c r="B30" s="23" t="s">
        <v>24</v>
      </c>
      <c r="C30" s="23"/>
      <c r="D30" s="23"/>
      <c r="E30" s="24"/>
      <c r="F30" s="16"/>
      <c r="G30" s="57"/>
      <c r="H30" s="58"/>
    </row>
    <row r="31" spans="1:8" s="7" customFormat="1" ht="15.75" customHeight="1" x14ac:dyDescent="0.25">
      <c r="D31" s="9"/>
      <c r="E31" s="7" t="s">
        <v>25</v>
      </c>
      <c r="F31" s="9"/>
      <c r="G31" s="12"/>
      <c r="H31" s="41">
        <f>SUM(H24:H30)</f>
        <v>495.69999999999993</v>
      </c>
    </row>
    <row r="32" spans="1:8" s="7" customFormat="1" ht="15.75" customHeight="1" x14ac:dyDescent="0.25">
      <c r="D32" s="9"/>
      <c r="E32" s="7" t="s">
        <v>26</v>
      </c>
      <c r="F32" s="9"/>
      <c r="H32" s="41">
        <f>+H31*0.19</f>
        <v>94.182999999999993</v>
      </c>
    </row>
    <row r="33" spans="1:8" s="7" customFormat="1" thickBot="1" x14ac:dyDescent="0.3">
      <c r="D33" s="9"/>
      <c r="E33" s="34" t="s">
        <v>27</v>
      </c>
      <c r="F33" s="35"/>
      <c r="G33" s="60"/>
      <c r="H33" s="61">
        <f>SUM(H31:H32)</f>
        <v>589.88299999999992</v>
      </c>
    </row>
    <row r="34" spans="1:8" s="7" customFormat="1" ht="7.5" customHeight="1" thickTop="1" x14ac:dyDescent="0.25">
      <c r="D34" s="9"/>
      <c r="E34" s="38"/>
      <c r="F34" s="17"/>
      <c r="G34" s="9"/>
      <c r="H34" s="41"/>
    </row>
    <row r="35" spans="1:8" s="7" customFormat="1" ht="15" x14ac:dyDescent="0.25">
      <c r="A35" s="7" t="s">
        <v>48</v>
      </c>
      <c r="B35" s="8"/>
      <c r="D35" s="9"/>
      <c r="E35" s="17"/>
      <c r="F35" s="18"/>
    </row>
    <row r="36" spans="1:8" s="7" customFormat="1" ht="15" x14ac:dyDescent="0.25">
      <c r="D36" s="9"/>
      <c r="E36" s="17"/>
      <c r="F36" s="18"/>
    </row>
    <row r="37" spans="1:8" s="7" customFormat="1" ht="15" x14ac:dyDescent="0.25">
      <c r="D37" s="9"/>
      <c r="E37" s="17"/>
      <c r="F37" s="18"/>
    </row>
    <row r="38" spans="1:8" ht="14.25" customHeight="1" x14ac:dyDescent="0.25"/>
    <row r="39" spans="1:8" x14ac:dyDescent="0.25">
      <c r="B39" s="23"/>
    </row>
    <row r="42" spans="1:8" x14ac:dyDescent="0.25">
      <c r="D42" s="1"/>
      <c r="E42" s="1"/>
      <c r="F42" s="1"/>
    </row>
    <row r="43" spans="1:8" x14ac:dyDescent="0.25">
      <c r="D43" s="1"/>
      <c r="E43" s="1"/>
      <c r="F43" s="1"/>
    </row>
    <row r="44" spans="1:8" x14ac:dyDescent="0.25">
      <c r="D44" s="1"/>
      <c r="E44" s="1"/>
      <c r="F44" s="1"/>
    </row>
    <row r="45" spans="1:8" x14ac:dyDescent="0.25">
      <c r="D45" s="1"/>
      <c r="E45" s="1"/>
      <c r="F45" s="1"/>
    </row>
    <row r="46" spans="1:8" x14ac:dyDescent="0.25">
      <c r="D46" s="1"/>
      <c r="E46" s="1"/>
      <c r="F46" s="1"/>
    </row>
    <row r="47" spans="1:8" x14ac:dyDescent="0.25">
      <c r="D47" s="1"/>
      <c r="E47" s="1"/>
      <c r="F47" s="1"/>
    </row>
    <row r="48" spans="1:8" x14ac:dyDescent="0.25">
      <c r="D48" s="1"/>
      <c r="E48" s="1"/>
      <c r="F48" s="1"/>
    </row>
    <row r="49" spans="1:8" x14ac:dyDescent="0.25">
      <c r="A49" s="142" t="s">
        <v>98</v>
      </c>
      <c r="B49" s="142"/>
      <c r="C49" s="142"/>
      <c r="D49" s="142"/>
      <c r="E49" s="142"/>
      <c r="F49" s="142"/>
      <c r="G49" s="142"/>
      <c r="H49" s="142"/>
    </row>
  </sheetData>
  <mergeCells count="10">
    <mergeCell ref="F11:H11"/>
    <mergeCell ref="F12:H12"/>
    <mergeCell ref="A16:H16"/>
    <mergeCell ref="A49:H49"/>
    <mergeCell ref="E7:F7"/>
    <mergeCell ref="G7:H7"/>
    <mergeCell ref="E8:F8"/>
    <mergeCell ref="E9:F9"/>
    <mergeCell ref="G9:H9"/>
    <mergeCell ref="G10:H10"/>
  </mergeCells>
  <pageMargins left="0.78740157480314965" right="0.78740157480314965" top="0.98425196850393704" bottom="0.98425196850393704" header="0.51181102362204722" footer="0.51181102362204722"/>
  <pageSetup paperSize="9" orientation="portrait" horizontalDpi="300" verticalDpi="300" r:id="rId1"/>
  <headerFooter alignWithMargins="0">
    <oddHeader>&amp;C&amp;"Times New Roman,Standard"&amp;16Hartmut Ahting
Steuerberater
Diplom-Wirtschaftsingenieur</oddHeader>
    <oddFooter>&amp;L&amp;"Times New Roman,Standard"Heerstrasse 50
60488 Frankfurt
&amp;C&amp;"Times New Roman,Standard"Deutsche Bank
BLZ 500 700 24
Konto 409 28 62&amp;R&amp;"Times New Roman,Standard"Tel:      069 / 788 031-71
Fax:     069 / 788 031-72
Mobil: 0174 / 326 99 58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7706D-4DCD-41EA-8AF4-262553371A9C}">
  <dimension ref="A5:T52"/>
  <sheetViews>
    <sheetView workbookViewId="0">
      <selection activeCell="G7" sqref="G7:H10"/>
    </sheetView>
  </sheetViews>
  <sheetFormatPr baseColWidth="10" defaultColWidth="10.125" defaultRowHeight="15.75" x14ac:dyDescent="0.25"/>
  <cols>
    <col min="1" max="1" width="3.125" style="1" customWidth="1"/>
    <col min="2" max="2" width="30.5" style="1" customWidth="1"/>
    <col min="3" max="3" width="8.75" style="1" customWidth="1"/>
    <col min="4" max="4" width="1.5" style="2" customWidth="1"/>
    <col min="5" max="5" width="10" style="3" customWidth="1"/>
    <col min="6" max="6" width="6.125" style="6" customWidth="1"/>
    <col min="7" max="7" width="7.25" style="1" customWidth="1"/>
    <col min="8" max="8" width="8.5" style="1" customWidth="1"/>
    <col min="9" max="9" width="1.125" style="1" customWidth="1"/>
    <col min="10" max="256" width="10.125" style="1"/>
    <col min="257" max="257" width="3.125" style="1" customWidth="1"/>
    <col min="258" max="258" width="30.5" style="1" customWidth="1"/>
    <col min="259" max="259" width="8.75" style="1" customWidth="1"/>
    <col min="260" max="260" width="1.5" style="1" customWidth="1"/>
    <col min="261" max="261" width="10" style="1" customWidth="1"/>
    <col min="262" max="262" width="6.125" style="1" customWidth="1"/>
    <col min="263" max="263" width="7.25" style="1" customWidth="1"/>
    <col min="264" max="264" width="8.5" style="1" customWidth="1"/>
    <col min="265" max="265" width="1.125" style="1" customWidth="1"/>
    <col min="266" max="512" width="10.125" style="1"/>
    <col min="513" max="513" width="3.125" style="1" customWidth="1"/>
    <col min="514" max="514" width="30.5" style="1" customWidth="1"/>
    <col min="515" max="515" width="8.75" style="1" customWidth="1"/>
    <col min="516" max="516" width="1.5" style="1" customWidth="1"/>
    <col min="517" max="517" width="10" style="1" customWidth="1"/>
    <col min="518" max="518" width="6.125" style="1" customWidth="1"/>
    <col min="519" max="519" width="7.25" style="1" customWidth="1"/>
    <col min="520" max="520" width="8.5" style="1" customWidth="1"/>
    <col min="521" max="521" width="1.125" style="1" customWidth="1"/>
    <col min="522" max="768" width="10.125" style="1"/>
    <col min="769" max="769" width="3.125" style="1" customWidth="1"/>
    <col min="770" max="770" width="30.5" style="1" customWidth="1"/>
    <col min="771" max="771" width="8.75" style="1" customWidth="1"/>
    <col min="772" max="772" width="1.5" style="1" customWidth="1"/>
    <col min="773" max="773" width="10" style="1" customWidth="1"/>
    <col min="774" max="774" width="6.125" style="1" customWidth="1"/>
    <col min="775" max="775" width="7.25" style="1" customWidth="1"/>
    <col min="776" max="776" width="8.5" style="1" customWidth="1"/>
    <col min="777" max="777" width="1.125" style="1" customWidth="1"/>
    <col min="778" max="1024" width="10.125" style="1"/>
    <col min="1025" max="1025" width="3.125" style="1" customWidth="1"/>
    <col min="1026" max="1026" width="30.5" style="1" customWidth="1"/>
    <col min="1027" max="1027" width="8.75" style="1" customWidth="1"/>
    <col min="1028" max="1028" width="1.5" style="1" customWidth="1"/>
    <col min="1029" max="1029" width="10" style="1" customWidth="1"/>
    <col min="1030" max="1030" width="6.125" style="1" customWidth="1"/>
    <col min="1031" max="1031" width="7.25" style="1" customWidth="1"/>
    <col min="1032" max="1032" width="8.5" style="1" customWidth="1"/>
    <col min="1033" max="1033" width="1.125" style="1" customWidth="1"/>
    <col min="1034" max="1280" width="10.125" style="1"/>
    <col min="1281" max="1281" width="3.125" style="1" customWidth="1"/>
    <col min="1282" max="1282" width="30.5" style="1" customWidth="1"/>
    <col min="1283" max="1283" width="8.75" style="1" customWidth="1"/>
    <col min="1284" max="1284" width="1.5" style="1" customWidth="1"/>
    <col min="1285" max="1285" width="10" style="1" customWidth="1"/>
    <col min="1286" max="1286" width="6.125" style="1" customWidth="1"/>
    <col min="1287" max="1287" width="7.25" style="1" customWidth="1"/>
    <col min="1288" max="1288" width="8.5" style="1" customWidth="1"/>
    <col min="1289" max="1289" width="1.125" style="1" customWidth="1"/>
    <col min="1290" max="1536" width="10.125" style="1"/>
    <col min="1537" max="1537" width="3.125" style="1" customWidth="1"/>
    <col min="1538" max="1538" width="30.5" style="1" customWidth="1"/>
    <col min="1539" max="1539" width="8.75" style="1" customWidth="1"/>
    <col min="1540" max="1540" width="1.5" style="1" customWidth="1"/>
    <col min="1541" max="1541" width="10" style="1" customWidth="1"/>
    <col min="1542" max="1542" width="6.125" style="1" customWidth="1"/>
    <col min="1543" max="1543" width="7.25" style="1" customWidth="1"/>
    <col min="1544" max="1544" width="8.5" style="1" customWidth="1"/>
    <col min="1545" max="1545" width="1.125" style="1" customWidth="1"/>
    <col min="1546" max="1792" width="10.125" style="1"/>
    <col min="1793" max="1793" width="3.125" style="1" customWidth="1"/>
    <col min="1794" max="1794" width="30.5" style="1" customWidth="1"/>
    <col min="1795" max="1795" width="8.75" style="1" customWidth="1"/>
    <col min="1796" max="1796" width="1.5" style="1" customWidth="1"/>
    <col min="1797" max="1797" width="10" style="1" customWidth="1"/>
    <col min="1798" max="1798" width="6.125" style="1" customWidth="1"/>
    <col min="1799" max="1799" width="7.25" style="1" customWidth="1"/>
    <col min="1800" max="1800" width="8.5" style="1" customWidth="1"/>
    <col min="1801" max="1801" width="1.125" style="1" customWidth="1"/>
    <col min="1802" max="2048" width="10.125" style="1"/>
    <col min="2049" max="2049" width="3.125" style="1" customWidth="1"/>
    <col min="2050" max="2050" width="30.5" style="1" customWidth="1"/>
    <col min="2051" max="2051" width="8.75" style="1" customWidth="1"/>
    <col min="2052" max="2052" width="1.5" style="1" customWidth="1"/>
    <col min="2053" max="2053" width="10" style="1" customWidth="1"/>
    <col min="2054" max="2054" width="6.125" style="1" customWidth="1"/>
    <col min="2055" max="2055" width="7.25" style="1" customWidth="1"/>
    <col min="2056" max="2056" width="8.5" style="1" customWidth="1"/>
    <col min="2057" max="2057" width="1.125" style="1" customWidth="1"/>
    <col min="2058" max="2304" width="10.125" style="1"/>
    <col min="2305" max="2305" width="3.125" style="1" customWidth="1"/>
    <col min="2306" max="2306" width="30.5" style="1" customWidth="1"/>
    <col min="2307" max="2307" width="8.75" style="1" customWidth="1"/>
    <col min="2308" max="2308" width="1.5" style="1" customWidth="1"/>
    <col min="2309" max="2309" width="10" style="1" customWidth="1"/>
    <col min="2310" max="2310" width="6.125" style="1" customWidth="1"/>
    <col min="2311" max="2311" width="7.25" style="1" customWidth="1"/>
    <col min="2312" max="2312" width="8.5" style="1" customWidth="1"/>
    <col min="2313" max="2313" width="1.125" style="1" customWidth="1"/>
    <col min="2314" max="2560" width="10.125" style="1"/>
    <col min="2561" max="2561" width="3.125" style="1" customWidth="1"/>
    <col min="2562" max="2562" width="30.5" style="1" customWidth="1"/>
    <col min="2563" max="2563" width="8.75" style="1" customWidth="1"/>
    <col min="2564" max="2564" width="1.5" style="1" customWidth="1"/>
    <col min="2565" max="2565" width="10" style="1" customWidth="1"/>
    <col min="2566" max="2566" width="6.125" style="1" customWidth="1"/>
    <col min="2567" max="2567" width="7.25" style="1" customWidth="1"/>
    <col min="2568" max="2568" width="8.5" style="1" customWidth="1"/>
    <col min="2569" max="2569" width="1.125" style="1" customWidth="1"/>
    <col min="2570" max="2816" width="10.125" style="1"/>
    <col min="2817" max="2817" width="3.125" style="1" customWidth="1"/>
    <col min="2818" max="2818" width="30.5" style="1" customWidth="1"/>
    <col min="2819" max="2819" width="8.75" style="1" customWidth="1"/>
    <col min="2820" max="2820" width="1.5" style="1" customWidth="1"/>
    <col min="2821" max="2821" width="10" style="1" customWidth="1"/>
    <col min="2822" max="2822" width="6.125" style="1" customWidth="1"/>
    <col min="2823" max="2823" width="7.25" style="1" customWidth="1"/>
    <col min="2824" max="2824" width="8.5" style="1" customWidth="1"/>
    <col min="2825" max="2825" width="1.125" style="1" customWidth="1"/>
    <col min="2826" max="3072" width="10.125" style="1"/>
    <col min="3073" max="3073" width="3.125" style="1" customWidth="1"/>
    <col min="3074" max="3074" width="30.5" style="1" customWidth="1"/>
    <col min="3075" max="3075" width="8.75" style="1" customWidth="1"/>
    <col min="3076" max="3076" width="1.5" style="1" customWidth="1"/>
    <col min="3077" max="3077" width="10" style="1" customWidth="1"/>
    <col min="3078" max="3078" width="6.125" style="1" customWidth="1"/>
    <col min="3079" max="3079" width="7.25" style="1" customWidth="1"/>
    <col min="3080" max="3080" width="8.5" style="1" customWidth="1"/>
    <col min="3081" max="3081" width="1.125" style="1" customWidth="1"/>
    <col min="3082" max="3328" width="10.125" style="1"/>
    <col min="3329" max="3329" width="3.125" style="1" customWidth="1"/>
    <col min="3330" max="3330" width="30.5" style="1" customWidth="1"/>
    <col min="3331" max="3331" width="8.75" style="1" customWidth="1"/>
    <col min="3332" max="3332" width="1.5" style="1" customWidth="1"/>
    <col min="3333" max="3333" width="10" style="1" customWidth="1"/>
    <col min="3334" max="3334" width="6.125" style="1" customWidth="1"/>
    <col min="3335" max="3335" width="7.25" style="1" customWidth="1"/>
    <col min="3336" max="3336" width="8.5" style="1" customWidth="1"/>
    <col min="3337" max="3337" width="1.125" style="1" customWidth="1"/>
    <col min="3338" max="3584" width="10.125" style="1"/>
    <col min="3585" max="3585" width="3.125" style="1" customWidth="1"/>
    <col min="3586" max="3586" width="30.5" style="1" customWidth="1"/>
    <col min="3587" max="3587" width="8.75" style="1" customWidth="1"/>
    <col min="3588" max="3588" width="1.5" style="1" customWidth="1"/>
    <col min="3589" max="3589" width="10" style="1" customWidth="1"/>
    <col min="3590" max="3590" width="6.125" style="1" customWidth="1"/>
    <col min="3591" max="3591" width="7.25" style="1" customWidth="1"/>
    <col min="3592" max="3592" width="8.5" style="1" customWidth="1"/>
    <col min="3593" max="3593" width="1.125" style="1" customWidth="1"/>
    <col min="3594" max="3840" width="10.125" style="1"/>
    <col min="3841" max="3841" width="3.125" style="1" customWidth="1"/>
    <col min="3842" max="3842" width="30.5" style="1" customWidth="1"/>
    <col min="3843" max="3843" width="8.75" style="1" customWidth="1"/>
    <col min="3844" max="3844" width="1.5" style="1" customWidth="1"/>
    <col min="3845" max="3845" width="10" style="1" customWidth="1"/>
    <col min="3846" max="3846" width="6.125" style="1" customWidth="1"/>
    <col min="3847" max="3847" width="7.25" style="1" customWidth="1"/>
    <col min="3848" max="3848" width="8.5" style="1" customWidth="1"/>
    <col min="3849" max="3849" width="1.125" style="1" customWidth="1"/>
    <col min="3850" max="4096" width="10.125" style="1"/>
    <col min="4097" max="4097" width="3.125" style="1" customWidth="1"/>
    <col min="4098" max="4098" width="30.5" style="1" customWidth="1"/>
    <col min="4099" max="4099" width="8.75" style="1" customWidth="1"/>
    <col min="4100" max="4100" width="1.5" style="1" customWidth="1"/>
    <col min="4101" max="4101" width="10" style="1" customWidth="1"/>
    <col min="4102" max="4102" width="6.125" style="1" customWidth="1"/>
    <col min="4103" max="4103" width="7.25" style="1" customWidth="1"/>
    <col min="4104" max="4104" width="8.5" style="1" customWidth="1"/>
    <col min="4105" max="4105" width="1.125" style="1" customWidth="1"/>
    <col min="4106" max="4352" width="10.125" style="1"/>
    <col min="4353" max="4353" width="3.125" style="1" customWidth="1"/>
    <col min="4354" max="4354" width="30.5" style="1" customWidth="1"/>
    <col min="4355" max="4355" width="8.75" style="1" customWidth="1"/>
    <col min="4356" max="4356" width="1.5" style="1" customWidth="1"/>
    <col min="4357" max="4357" width="10" style="1" customWidth="1"/>
    <col min="4358" max="4358" width="6.125" style="1" customWidth="1"/>
    <col min="4359" max="4359" width="7.25" style="1" customWidth="1"/>
    <col min="4360" max="4360" width="8.5" style="1" customWidth="1"/>
    <col min="4361" max="4361" width="1.125" style="1" customWidth="1"/>
    <col min="4362" max="4608" width="10.125" style="1"/>
    <col min="4609" max="4609" width="3.125" style="1" customWidth="1"/>
    <col min="4610" max="4610" width="30.5" style="1" customWidth="1"/>
    <col min="4611" max="4611" width="8.75" style="1" customWidth="1"/>
    <col min="4612" max="4612" width="1.5" style="1" customWidth="1"/>
    <col min="4613" max="4613" width="10" style="1" customWidth="1"/>
    <col min="4614" max="4614" width="6.125" style="1" customWidth="1"/>
    <col min="4615" max="4615" width="7.25" style="1" customWidth="1"/>
    <col min="4616" max="4616" width="8.5" style="1" customWidth="1"/>
    <col min="4617" max="4617" width="1.125" style="1" customWidth="1"/>
    <col min="4618" max="4864" width="10.125" style="1"/>
    <col min="4865" max="4865" width="3.125" style="1" customWidth="1"/>
    <col min="4866" max="4866" width="30.5" style="1" customWidth="1"/>
    <col min="4867" max="4867" width="8.75" style="1" customWidth="1"/>
    <col min="4868" max="4868" width="1.5" style="1" customWidth="1"/>
    <col min="4869" max="4869" width="10" style="1" customWidth="1"/>
    <col min="4870" max="4870" width="6.125" style="1" customWidth="1"/>
    <col min="4871" max="4871" width="7.25" style="1" customWidth="1"/>
    <col min="4872" max="4872" width="8.5" style="1" customWidth="1"/>
    <col min="4873" max="4873" width="1.125" style="1" customWidth="1"/>
    <col min="4874" max="5120" width="10.125" style="1"/>
    <col min="5121" max="5121" width="3.125" style="1" customWidth="1"/>
    <col min="5122" max="5122" width="30.5" style="1" customWidth="1"/>
    <col min="5123" max="5123" width="8.75" style="1" customWidth="1"/>
    <col min="5124" max="5124" width="1.5" style="1" customWidth="1"/>
    <col min="5125" max="5125" width="10" style="1" customWidth="1"/>
    <col min="5126" max="5126" width="6.125" style="1" customWidth="1"/>
    <col min="5127" max="5127" width="7.25" style="1" customWidth="1"/>
    <col min="5128" max="5128" width="8.5" style="1" customWidth="1"/>
    <col min="5129" max="5129" width="1.125" style="1" customWidth="1"/>
    <col min="5130" max="5376" width="10.125" style="1"/>
    <col min="5377" max="5377" width="3.125" style="1" customWidth="1"/>
    <col min="5378" max="5378" width="30.5" style="1" customWidth="1"/>
    <col min="5379" max="5379" width="8.75" style="1" customWidth="1"/>
    <col min="5380" max="5380" width="1.5" style="1" customWidth="1"/>
    <col min="5381" max="5381" width="10" style="1" customWidth="1"/>
    <col min="5382" max="5382" width="6.125" style="1" customWidth="1"/>
    <col min="5383" max="5383" width="7.25" style="1" customWidth="1"/>
    <col min="5384" max="5384" width="8.5" style="1" customWidth="1"/>
    <col min="5385" max="5385" width="1.125" style="1" customWidth="1"/>
    <col min="5386" max="5632" width="10.125" style="1"/>
    <col min="5633" max="5633" width="3.125" style="1" customWidth="1"/>
    <col min="5634" max="5634" width="30.5" style="1" customWidth="1"/>
    <col min="5635" max="5635" width="8.75" style="1" customWidth="1"/>
    <col min="5636" max="5636" width="1.5" style="1" customWidth="1"/>
    <col min="5637" max="5637" width="10" style="1" customWidth="1"/>
    <col min="5638" max="5638" width="6.125" style="1" customWidth="1"/>
    <col min="5639" max="5639" width="7.25" style="1" customWidth="1"/>
    <col min="5640" max="5640" width="8.5" style="1" customWidth="1"/>
    <col min="5641" max="5641" width="1.125" style="1" customWidth="1"/>
    <col min="5642" max="5888" width="10.125" style="1"/>
    <col min="5889" max="5889" width="3.125" style="1" customWidth="1"/>
    <col min="5890" max="5890" width="30.5" style="1" customWidth="1"/>
    <col min="5891" max="5891" width="8.75" style="1" customWidth="1"/>
    <col min="5892" max="5892" width="1.5" style="1" customWidth="1"/>
    <col min="5893" max="5893" width="10" style="1" customWidth="1"/>
    <col min="5894" max="5894" width="6.125" style="1" customWidth="1"/>
    <col min="5895" max="5895" width="7.25" style="1" customWidth="1"/>
    <col min="5896" max="5896" width="8.5" style="1" customWidth="1"/>
    <col min="5897" max="5897" width="1.125" style="1" customWidth="1"/>
    <col min="5898" max="6144" width="10.125" style="1"/>
    <col min="6145" max="6145" width="3.125" style="1" customWidth="1"/>
    <col min="6146" max="6146" width="30.5" style="1" customWidth="1"/>
    <col min="6147" max="6147" width="8.75" style="1" customWidth="1"/>
    <col min="6148" max="6148" width="1.5" style="1" customWidth="1"/>
    <col min="6149" max="6149" width="10" style="1" customWidth="1"/>
    <col min="6150" max="6150" width="6.125" style="1" customWidth="1"/>
    <col min="6151" max="6151" width="7.25" style="1" customWidth="1"/>
    <col min="6152" max="6152" width="8.5" style="1" customWidth="1"/>
    <col min="6153" max="6153" width="1.125" style="1" customWidth="1"/>
    <col min="6154" max="6400" width="10.125" style="1"/>
    <col min="6401" max="6401" width="3.125" style="1" customWidth="1"/>
    <col min="6402" max="6402" width="30.5" style="1" customWidth="1"/>
    <col min="6403" max="6403" width="8.75" style="1" customWidth="1"/>
    <col min="6404" max="6404" width="1.5" style="1" customWidth="1"/>
    <col min="6405" max="6405" width="10" style="1" customWidth="1"/>
    <col min="6406" max="6406" width="6.125" style="1" customWidth="1"/>
    <col min="6407" max="6407" width="7.25" style="1" customWidth="1"/>
    <col min="6408" max="6408" width="8.5" style="1" customWidth="1"/>
    <col min="6409" max="6409" width="1.125" style="1" customWidth="1"/>
    <col min="6410" max="6656" width="10.125" style="1"/>
    <col min="6657" max="6657" width="3.125" style="1" customWidth="1"/>
    <col min="6658" max="6658" width="30.5" style="1" customWidth="1"/>
    <col min="6659" max="6659" width="8.75" style="1" customWidth="1"/>
    <col min="6660" max="6660" width="1.5" style="1" customWidth="1"/>
    <col min="6661" max="6661" width="10" style="1" customWidth="1"/>
    <col min="6662" max="6662" width="6.125" style="1" customWidth="1"/>
    <col min="6663" max="6663" width="7.25" style="1" customWidth="1"/>
    <col min="6664" max="6664" width="8.5" style="1" customWidth="1"/>
    <col min="6665" max="6665" width="1.125" style="1" customWidth="1"/>
    <col min="6666" max="6912" width="10.125" style="1"/>
    <col min="6913" max="6913" width="3.125" style="1" customWidth="1"/>
    <col min="6914" max="6914" width="30.5" style="1" customWidth="1"/>
    <col min="6915" max="6915" width="8.75" style="1" customWidth="1"/>
    <col min="6916" max="6916" width="1.5" style="1" customWidth="1"/>
    <col min="6917" max="6917" width="10" style="1" customWidth="1"/>
    <col min="6918" max="6918" width="6.125" style="1" customWidth="1"/>
    <col min="6919" max="6919" width="7.25" style="1" customWidth="1"/>
    <col min="6920" max="6920" width="8.5" style="1" customWidth="1"/>
    <col min="6921" max="6921" width="1.125" style="1" customWidth="1"/>
    <col min="6922" max="7168" width="10.125" style="1"/>
    <col min="7169" max="7169" width="3.125" style="1" customWidth="1"/>
    <col min="7170" max="7170" width="30.5" style="1" customWidth="1"/>
    <col min="7171" max="7171" width="8.75" style="1" customWidth="1"/>
    <col min="7172" max="7172" width="1.5" style="1" customWidth="1"/>
    <col min="7173" max="7173" width="10" style="1" customWidth="1"/>
    <col min="7174" max="7174" width="6.125" style="1" customWidth="1"/>
    <col min="7175" max="7175" width="7.25" style="1" customWidth="1"/>
    <col min="7176" max="7176" width="8.5" style="1" customWidth="1"/>
    <col min="7177" max="7177" width="1.125" style="1" customWidth="1"/>
    <col min="7178" max="7424" width="10.125" style="1"/>
    <col min="7425" max="7425" width="3.125" style="1" customWidth="1"/>
    <col min="7426" max="7426" width="30.5" style="1" customWidth="1"/>
    <col min="7427" max="7427" width="8.75" style="1" customWidth="1"/>
    <col min="7428" max="7428" width="1.5" style="1" customWidth="1"/>
    <col min="7429" max="7429" width="10" style="1" customWidth="1"/>
    <col min="7430" max="7430" width="6.125" style="1" customWidth="1"/>
    <col min="7431" max="7431" width="7.25" style="1" customWidth="1"/>
    <col min="7432" max="7432" width="8.5" style="1" customWidth="1"/>
    <col min="7433" max="7433" width="1.125" style="1" customWidth="1"/>
    <col min="7434" max="7680" width="10.125" style="1"/>
    <col min="7681" max="7681" width="3.125" style="1" customWidth="1"/>
    <col min="7682" max="7682" width="30.5" style="1" customWidth="1"/>
    <col min="7683" max="7683" width="8.75" style="1" customWidth="1"/>
    <col min="7684" max="7684" width="1.5" style="1" customWidth="1"/>
    <col min="7685" max="7685" width="10" style="1" customWidth="1"/>
    <col min="7686" max="7686" width="6.125" style="1" customWidth="1"/>
    <col min="7687" max="7687" width="7.25" style="1" customWidth="1"/>
    <col min="7688" max="7688" width="8.5" style="1" customWidth="1"/>
    <col min="7689" max="7689" width="1.125" style="1" customWidth="1"/>
    <col min="7690" max="7936" width="10.125" style="1"/>
    <col min="7937" max="7937" width="3.125" style="1" customWidth="1"/>
    <col min="7938" max="7938" width="30.5" style="1" customWidth="1"/>
    <col min="7939" max="7939" width="8.75" style="1" customWidth="1"/>
    <col min="7940" max="7940" width="1.5" style="1" customWidth="1"/>
    <col min="7941" max="7941" width="10" style="1" customWidth="1"/>
    <col min="7942" max="7942" width="6.125" style="1" customWidth="1"/>
    <col min="7943" max="7943" width="7.25" style="1" customWidth="1"/>
    <col min="7944" max="7944" width="8.5" style="1" customWidth="1"/>
    <col min="7945" max="7945" width="1.125" style="1" customWidth="1"/>
    <col min="7946" max="8192" width="10.125" style="1"/>
    <col min="8193" max="8193" width="3.125" style="1" customWidth="1"/>
    <col min="8194" max="8194" width="30.5" style="1" customWidth="1"/>
    <col min="8195" max="8195" width="8.75" style="1" customWidth="1"/>
    <col min="8196" max="8196" width="1.5" style="1" customWidth="1"/>
    <col min="8197" max="8197" width="10" style="1" customWidth="1"/>
    <col min="8198" max="8198" width="6.125" style="1" customWidth="1"/>
    <col min="8199" max="8199" width="7.25" style="1" customWidth="1"/>
    <col min="8200" max="8200" width="8.5" style="1" customWidth="1"/>
    <col min="8201" max="8201" width="1.125" style="1" customWidth="1"/>
    <col min="8202" max="8448" width="10.125" style="1"/>
    <col min="8449" max="8449" width="3.125" style="1" customWidth="1"/>
    <col min="8450" max="8450" width="30.5" style="1" customWidth="1"/>
    <col min="8451" max="8451" width="8.75" style="1" customWidth="1"/>
    <col min="8452" max="8452" width="1.5" style="1" customWidth="1"/>
    <col min="8453" max="8453" width="10" style="1" customWidth="1"/>
    <col min="8454" max="8454" width="6.125" style="1" customWidth="1"/>
    <col min="8455" max="8455" width="7.25" style="1" customWidth="1"/>
    <col min="8456" max="8456" width="8.5" style="1" customWidth="1"/>
    <col min="8457" max="8457" width="1.125" style="1" customWidth="1"/>
    <col min="8458" max="8704" width="10.125" style="1"/>
    <col min="8705" max="8705" width="3.125" style="1" customWidth="1"/>
    <col min="8706" max="8706" width="30.5" style="1" customWidth="1"/>
    <col min="8707" max="8707" width="8.75" style="1" customWidth="1"/>
    <col min="8708" max="8708" width="1.5" style="1" customWidth="1"/>
    <col min="8709" max="8709" width="10" style="1" customWidth="1"/>
    <col min="8710" max="8710" width="6.125" style="1" customWidth="1"/>
    <col min="8711" max="8711" width="7.25" style="1" customWidth="1"/>
    <col min="8712" max="8712" width="8.5" style="1" customWidth="1"/>
    <col min="8713" max="8713" width="1.125" style="1" customWidth="1"/>
    <col min="8714" max="8960" width="10.125" style="1"/>
    <col min="8961" max="8961" width="3.125" style="1" customWidth="1"/>
    <col min="8962" max="8962" width="30.5" style="1" customWidth="1"/>
    <col min="8963" max="8963" width="8.75" style="1" customWidth="1"/>
    <col min="8964" max="8964" width="1.5" style="1" customWidth="1"/>
    <col min="8965" max="8965" width="10" style="1" customWidth="1"/>
    <col min="8966" max="8966" width="6.125" style="1" customWidth="1"/>
    <col min="8967" max="8967" width="7.25" style="1" customWidth="1"/>
    <col min="8968" max="8968" width="8.5" style="1" customWidth="1"/>
    <col min="8969" max="8969" width="1.125" style="1" customWidth="1"/>
    <col min="8970" max="9216" width="10.125" style="1"/>
    <col min="9217" max="9217" width="3.125" style="1" customWidth="1"/>
    <col min="9218" max="9218" width="30.5" style="1" customWidth="1"/>
    <col min="9219" max="9219" width="8.75" style="1" customWidth="1"/>
    <col min="9220" max="9220" width="1.5" style="1" customWidth="1"/>
    <col min="9221" max="9221" width="10" style="1" customWidth="1"/>
    <col min="9222" max="9222" width="6.125" style="1" customWidth="1"/>
    <col min="9223" max="9223" width="7.25" style="1" customWidth="1"/>
    <col min="9224" max="9224" width="8.5" style="1" customWidth="1"/>
    <col min="9225" max="9225" width="1.125" style="1" customWidth="1"/>
    <col min="9226" max="9472" width="10.125" style="1"/>
    <col min="9473" max="9473" width="3.125" style="1" customWidth="1"/>
    <col min="9474" max="9474" width="30.5" style="1" customWidth="1"/>
    <col min="9475" max="9475" width="8.75" style="1" customWidth="1"/>
    <col min="9476" max="9476" width="1.5" style="1" customWidth="1"/>
    <col min="9477" max="9477" width="10" style="1" customWidth="1"/>
    <col min="9478" max="9478" width="6.125" style="1" customWidth="1"/>
    <col min="9479" max="9479" width="7.25" style="1" customWidth="1"/>
    <col min="9480" max="9480" width="8.5" style="1" customWidth="1"/>
    <col min="9481" max="9481" width="1.125" style="1" customWidth="1"/>
    <col min="9482" max="9728" width="10.125" style="1"/>
    <col min="9729" max="9729" width="3.125" style="1" customWidth="1"/>
    <col min="9730" max="9730" width="30.5" style="1" customWidth="1"/>
    <col min="9731" max="9731" width="8.75" style="1" customWidth="1"/>
    <col min="9732" max="9732" width="1.5" style="1" customWidth="1"/>
    <col min="9733" max="9733" width="10" style="1" customWidth="1"/>
    <col min="9734" max="9734" width="6.125" style="1" customWidth="1"/>
    <col min="9735" max="9735" width="7.25" style="1" customWidth="1"/>
    <col min="9736" max="9736" width="8.5" style="1" customWidth="1"/>
    <col min="9737" max="9737" width="1.125" style="1" customWidth="1"/>
    <col min="9738" max="9984" width="10.125" style="1"/>
    <col min="9985" max="9985" width="3.125" style="1" customWidth="1"/>
    <col min="9986" max="9986" width="30.5" style="1" customWidth="1"/>
    <col min="9987" max="9987" width="8.75" style="1" customWidth="1"/>
    <col min="9988" max="9988" width="1.5" style="1" customWidth="1"/>
    <col min="9989" max="9989" width="10" style="1" customWidth="1"/>
    <col min="9990" max="9990" width="6.125" style="1" customWidth="1"/>
    <col min="9991" max="9991" width="7.25" style="1" customWidth="1"/>
    <col min="9992" max="9992" width="8.5" style="1" customWidth="1"/>
    <col min="9993" max="9993" width="1.125" style="1" customWidth="1"/>
    <col min="9994" max="10240" width="10.125" style="1"/>
    <col min="10241" max="10241" width="3.125" style="1" customWidth="1"/>
    <col min="10242" max="10242" width="30.5" style="1" customWidth="1"/>
    <col min="10243" max="10243" width="8.75" style="1" customWidth="1"/>
    <col min="10244" max="10244" width="1.5" style="1" customWidth="1"/>
    <col min="10245" max="10245" width="10" style="1" customWidth="1"/>
    <col min="10246" max="10246" width="6.125" style="1" customWidth="1"/>
    <col min="10247" max="10247" width="7.25" style="1" customWidth="1"/>
    <col min="10248" max="10248" width="8.5" style="1" customWidth="1"/>
    <col min="10249" max="10249" width="1.125" style="1" customWidth="1"/>
    <col min="10250" max="10496" width="10.125" style="1"/>
    <col min="10497" max="10497" width="3.125" style="1" customWidth="1"/>
    <col min="10498" max="10498" width="30.5" style="1" customWidth="1"/>
    <col min="10499" max="10499" width="8.75" style="1" customWidth="1"/>
    <col min="10500" max="10500" width="1.5" style="1" customWidth="1"/>
    <col min="10501" max="10501" width="10" style="1" customWidth="1"/>
    <col min="10502" max="10502" width="6.125" style="1" customWidth="1"/>
    <col min="10503" max="10503" width="7.25" style="1" customWidth="1"/>
    <col min="10504" max="10504" width="8.5" style="1" customWidth="1"/>
    <col min="10505" max="10505" width="1.125" style="1" customWidth="1"/>
    <col min="10506" max="10752" width="10.125" style="1"/>
    <col min="10753" max="10753" width="3.125" style="1" customWidth="1"/>
    <col min="10754" max="10754" width="30.5" style="1" customWidth="1"/>
    <col min="10755" max="10755" width="8.75" style="1" customWidth="1"/>
    <col min="10756" max="10756" width="1.5" style="1" customWidth="1"/>
    <col min="10757" max="10757" width="10" style="1" customWidth="1"/>
    <col min="10758" max="10758" width="6.125" style="1" customWidth="1"/>
    <col min="10759" max="10759" width="7.25" style="1" customWidth="1"/>
    <col min="10760" max="10760" width="8.5" style="1" customWidth="1"/>
    <col min="10761" max="10761" width="1.125" style="1" customWidth="1"/>
    <col min="10762" max="11008" width="10.125" style="1"/>
    <col min="11009" max="11009" width="3.125" style="1" customWidth="1"/>
    <col min="11010" max="11010" width="30.5" style="1" customWidth="1"/>
    <col min="11011" max="11011" width="8.75" style="1" customWidth="1"/>
    <col min="11012" max="11012" width="1.5" style="1" customWidth="1"/>
    <col min="11013" max="11013" width="10" style="1" customWidth="1"/>
    <col min="11014" max="11014" width="6.125" style="1" customWidth="1"/>
    <col min="11015" max="11015" width="7.25" style="1" customWidth="1"/>
    <col min="11016" max="11016" width="8.5" style="1" customWidth="1"/>
    <col min="11017" max="11017" width="1.125" style="1" customWidth="1"/>
    <col min="11018" max="11264" width="10.125" style="1"/>
    <col min="11265" max="11265" width="3.125" style="1" customWidth="1"/>
    <col min="11266" max="11266" width="30.5" style="1" customWidth="1"/>
    <col min="11267" max="11267" width="8.75" style="1" customWidth="1"/>
    <col min="11268" max="11268" width="1.5" style="1" customWidth="1"/>
    <col min="11269" max="11269" width="10" style="1" customWidth="1"/>
    <col min="11270" max="11270" width="6.125" style="1" customWidth="1"/>
    <col min="11271" max="11271" width="7.25" style="1" customWidth="1"/>
    <col min="11272" max="11272" width="8.5" style="1" customWidth="1"/>
    <col min="11273" max="11273" width="1.125" style="1" customWidth="1"/>
    <col min="11274" max="11520" width="10.125" style="1"/>
    <col min="11521" max="11521" width="3.125" style="1" customWidth="1"/>
    <col min="11522" max="11522" width="30.5" style="1" customWidth="1"/>
    <col min="11523" max="11523" width="8.75" style="1" customWidth="1"/>
    <col min="11524" max="11524" width="1.5" style="1" customWidth="1"/>
    <col min="11525" max="11525" width="10" style="1" customWidth="1"/>
    <col min="11526" max="11526" width="6.125" style="1" customWidth="1"/>
    <col min="11527" max="11527" width="7.25" style="1" customWidth="1"/>
    <col min="11528" max="11528" width="8.5" style="1" customWidth="1"/>
    <col min="11529" max="11529" width="1.125" style="1" customWidth="1"/>
    <col min="11530" max="11776" width="10.125" style="1"/>
    <col min="11777" max="11777" width="3.125" style="1" customWidth="1"/>
    <col min="11778" max="11778" width="30.5" style="1" customWidth="1"/>
    <col min="11779" max="11779" width="8.75" style="1" customWidth="1"/>
    <col min="11780" max="11780" width="1.5" style="1" customWidth="1"/>
    <col min="11781" max="11781" width="10" style="1" customWidth="1"/>
    <col min="11782" max="11782" width="6.125" style="1" customWidth="1"/>
    <col min="11783" max="11783" width="7.25" style="1" customWidth="1"/>
    <col min="11784" max="11784" width="8.5" style="1" customWidth="1"/>
    <col min="11785" max="11785" width="1.125" style="1" customWidth="1"/>
    <col min="11786" max="12032" width="10.125" style="1"/>
    <col min="12033" max="12033" width="3.125" style="1" customWidth="1"/>
    <col min="12034" max="12034" width="30.5" style="1" customWidth="1"/>
    <col min="12035" max="12035" width="8.75" style="1" customWidth="1"/>
    <col min="12036" max="12036" width="1.5" style="1" customWidth="1"/>
    <col min="12037" max="12037" width="10" style="1" customWidth="1"/>
    <col min="12038" max="12038" width="6.125" style="1" customWidth="1"/>
    <col min="12039" max="12039" width="7.25" style="1" customWidth="1"/>
    <col min="12040" max="12040" width="8.5" style="1" customWidth="1"/>
    <col min="12041" max="12041" width="1.125" style="1" customWidth="1"/>
    <col min="12042" max="12288" width="10.125" style="1"/>
    <col min="12289" max="12289" width="3.125" style="1" customWidth="1"/>
    <col min="12290" max="12290" width="30.5" style="1" customWidth="1"/>
    <col min="12291" max="12291" width="8.75" style="1" customWidth="1"/>
    <col min="12292" max="12292" width="1.5" style="1" customWidth="1"/>
    <col min="12293" max="12293" width="10" style="1" customWidth="1"/>
    <col min="12294" max="12294" width="6.125" style="1" customWidth="1"/>
    <col min="12295" max="12295" width="7.25" style="1" customWidth="1"/>
    <col min="12296" max="12296" width="8.5" style="1" customWidth="1"/>
    <col min="12297" max="12297" width="1.125" style="1" customWidth="1"/>
    <col min="12298" max="12544" width="10.125" style="1"/>
    <col min="12545" max="12545" width="3.125" style="1" customWidth="1"/>
    <col min="12546" max="12546" width="30.5" style="1" customWidth="1"/>
    <col min="12547" max="12547" width="8.75" style="1" customWidth="1"/>
    <col min="12548" max="12548" width="1.5" style="1" customWidth="1"/>
    <col min="12549" max="12549" width="10" style="1" customWidth="1"/>
    <col min="12550" max="12550" width="6.125" style="1" customWidth="1"/>
    <col min="12551" max="12551" width="7.25" style="1" customWidth="1"/>
    <col min="12552" max="12552" width="8.5" style="1" customWidth="1"/>
    <col min="12553" max="12553" width="1.125" style="1" customWidth="1"/>
    <col min="12554" max="12800" width="10.125" style="1"/>
    <col min="12801" max="12801" width="3.125" style="1" customWidth="1"/>
    <col min="12802" max="12802" width="30.5" style="1" customWidth="1"/>
    <col min="12803" max="12803" width="8.75" style="1" customWidth="1"/>
    <col min="12804" max="12804" width="1.5" style="1" customWidth="1"/>
    <col min="12805" max="12805" width="10" style="1" customWidth="1"/>
    <col min="12806" max="12806" width="6.125" style="1" customWidth="1"/>
    <col min="12807" max="12807" width="7.25" style="1" customWidth="1"/>
    <col min="12808" max="12808" width="8.5" style="1" customWidth="1"/>
    <col min="12809" max="12809" width="1.125" style="1" customWidth="1"/>
    <col min="12810" max="13056" width="10.125" style="1"/>
    <col min="13057" max="13057" width="3.125" style="1" customWidth="1"/>
    <col min="13058" max="13058" width="30.5" style="1" customWidth="1"/>
    <col min="13059" max="13059" width="8.75" style="1" customWidth="1"/>
    <col min="13060" max="13060" width="1.5" style="1" customWidth="1"/>
    <col min="13061" max="13061" width="10" style="1" customWidth="1"/>
    <col min="13062" max="13062" width="6.125" style="1" customWidth="1"/>
    <col min="13063" max="13063" width="7.25" style="1" customWidth="1"/>
    <col min="13064" max="13064" width="8.5" style="1" customWidth="1"/>
    <col min="13065" max="13065" width="1.125" style="1" customWidth="1"/>
    <col min="13066" max="13312" width="10.125" style="1"/>
    <col min="13313" max="13313" width="3.125" style="1" customWidth="1"/>
    <col min="13314" max="13314" width="30.5" style="1" customWidth="1"/>
    <col min="13315" max="13315" width="8.75" style="1" customWidth="1"/>
    <col min="13316" max="13316" width="1.5" style="1" customWidth="1"/>
    <col min="13317" max="13317" width="10" style="1" customWidth="1"/>
    <col min="13318" max="13318" width="6.125" style="1" customWidth="1"/>
    <col min="13319" max="13319" width="7.25" style="1" customWidth="1"/>
    <col min="13320" max="13320" width="8.5" style="1" customWidth="1"/>
    <col min="13321" max="13321" width="1.125" style="1" customWidth="1"/>
    <col min="13322" max="13568" width="10.125" style="1"/>
    <col min="13569" max="13569" width="3.125" style="1" customWidth="1"/>
    <col min="13570" max="13570" width="30.5" style="1" customWidth="1"/>
    <col min="13571" max="13571" width="8.75" style="1" customWidth="1"/>
    <col min="13572" max="13572" width="1.5" style="1" customWidth="1"/>
    <col min="13573" max="13573" width="10" style="1" customWidth="1"/>
    <col min="13574" max="13574" width="6.125" style="1" customWidth="1"/>
    <col min="13575" max="13575" width="7.25" style="1" customWidth="1"/>
    <col min="13576" max="13576" width="8.5" style="1" customWidth="1"/>
    <col min="13577" max="13577" width="1.125" style="1" customWidth="1"/>
    <col min="13578" max="13824" width="10.125" style="1"/>
    <col min="13825" max="13825" width="3.125" style="1" customWidth="1"/>
    <col min="13826" max="13826" width="30.5" style="1" customWidth="1"/>
    <col min="13827" max="13827" width="8.75" style="1" customWidth="1"/>
    <col min="13828" max="13828" width="1.5" style="1" customWidth="1"/>
    <col min="13829" max="13829" width="10" style="1" customWidth="1"/>
    <col min="13830" max="13830" width="6.125" style="1" customWidth="1"/>
    <col min="13831" max="13831" width="7.25" style="1" customWidth="1"/>
    <col min="13832" max="13832" width="8.5" style="1" customWidth="1"/>
    <col min="13833" max="13833" width="1.125" style="1" customWidth="1"/>
    <col min="13834" max="14080" width="10.125" style="1"/>
    <col min="14081" max="14081" width="3.125" style="1" customWidth="1"/>
    <col min="14082" max="14082" width="30.5" style="1" customWidth="1"/>
    <col min="14083" max="14083" width="8.75" style="1" customWidth="1"/>
    <col min="14084" max="14084" width="1.5" style="1" customWidth="1"/>
    <col min="14085" max="14085" width="10" style="1" customWidth="1"/>
    <col min="14086" max="14086" width="6.125" style="1" customWidth="1"/>
    <col min="14087" max="14087" width="7.25" style="1" customWidth="1"/>
    <col min="14088" max="14088" width="8.5" style="1" customWidth="1"/>
    <col min="14089" max="14089" width="1.125" style="1" customWidth="1"/>
    <col min="14090" max="14336" width="10.125" style="1"/>
    <col min="14337" max="14337" width="3.125" style="1" customWidth="1"/>
    <col min="14338" max="14338" width="30.5" style="1" customWidth="1"/>
    <col min="14339" max="14339" width="8.75" style="1" customWidth="1"/>
    <col min="14340" max="14340" width="1.5" style="1" customWidth="1"/>
    <col min="14341" max="14341" width="10" style="1" customWidth="1"/>
    <col min="14342" max="14342" width="6.125" style="1" customWidth="1"/>
    <col min="14343" max="14343" width="7.25" style="1" customWidth="1"/>
    <col min="14344" max="14344" width="8.5" style="1" customWidth="1"/>
    <col min="14345" max="14345" width="1.125" style="1" customWidth="1"/>
    <col min="14346" max="14592" width="10.125" style="1"/>
    <col min="14593" max="14593" width="3.125" style="1" customWidth="1"/>
    <col min="14594" max="14594" width="30.5" style="1" customWidth="1"/>
    <col min="14595" max="14595" width="8.75" style="1" customWidth="1"/>
    <col min="14596" max="14596" width="1.5" style="1" customWidth="1"/>
    <col min="14597" max="14597" width="10" style="1" customWidth="1"/>
    <col min="14598" max="14598" width="6.125" style="1" customWidth="1"/>
    <col min="14599" max="14599" width="7.25" style="1" customWidth="1"/>
    <col min="14600" max="14600" width="8.5" style="1" customWidth="1"/>
    <col min="14601" max="14601" width="1.125" style="1" customWidth="1"/>
    <col min="14602" max="14848" width="10.125" style="1"/>
    <col min="14849" max="14849" width="3.125" style="1" customWidth="1"/>
    <col min="14850" max="14850" width="30.5" style="1" customWidth="1"/>
    <col min="14851" max="14851" width="8.75" style="1" customWidth="1"/>
    <col min="14852" max="14852" width="1.5" style="1" customWidth="1"/>
    <col min="14853" max="14853" width="10" style="1" customWidth="1"/>
    <col min="14854" max="14854" width="6.125" style="1" customWidth="1"/>
    <col min="14855" max="14855" width="7.25" style="1" customWidth="1"/>
    <col min="14856" max="14856" width="8.5" style="1" customWidth="1"/>
    <col min="14857" max="14857" width="1.125" style="1" customWidth="1"/>
    <col min="14858" max="15104" width="10.125" style="1"/>
    <col min="15105" max="15105" width="3.125" style="1" customWidth="1"/>
    <col min="15106" max="15106" width="30.5" style="1" customWidth="1"/>
    <col min="15107" max="15107" width="8.75" style="1" customWidth="1"/>
    <col min="15108" max="15108" width="1.5" style="1" customWidth="1"/>
    <col min="15109" max="15109" width="10" style="1" customWidth="1"/>
    <col min="15110" max="15110" width="6.125" style="1" customWidth="1"/>
    <col min="15111" max="15111" width="7.25" style="1" customWidth="1"/>
    <col min="15112" max="15112" width="8.5" style="1" customWidth="1"/>
    <col min="15113" max="15113" width="1.125" style="1" customWidth="1"/>
    <col min="15114" max="15360" width="10.125" style="1"/>
    <col min="15361" max="15361" width="3.125" style="1" customWidth="1"/>
    <col min="15362" max="15362" width="30.5" style="1" customWidth="1"/>
    <col min="15363" max="15363" width="8.75" style="1" customWidth="1"/>
    <col min="15364" max="15364" width="1.5" style="1" customWidth="1"/>
    <col min="15365" max="15365" width="10" style="1" customWidth="1"/>
    <col min="15366" max="15366" width="6.125" style="1" customWidth="1"/>
    <col min="15367" max="15367" width="7.25" style="1" customWidth="1"/>
    <col min="15368" max="15368" width="8.5" style="1" customWidth="1"/>
    <col min="15369" max="15369" width="1.125" style="1" customWidth="1"/>
    <col min="15370" max="15616" width="10.125" style="1"/>
    <col min="15617" max="15617" width="3.125" style="1" customWidth="1"/>
    <col min="15618" max="15618" width="30.5" style="1" customWidth="1"/>
    <col min="15619" max="15619" width="8.75" style="1" customWidth="1"/>
    <col min="15620" max="15620" width="1.5" style="1" customWidth="1"/>
    <col min="15621" max="15621" width="10" style="1" customWidth="1"/>
    <col min="15622" max="15622" width="6.125" style="1" customWidth="1"/>
    <col min="15623" max="15623" width="7.25" style="1" customWidth="1"/>
    <col min="15624" max="15624" width="8.5" style="1" customWidth="1"/>
    <col min="15625" max="15625" width="1.125" style="1" customWidth="1"/>
    <col min="15626" max="15872" width="10.125" style="1"/>
    <col min="15873" max="15873" width="3.125" style="1" customWidth="1"/>
    <col min="15874" max="15874" width="30.5" style="1" customWidth="1"/>
    <col min="15875" max="15875" width="8.75" style="1" customWidth="1"/>
    <col min="15876" max="15876" width="1.5" style="1" customWidth="1"/>
    <col min="15877" max="15877" width="10" style="1" customWidth="1"/>
    <col min="15878" max="15878" width="6.125" style="1" customWidth="1"/>
    <col min="15879" max="15879" width="7.25" style="1" customWidth="1"/>
    <col min="15880" max="15880" width="8.5" style="1" customWidth="1"/>
    <col min="15881" max="15881" width="1.125" style="1" customWidth="1"/>
    <col min="15882" max="16128" width="10.125" style="1"/>
    <col min="16129" max="16129" width="3.125" style="1" customWidth="1"/>
    <col min="16130" max="16130" width="30.5" style="1" customWidth="1"/>
    <col min="16131" max="16131" width="8.75" style="1" customWidth="1"/>
    <col min="16132" max="16132" width="1.5" style="1" customWidth="1"/>
    <col min="16133" max="16133" width="10" style="1" customWidth="1"/>
    <col min="16134" max="16134" width="6.125" style="1" customWidth="1"/>
    <col min="16135" max="16135" width="7.25" style="1" customWidth="1"/>
    <col min="16136" max="16136" width="8.5" style="1" customWidth="1"/>
    <col min="16137" max="16137" width="1.125" style="1" customWidth="1"/>
    <col min="16138" max="16384" width="10.125" style="1"/>
  </cols>
  <sheetData>
    <row r="5" spans="1:20" x14ac:dyDescent="0.25">
      <c r="A5" s="4" t="s">
        <v>0</v>
      </c>
      <c r="B5" s="5"/>
      <c r="C5" s="5"/>
    </row>
    <row r="6" spans="1:20" ht="9" customHeight="1" x14ac:dyDescent="0.25">
      <c r="A6" s="4"/>
      <c r="B6" s="5"/>
      <c r="C6" s="5"/>
    </row>
    <row r="7" spans="1:20" s="7" customFormat="1" ht="15" x14ac:dyDescent="0.25">
      <c r="A7" s="7" t="s">
        <v>1</v>
      </c>
      <c r="B7" s="8"/>
      <c r="D7" s="9"/>
      <c r="E7" s="131" t="s">
        <v>2</v>
      </c>
      <c r="F7" s="132"/>
      <c r="G7" s="133">
        <v>45593</v>
      </c>
      <c r="H7" s="134"/>
    </row>
    <row r="8" spans="1:20" s="7" customFormat="1" ht="15" x14ac:dyDescent="0.25">
      <c r="A8" s="7" t="s">
        <v>53</v>
      </c>
      <c r="B8" s="8"/>
      <c r="D8" s="9"/>
      <c r="E8" s="135" t="s">
        <v>3</v>
      </c>
      <c r="F8" s="136"/>
      <c r="H8" s="11">
        <v>60431</v>
      </c>
    </row>
    <row r="9" spans="1:20" s="7" customFormat="1" ht="15" x14ac:dyDescent="0.25">
      <c r="A9" s="7" t="s">
        <v>54</v>
      </c>
      <c r="B9" s="8"/>
      <c r="D9" s="9"/>
      <c r="E9" s="135" t="s">
        <v>4</v>
      </c>
      <c r="F9" s="136"/>
      <c r="G9" s="137" t="s">
        <v>105</v>
      </c>
      <c r="H9" s="138"/>
    </row>
    <row r="10" spans="1:20" s="7" customFormat="1" ht="15" x14ac:dyDescent="0.25">
      <c r="B10" s="8"/>
      <c r="D10" s="9"/>
      <c r="E10" s="13" t="s">
        <v>5</v>
      </c>
      <c r="F10" s="14"/>
      <c r="G10" s="139" t="s">
        <v>32</v>
      </c>
      <c r="H10" s="140"/>
      <c r="L10" s="7">
        <v>34</v>
      </c>
      <c r="M10" s="7" t="s">
        <v>33</v>
      </c>
      <c r="N10" s="44"/>
      <c r="O10" s="45"/>
      <c r="P10" s="46"/>
      <c r="R10" s="47"/>
      <c r="S10" s="28"/>
    </row>
    <row r="11" spans="1:20" s="7" customFormat="1" ht="15" x14ac:dyDescent="0.25">
      <c r="A11" s="15" t="s">
        <v>55</v>
      </c>
      <c r="B11" s="8"/>
      <c r="D11" s="9"/>
      <c r="E11" s="10" t="s">
        <v>6</v>
      </c>
      <c r="F11" s="125" t="s">
        <v>7</v>
      </c>
      <c r="G11" s="125"/>
      <c r="H11" s="126"/>
      <c r="M11" s="7" t="s">
        <v>34</v>
      </c>
      <c r="O11" s="45"/>
    </row>
    <row r="12" spans="1:20" s="7" customFormat="1" ht="15" x14ac:dyDescent="0.25">
      <c r="A12" s="15"/>
      <c r="B12" s="8"/>
      <c r="D12" s="9"/>
      <c r="E12" s="13" t="s">
        <v>8</v>
      </c>
      <c r="F12" s="127" t="s">
        <v>9</v>
      </c>
      <c r="G12" s="127"/>
      <c r="H12" s="128"/>
      <c r="M12" s="48" t="s">
        <v>35</v>
      </c>
      <c r="P12" s="49">
        <v>50</v>
      </c>
      <c r="Q12" s="47" t="s">
        <v>36</v>
      </c>
      <c r="R12" s="50">
        <v>0.5</v>
      </c>
      <c r="S12" s="28">
        <f>+R12*P12</f>
        <v>25</v>
      </c>
    </row>
    <row r="13" spans="1:20" s="7" customFormat="1" ht="15" x14ac:dyDescent="0.25">
      <c r="A13" s="15"/>
      <c r="B13" s="8"/>
      <c r="D13" s="9"/>
      <c r="E13" s="17"/>
      <c r="F13" s="51"/>
      <c r="G13" s="51"/>
      <c r="H13" s="51"/>
      <c r="M13" s="7" t="s">
        <v>37</v>
      </c>
      <c r="P13" s="49"/>
      <c r="Q13" s="47"/>
      <c r="R13" s="50"/>
      <c r="S13" s="28"/>
    </row>
    <row r="14" spans="1:20" s="7" customFormat="1" ht="15" x14ac:dyDescent="0.25">
      <c r="A14" s="15"/>
      <c r="B14" s="8"/>
      <c r="D14" s="9"/>
      <c r="E14" s="17"/>
      <c r="F14" s="51"/>
      <c r="G14" s="51"/>
      <c r="H14" s="51"/>
    </row>
    <row r="15" spans="1:20" s="7" customFormat="1" ht="15" x14ac:dyDescent="0.25">
      <c r="A15" s="15"/>
      <c r="B15" s="8"/>
      <c r="D15" s="9"/>
      <c r="E15" s="17"/>
      <c r="F15" s="51"/>
      <c r="G15" s="51"/>
      <c r="H15" s="51"/>
    </row>
    <row r="16" spans="1:20" s="7" customFormat="1" ht="15" x14ac:dyDescent="0.25">
      <c r="A16" s="15"/>
      <c r="B16" s="8"/>
      <c r="D16" s="9"/>
      <c r="E16" s="17"/>
      <c r="F16" s="51"/>
      <c r="G16" s="51"/>
      <c r="H16" s="51"/>
      <c r="M16" s="52" t="s">
        <v>45</v>
      </c>
      <c r="N16" s="53" t="s">
        <v>46</v>
      </c>
      <c r="O16" s="44"/>
      <c r="P16" s="45"/>
      <c r="Q16" s="54">
        <v>18</v>
      </c>
      <c r="R16" s="28"/>
      <c r="S16" s="47">
        <v>2</v>
      </c>
      <c r="T16" s="28">
        <f>+S16*Q16</f>
        <v>36</v>
      </c>
    </row>
    <row r="17" spans="1:8" s="15" customFormat="1" ht="14.25" x14ac:dyDescent="0.2">
      <c r="A17" s="129" t="s">
        <v>10</v>
      </c>
      <c r="B17" s="129"/>
      <c r="C17" s="129"/>
      <c r="D17" s="129"/>
      <c r="E17" s="129"/>
      <c r="F17" s="129"/>
      <c r="G17" s="129"/>
      <c r="H17" s="129"/>
    </row>
    <row r="18" spans="1:8" s="15" customFormat="1" ht="14.25" x14ac:dyDescent="0.2">
      <c r="A18" s="19"/>
      <c r="B18" s="19"/>
      <c r="C18" s="19"/>
      <c r="D18" s="19"/>
      <c r="E18" s="19"/>
      <c r="F18" s="19"/>
      <c r="G18" s="19"/>
      <c r="H18" s="19"/>
    </row>
    <row r="19" spans="1:8" s="15" customFormat="1" ht="14.25" x14ac:dyDescent="0.2">
      <c r="A19" s="19"/>
      <c r="B19" s="19"/>
      <c r="C19" s="19"/>
      <c r="D19" s="19"/>
      <c r="E19" s="19"/>
      <c r="F19" s="19"/>
      <c r="G19" s="19"/>
      <c r="H19" s="19"/>
    </row>
    <row r="20" spans="1:8" s="7" customFormat="1" ht="15" x14ac:dyDescent="0.25">
      <c r="A20" s="7" t="s">
        <v>38</v>
      </c>
      <c r="B20" s="8"/>
      <c r="D20" s="9"/>
      <c r="E20" s="17"/>
      <c r="F20" s="9"/>
      <c r="G20" s="18"/>
    </row>
    <row r="21" spans="1:8" s="7" customFormat="1" ht="15" x14ac:dyDescent="0.25">
      <c r="A21" s="7" t="s">
        <v>39</v>
      </c>
      <c r="B21" s="8"/>
      <c r="D21" s="9"/>
      <c r="E21" s="17"/>
      <c r="F21" s="9"/>
      <c r="G21" s="18"/>
    </row>
    <row r="22" spans="1:8" s="7" customFormat="1" ht="9" customHeight="1" x14ac:dyDescent="0.25">
      <c r="D22" s="9"/>
      <c r="E22" s="17"/>
      <c r="F22" s="18"/>
    </row>
    <row r="23" spans="1:8" s="7" customFormat="1" ht="15" x14ac:dyDescent="0.25">
      <c r="A23" s="20" t="s">
        <v>13</v>
      </c>
      <c r="B23" s="21"/>
      <c r="C23" s="20"/>
      <c r="D23" s="9"/>
      <c r="E23" s="9" t="s">
        <v>40</v>
      </c>
      <c r="F23" s="17" t="s">
        <v>15</v>
      </c>
      <c r="G23" s="9" t="s">
        <v>41</v>
      </c>
      <c r="H23" s="17" t="s">
        <v>17</v>
      </c>
    </row>
    <row r="24" spans="1:8" s="7" customFormat="1" ht="15" x14ac:dyDescent="0.25">
      <c r="A24" s="23" t="s">
        <v>18</v>
      </c>
      <c r="B24" s="23"/>
      <c r="C24" s="22" t="s">
        <v>42</v>
      </c>
      <c r="D24" s="24"/>
      <c r="E24" s="24" t="s">
        <v>43</v>
      </c>
      <c r="F24" s="16"/>
      <c r="G24" s="24" t="s">
        <v>44</v>
      </c>
      <c r="H24" s="14"/>
    </row>
    <row r="25" spans="1:8" s="7" customFormat="1" ht="15" x14ac:dyDescent="0.25">
      <c r="A25" s="7">
        <v>34</v>
      </c>
      <c r="B25" s="7" t="s">
        <v>101</v>
      </c>
      <c r="C25" s="44">
        <v>45497</v>
      </c>
      <c r="D25" s="45"/>
      <c r="E25" s="26"/>
      <c r="F25" s="28"/>
      <c r="G25" s="47"/>
      <c r="H25" s="28"/>
    </row>
    <row r="26" spans="1:8" s="7" customFormat="1" ht="15" x14ac:dyDescent="0.25">
      <c r="A26" s="12" t="s">
        <v>45</v>
      </c>
      <c r="B26" s="53" t="s">
        <v>47</v>
      </c>
      <c r="C26" s="44"/>
      <c r="D26" s="45"/>
      <c r="E26" s="54">
        <v>28</v>
      </c>
      <c r="F26" s="28"/>
      <c r="G26" s="47">
        <v>2</v>
      </c>
      <c r="H26" s="28">
        <f>+G26*E26</f>
        <v>56</v>
      </c>
    </row>
    <row r="27" spans="1:8" s="7" customFormat="1" ht="5.25" customHeight="1" x14ac:dyDescent="0.25">
      <c r="B27" s="55"/>
      <c r="C27" s="44"/>
      <c r="E27" s="40"/>
      <c r="F27" s="26"/>
      <c r="G27" s="17"/>
      <c r="H27" s="41"/>
    </row>
    <row r="28" spans="1:8" s="7" customFormat="1" ht="15" x14ac:dyDescent="0.25">
      <c r="A28" s="7">
        <v>34</v>
      </c>
      <c r="B28" s="7" t="s">
        <v>102</v>
      </c>
      <c r="C28" s="44">
        <v>45518</v>
      </c>
      <c r="D28" s="45"/>
      <c r="E28" s="26"/>
      <c r="F28" s="28"/>
      <c r="G28" s="47"/>
      <c r="H28" s="28"/>
    </row>
    <row r="29" spans="1:8" s="7" customFormat="1" ht="15" x14ac:dyDescent="0.25">
      <c r="A29" s="12" t="s">
        <v>45</v>
      </c>
      <c r="B29" s="53" t="s">
        <v>47</v>
      </c>
      <c r="C29" s="44"/>
      <c r="D29" s="45"/>
      <c r="E29" s="54">
        <v>28</v>
      </c>
      <c r="F29" s="28"/>
      <c r="G29" s="47">
        <v>2</v>
      </c>
      <c r="H29" s="28">
        <f>+G29*E29</f>
        <v>56</v>
      </c>
    </row>
    <row r="30" spans="1:8" s="7" customFormat="1" ht="5.25" customHeight="1" x14ac:dyDescent="0.25">
      <c r="A30" s="12"/>
      <c r="B30" s="53"/>
      <c r="C30" s="44"/>
      <c r="D30" s="45"/>
      <c r="E30" s="54"/>
      <c r="F30" s="28"/>
      <c r="G30" s="47"/>
      <c r="H30" s="28"/>
    </row>
    <row r="31" spans="1:8" s="7" customFormat="1" ht="15" x14ac:dyDescent="0.25">
      <c r="A31" s="7">
        <v>34</v>
      </c>
      <c r="B31" s="7" t="s">
        <v>103</v>
      </c>
      <c r="C31" s="44">
        <v>45555</v>
      </c>
      <c r="D31" s="45"/>
      <c r="E31" s="26"/>
      <c r="F31" s="28"/>
      <c r="G31" s="47"/>
      <c r="H31" s="28"/>
    </row>
    <row r="32" spans="1:8" s="7" customFormat="1" ht="15" x14ac:dyDescent="0.25">
      <c r="A32" s="12" t="s">
        <v>45</v>
      </c>
      <c r="B32" s="53" t="s">
        <v>47</v>
      </c>
      <c r="C32" s="44"/>
      <c r="D32" s="45"/>
      <c r="E32" s="54">
        <v>28</v>
      </c>
      <c r="F32" s="28"/>
      <c r="G32" s="47">
        <v>2</v>
      </c>
      <c r="H32" s="28">
        <f>+G32*E32</f>
        <v>56</v>
      </c>
    </row>
    <row r="33" spans="1:10" s="7" customFormat="1" ht="5.25" customHeight="1" x14ac:dyDescent="0.25">
      <c r="A33" s="12"/>
      <c r="B33" s="53"/>
      <c r="C33" s="44"/>
      <c r="D33" s="45"/>
      <c r="E33" s="54"/>
      <c r="F33" s="28"/>
      <c r="G33" s="47"/>
      <c r="H33" s="28"/>
    </row>
    <row r="34" spans="1:10" s="7" customFormat="1" ht="15" x14ac:dyDescent="0.25">
      <c r="C34" s="44"/>
      <c r="D34" s="45"/>
      <c r="E34" s="26"/>
      <c r="F34" s="28"/>
      <c r="G34" s="47"/>
      <c r="H34" s="28"/>
    </row>
    <row r="35" spans="1:10" s="7" customFormat="1" ht="15" x14ac:dyDescent="0.25">
      <c r="A35" s="12"/>
      <c r="B35" s="53"/>
      <c r="C35" s="44"/>
      <c r="D35" s="45"/>
      <c r="E35" s="54"/>
      <c r="F35" s="28"/>
      <c r="G35" s="47"/>
      <c r="H35" s="28"/>
    </row>
    <row r="36" spans="1:10" s="7" customFormat="1" ht="5.25" customHeight="1" x14ac:dyDescent="0.25">
      <c r="A36" s="12"/>
      <c r="B36" s="53"/>
      <c r="C36" s="44"/>
      <c r="D36" s="45"/>
      <c r="E36" s="54"/>
      <c r="F36" s="28"/>
      <c r="G36" s="47"/>
      <c r="H36" s="28"/>
    </row>
    <row r="37" spans="1:10" s="7" customFormat="1" ht="5.25" customHeight="1" x14ac:dyDescent="0.25">
      <c r="A37" s="12"/>
      <c r="B37" s="53"/>
      <c r="C37" s="44"/>
      <c r="D37" s="45"/>
      <c r="E37" s="54"/>
      <c r="F37" s="28"/>
      <c r="G37" s="47"/>
      <c r="H37" s="28"/>
    </row>
    <row r="38" spans="1:10" s="7" customFormat="1" ht="15" x14ac:dyDescent="0.25">
      <c r="A38" s="7">
        <v>16</v>
      </c>
      <c r="B38" s="7" t="s">
        <v>23</v>
      </c>
      <c r="C38" s="56" t="s">
        <v>104</v>
      </c>
      <c r="E38" s="41">
        <f>SUM(H25:H37)</f>
        <v>168</v>
      </c>
      <c r="F38" s="26"/>
      <c r="G38" s="17">
        <f>+E38*0.2</f>
        <v>33.6</v>
      </c>
      <c r="H38" s="41">
        <f>+G38</f>
        <v>33.6</v>
      </c>
    </row>
    <row r="39" spans="1:10" s="7" customFormat="1" ht="15" x14ac:dyDescent="0.25">
      <c r="A39" s="23"/>
      <c r="B39" s="23" t="s">
        <v>24</v>
      </c>
      <c r="C39" s="23"/>
      <c r="D39" s="23"/>
      <c r="E39" s="24"/>
      <c r="F39" s="16"/>
      <c r="G39" s="57"/>
      <c r="H39" s="58"/>
    </row>
    <row r="40" spans="1:10" s="7" customFormat="1" ht="15.75" customHeight="1" x14ac:dyDescent="0.25">
      <c r="D40" s="9"/>
      <c r="E40" s="7" t="s">
        <v>25</v>
      </c>
      <c r="F40" s="9"/>
      <c r="G40" s="12"/>
      <c r="H40" s="41">
        <f>SUM(H25:H39)</f>
        <v>201.6</v>
      </c>
      <c r="J40" s="59"/>
    </row>
    <row r="41" spans="1:10" s="7" customFormat="1" ht="15.75" customHeight="1" x14ac:dyDescent="0.25">
      <c r="D41" s="9"/>
      <c r="E41" s="7" t="s">
        <v>26</v>
      </c>
      <c r="F41" s="9"/>
      <c r="H41" s="41">
        <f>+H40*0.19</f>
        <v>38.304000000000002</v>
      </c>
    </row>
    <row r="42" spans="1:10" s="7" customFormat="1" thickBot="1" x14ac:dyDescent="0.3">
      <c r="D42" s="9"/>
      <c r="E42" s="34" t="s">
        <v>27</v>
      </c>
      <c r="F42" s="35"/>
      <c r="G42" s="60"/>
      <c r="H42" s="61">
        <f>SUM(H40:H41)</f>
        <v>239.904</v>
      </c>
    </row>
    <row r="43" spans="1:10" s="7" customFormat="1" ht="7.5" customHeight="1" thickTop="1" x14ac:dyDescent="0.25">
      <c r="D43" s="9"/>
      <c r="E43" s="38"/>
      <c r="F43" s="17"/>
      <c r="G43" s="9"/>
      <c r="H43" s="41"/>
    </row>
    <row r="44" spans="1:10" s="7" customFormat="1" ht="15" x14ac:dyDescent="0.25">
      <c r="A44" s="7" t="s">
        <v>48</v>
      </c>
      <c r="B44" s="8"/>
      <c r="D44" s="9"/>
      <c r="E44" s="17"/>
      <c r="F44" s="18"/>
    </row>
    <row r="45" spans="1:10" s="7" customFormat="1" ht="15" x14ac:dyDescent="0.25">
      <c r="D45" s="9"/>
      <c r="E45" s="17"/>
      <c r="F45" s="18"/>
    </row>
    <row r="46" spans="1:10" s="7" customFormat="1" ht="15" x14ac:dyDescent="0.25">
      <c r="D46" s="9"/>
      <c r="E46" s="17"/>
      <c r="F46" s="18"/>
    </row>
    <row r="47" spans="1:10" ht="14.25" customHeight="1" x14ac:dyDescent="0.25"/>
    <row r="48" spans="1:10" x14ac:dyDescent="0.25">
      <c r="B48" s="23"/>
    </row>
    <row r="50" spans="1:8" x14ac:dyDescent="0.25">
      <c r="D50" s="1"/>
      <c r="E50" s="1"/>
      <c r="F50" s="1"/>
    </row>
    <row r="51" spans="1:8" x14ac:dyDescent="0.25">
      <c r="D51" s="1"/>
      <c r="E51" s="1"/>
      <c r="F51" s="1"/>
    </row>
    <row r="52" spans="1:8" x14ac:dyDescent="0.25">
      <c r="A52" s="142" t="s">
        <v>98</v>
      </c>
      <c r="B52" s="142"/>
      <c r="C52" s="142"/>
      <c r="D52" s="142"/>
      <c r="E52" s="142"/>
      <c r="F52" s="142"/>
      <c r="G52" s="142"/>
      <c r="H52" s="142"/>
    </row>
  </sheetData>
  <mergeCells count="10">
    <mergeCell ref="F11:H11"/>
    <mergeCell ref="F12:H12"/>
    <mergeCell ref="A17:H17"/>
    <mergeCell ref="A52:H52"/>
    <mergeCell ref="E7:F7"/>
    <mergeCell ref="G7:H7"/>
    <mergeCell ref="E8:F8"/>
    <mergeCell ref="E9:F9"/>
    <mergeCell ref="G9:H9"/>
    <mergeCell ref="G10:H10"/>
  </mergeCells>
  <pageMargins left="0.78740157480314965" right="0.78740157480314965" top="0.98425196850393704" bottom="0.98425196850393704" header="0.51181102362204722" footer="0.51181102362204722"/>
  <pageSetup paperSize="9" orientation="portrait" horizontalDpi="300" verticalDpi="300" r:id="rId1"/>
  <headerFooter alignWithMargins="0">
    <oddHeader>&amp;C&amp;"Times New Roman,Standard"&amp;16Hartmut Ahting
Steuerberater
Diplom-Wirtschaftsingenieur</oddHeader>
    <oddFooter>&amp;L&amp;"Times New Roman,Standard"Heerstrasse 50
60488 Frankfurt
&amp;C&amp;"Times New Roman,Standard"Deutsche Bank
BLZ 500 700 24
Konto 409 28 62&amp;R&amp;"Times New Roman,Standard"Tel:      069 / 788 031-71
Fax:     069 / 788 031-72
Mobil: 0174 / 326 99 58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04914-C4F1-494A-A11F-1A60B467601B}">
  <dimension ref="A5:L49"/>
  <sheetViews>
    <sheetView workbookViewId="0">
      <selection activeCell="H32" sqref="H32"/>
    </sheetView>
  </sheetViews>
  <sheetFormatPr baseColWidth="10" defaultColWidth="10.125" defaultRowHeight="15.75" x14ac:dyDescent="0.25"/>
  <cols>
    <col min="1" max="1" width="3.125" style="1" customWidth="1"/>
    <col min="2" max="2" width="29.5" style="1" customWidth="1"/>
    <col min="3" max="3" width="8.75" style="1" customWidth="1"/>
    <col min="4" max="4" width="1.5" style="2" customWidth="1"/>
    <col min="5" max="5" width="10.75" style="3" customWidth="1"/>
    <col min="6" max="6" width="6.375" style="6" customWidth="1"/>
    <col min="7" max="7" width="6.75" style="1" customWidth="1"/>
    <col min="8" max="8" width="8.75" style="1" customWidth="1"/>
    <col min="9" max="10" width="10.125" style="1"/>
    <col min="11" max="11" width="10.625" style="1" bestFit="1" customWidth="1"/>
    <col min="12" max="256" width="10.125" style="1"/>
    <col min="257" max="257" width="3.125" style="1" customWidth="1"/>
    <col min="258" max="258" width="29.5" style="1" customWidth="1"/>
    <col min="259" max="259" width="8.75" style="1" customWidth="1"/>
    <col min="260" max="260" width="1.5" style="1" customWidth="1"/>
    <col min="261" max="261" width="10.75" style="1" customWidth="1"/>
    <col min="262" max="262" width="6.375" style="1" customWidth="1"/>
    <col min="263" max="263" width="6.75" style="1" customWidth="1"/>
    <col min="264" max="264" width="8.75" style="1" customWidth="1"/>
    <col min="265" max="266" width="10.125" style="1"/>
    <col min="267" max="267" width="10.625" style="1" bestFit="1" customWidth="1"/>
    <col min="268" max="512" width="10.125" style="1"/>
    <col min="513" max="513" width="3.125" style="1" customWidth="1"/>
    <col min="514" max="514" width="29.5" style="1" customWidth="1"/>
    <col min="515" max="515" width="8.75" style="1" customWidth="1"/>
    <col min="516" max="516" width="1.5" style="1" customWidth="1"/>
    <col min="517" max="517" width="10.75" style="1" customWidth="1"/>
    <col min="518" max="518" width="6.375" style="1" customWidth="1"/>
    <col min="519" max="519" width="6.75" style="1" customWidth="1"/>
    <col min="520" max="520" width="8.75" style="1" customWidth="1"/>
    <col min="521" max="522" width="10.125" style="1"/>
    <col min="523" max="523" width="10.625" style="1" bestFit="1" customWidth="1"/>
    <col min="524" max="768" width="10.125" style="1"/>
    <col min="769" max="769" width="3.125" style="1" customWidth="1"/>
    <col min="770" max="770" width="29.5" style="1" customWidth="1"/>
    <col min="771" max="771" width="8.75" style="1" customWidth="1"/>
    <col min="772" max="772" width="1.5" style="1" customWidth="1"/>
    <col min="773" max="773" width="10.75" style="1" customWidth="1"/>
    <col min="774" max="774" width="6.375" style="1" customWidth="1"/>
    <col min="775" max="775" width="6.75" style="1" customWidth="1"/>
    <col min="776" max="776" width="8.75" style="1" customWidth="1"/>
    <col min="777" max="778" width="10.125" style="1"/>
    <col min="779" max="779" width="10.625" style="1" bestFit="1" customWidth="1"/>
    <col min="780" max="1024" width="10.125" style="1"/>
    <col min="1025" max="1025" width="3.125" style="1" customWidth="1"/>
    <col min="1026" max="1026" width="29.5" style="1" customWidth="1"/>
    <col min="1027" max="1027" width="8.75" style="1" customWidth="1"/>
    <col min="1028" max="1028" width="1.5" style="1" customWidth="1"/>
    <col min="1029" max="1029" width="10.75" style="1" customWidth="1"/>
    <col min="1030" max="1030" width="6.375" style="1" customWidth="1"/>
    <col min="1031" max="1031" width="6.75" style="1" customWidth="1"/>
    <col min="1032" max="1032" width="8.75" style="1" customWidth="1"/>
    <col min="1033" max="1034" width="10.125" style="1"/>
    <col min="1035" max="1035" width="10.625" style="1" bestFit="1" customWidth="1"/>
    <col min="1036" max="1280" width="10.125" style="1"/>
    <col min="1281" max="1281" width="3.125" style="1" customWidth="1"/>
    <col min="1282" max="1282" width="29.5" style="1" customWidth="1"/>
    <col min="1283" max="1283" width="8.75" style="1" customWidth="1"/>
    <col min="1284" max="1284" width="1.5" style="1" customWidth="1"/>
    <col min="1285" max="1285" width="10.75" style="1" customWidth="1"/>
    <col min="1286" max="1286" width="6.375" style="1" customWidth="1"/>
    <col min="1287" max="1287" width="6.75" style="1" customWidth="1"/>
    <col min="1288" max="1288" width="8.75" style="1" customWidth="1"/>
    <col min="1289" max="1290" width="10.125" style="1"/>
    <col min="1291" max="1291" width="10.625" style="1" bestFit="1" customWidth="1"/>
    <col min="1292" max="1536" width="10.125" style="1"/>
    <col min="1537" max="1537" width="3.125" style="1" customWidth="1"/>
    <col min="1538" max="1538" width="29.5" style="1" customWidth="1"/>
    <col min="1539" max="1539" width="8.75" style="1" customWidth="1"/>
    <col min="1540" max="1540" width="1.5" style="1" customWidth="1"/>
    <col min="1541" max="1541" width="10.75" style="1" customWidth="1"/>
    <col min="1542" max="1542" width="6.375" style="1" customWidth="1"/>
    <col min="1543" max="1543" width="6.75" style="1" customWidth="1"/>
    <col min="1544" max="1544" width="8.75" style="1" customWidth="1"/>
    <col min="1545" max="1546" width="10.125" style="1"/>
    <col min="1547" max="1547" width="10.625" style="1" bestFit="1" customWidth="1"/>
    <col min="1548" max="1792" width="10.125" style="1"/>
    <col min="1793" max="1793" width="3.125" style="1" customWidth="1"/>
    <col min="1794" max="1794" width="29.5" style="1" customWidth="1"/>
    <col min="1795" max="1795" width="8.75" style="1" customWidth="1"/>
    <col min="1796" max="1796" width="1.5" style="1" customWidth="1"/>
    <col min="1797" max="1797" width="10.75" style="1" customWidth="1"/>
    <col min="1798" max="1798" width="6.375" style="1" customWidth="1"/>
    <col min="1799" max="1799" width="6.75" style="1" customWidth="1"/>
    <col min="1800" max="1800" width="8.75" style="1" customWidth="1"/>
    <col min="1801" max="1802" width="10.125" style="1"/>
    <col min="1803" max="1803" width="10.625" style="1" bestFit="1" customWidth="1"/>
    <col min="1804" max="2048" width="10.125" style="1"/>
    <col min="2049" max="2049" width="3.125" style="1" customWidth="1"/>
    <col min="2050" max="2050" width="29.5" style="1" customWidth="1"/>
    <col min="2051" max="2051" width="8.75" style="1" customWidth="1"/>
    <col min="2052" max="2052" width="1.5" style="1" customWidth="1"/>
    <col min="2053" max="2053" width="10.75" style="1" customWidth="1"/>
    <col min="2054" max="2054" width="6.375" style="1" customWidth="1"/>
    <col min="2055" max="2055" width="6.75" style="1" customWidth="1"/>
    <col min="2056" max="2056" width="8.75" style="1" customWidth="1"/>
    <col min="2057" max="2058" width="10.125" style="1"/>
    <col min="2059" max="2059" width="10.625" style="1" bestFit="1" customWidth="1"/>
    <col min="2060" max="2304" width="10.125" style="1"/>
    <col min="2305" max="2305" width="3.125" style="1" customWidth="1"/>
    <col min="2306" max="2306" width="29.5" style="1" customWidth="1"/>
    <col min="2307" max="2307" width="8.75" style="1" customWidth="1"/>
    <col min="2308" max="2308" width="1.5" style="1" customWidth="1"/>
    <col min="2309" max="2309" width="10.75" style="1" customWidth="1"/>
    <col min="2310" max="2310" width="6.375" style="1" customWidth="1"/>
    <col min="2311" max="2311" width="6.75" style="1" customWidth="1"/>
    <col min="2312" max="2312" width="8.75" style="1" customWidth="1"/>
    <col min="2313" max="2314" width="10.125" style="1"/>
    <col min="2315" max="2315" width="10.625" style="1" bestFit="1" customWidth="1"/>
    <col min="2316" max="2560" width="10.125" style="1"/>
    <col min="2561" max="2561" width="3.125" style="1" customWidth="1"/>
    <col min="2562" max="2562" width="29.5" style="1" customWidth="1"/>
    <col min="2563" max="2563" width="8.75" style="1" customWidth="1"/>
    <col min="2564" max="2564" width="1.5" style="1" customWidth="1"/>
    <col min="2565" max="2565" width="10.75" style="1" customWidth="1"/>
    <col min="2566" max="2566" width="6.375" style="1" customWidth="1"/>
    <col min="2567" max="2567" width="6.75" style="1" customWidth="1"/>
    <col min="2568" max="2568" width="8.75" style="1" customWidth="1"/>
    <col min="2569" max="2570" width="10.125" style="1"/>
    <col min="2571" max="2571" width="10.625" style="1" bestFit="1" customWidth="1"/>
    <col min="2572" max="2816" width="10.125" style="1"/>
    <col min="2817" max="2817" width="3.125" style="1" customWidth="1"/>
    <col min="2818" max="2818" width="29.5" style="1" customWidth="1"/>
    <col min="2819" max="2819" width="8.75" style="1" customWidth="1"/>
    <col min="2820" max="2820" width="1.5" style="1" customWidth="1"/>
    <col min="2821" max="2821" width="10.75" style="1" customWidth="1"/>
    <col min="2822" max="2822" width="6.375" style="1" customWidth="1"/>
    <col min="2823" max="2823" width="6.75" style="1" customWidth="1"/>
    <col min="2824" max="2824" width="8.75" style="1" customWidth="1"/>
    <col min="2825" max="2826" width="10.125" style="1"/>
    <col min="2827" max="2827" width="10.625" style="1" bestFit="1" customWidth="1"/>
    <col min="2828" max="3072" width="10.125" style="1"/>
    <col min="3073" max="3073" width="3.125" style="1" customWidth="1"/>
    <col min="3074" max="3074" width="29.5" style="1" customWidth="1"/>
    <col min="3075" max="3075" width="8.75" style="1" customWidth="1"/>
    <col min="3076" max="3076" width="1.5" style="1" customWidth="1"/>
    <col min="3077" max="3077" width="10.75" style="1" customWidth="1"/>
    <col min="3078" max="3078" width="6.375" style="1" customWidth="1"/>
    <col min="3079" max="3079" width="6.75" style="1" customWidth="1"/>
    <col min="3080" max="3080" width="8.75" style="1" customWidth="1"/>
    <col min="3081" max="3082" width="10.125" style="1"/>
    <col min="3083" max="3083" width="10.625" style="1" bestFit="1" customWidth="1"/>
    <col min="3084" max="3328" width="10.125" style="1"/>
    <col min="3329" max="3329" width="3.125" style="1" customWidth="1"/>
    <col min="3330" max="3330" width="29.5" style="1" customWidth="1"/>
    <col min="3331" max="3331" width="8.75" style="1" customWidth="1"/>
    <col min="3332" max="3332" width="1.5" style="1" customWidth="1"/>
    <col min="3333" max="3333" width="10.75" style="1" customWidth="1"/>
    <col min="3334" max="3334" width="6.375" style="1" customWidth="1"/>
    <col min="3335" max="3335" width="6.75" style="1" customWidth="1"/>
    <col min="3336" max="3336" width="8.75" style="1" customWidth="1"/>
    <col min="3337" max="3338" width="10.125" style="1"/>
    <col min="3339" max="3339" width="10.625" style="1" bestFit="1" customWidth="1"/>
    <col min="3340" max="3584" width="10.125" style="1"/>
    <col min="3585" max="3585" width="3.125" style="1" customWidth="1"/>
    <col min="3586" max="3586" width="29.5" style="1" customWidth="1"/>
    <col min="3587" max="3587" width="8.75" style="1" customWidth="1"/>
    <col min="3588" max="3588" width="1.5" style="1" customWidth="1"/>
    <col min="3589" max="3589" width="10.75" style="1" customWidth="1"/>
    <col min="3590" max="3590" width="6.375" style="1" customWidth="1"/>
    <col min="3591" max="3591" width="6.75" style="1" customWidth="1"/>
    <col min="3592" max="3592" width="8.75" style="1" customWidth="1"/>
    <col min="3593" max="3594" width="10.125" style="1"/>
    <col min="3595" max="3595" width="10.625" style="1" bestFit="1" customWidth="1"/>
    <col min="3596" max="3840" width="10.125" style="1"/>
    <col min="3841" max="3841" width="3.125" style="1" customWidth="1"/>
    <col min="3842" max="3842" width="29.5" style="1" customWidth="1"/>
    <col min="3843" max="3843" width="8.75" style="1" customWidth="1"/>
    <col min="3844" max="3844" width="1.5" style="1" customWidth="1"/>
    <col min="3845" max="3845" width="10.75" style="1" customWidth="1"/>
    <col min="3846" max="3846" width="6.375" style="1" customWidth="1"/>
    <col min="3847" max="3847" width="6.75" style="1" customWidth="1"/>
    <col min="3848" max="3848" width="8.75" style="1" customWidth="1"/>
    <col min="3849" max="3850" width="10.125" style="1"/>
    <col min="3851" max="3851" width="10.625" style="1" bestFit="1" customWidth="1"/>
    <col min="3852" max="4096" width="10.125" style="1"/>
    <col min="4097" max="4097" width="3.125" style="1" customWidth="1"/>
    <col min="4098" max="4098" width="29.5" style="1" customWidth="1"/>
    <col min="4099" max="4099" width="8.75" style="1" customWidth="1"/>
    <col min="4100" max="4100" width="1.5" style="1" customWidth="1"/>
    <col min="4101" max="4101" width="10.75" style="1" customWidth="1"/>
    <col min="4102" max="4102" width="6.375" style="1" customWidth="1"/>
    <col min="4103" max="4103" width="6.75" style="1" customWidth="1"/>
    <col min="4104" max="4104" width="8.75" style="1" customWidth="1"/>
    <col min="4105" max="4106" width="10.125" style="1"/>
    <col min="4107" max="4107" width="10.625" style="1" bestFit="1" customWidth="1"/>
    <col min="4108" max="4352" width="10.125" style="1"/>
    <col min="4353" max="4353" width="3.125" style="1" customWidth="1"/>
    <col min="4354" max="4354" width="29.5" style="1" customWidth="1"/>
    <col min="4355" max="4355" width="8.75" style="1" customWidth="1"/>
    <col min="4356" max="4356" width="1.5" style="1" customWidth="1"/>
    <col min="4357" max="4357" width="10.75" style="1" customWidth="1"/>
    <col min="4358" max="4358" width="6.375" style="1" customWidth="1"/>
    <col min="4359" max="4359" width="6.75" style="1" customWidth="1"/>
    <col min="4360" max="4360" width="8.75" style="1" customWidth="1"/>
    <col min="4361" max="4362" width="10.125" style="1"/>
    <col min="4363" max="4363" width="10.625" style="1" bestFit="1" customWidth="1"/>
    <col min="4364" max="4608" width="10.125" style="1"/>
    <col min="4609" max="4609" width="3.125" style="1" customWidth="1"/>
    <col min="4610" max="4610" width="29.5" style="1" customWidth="1"/>
    <col min="4611" max="4611" width="8.75" style="1" customWidth="1"/>
    <col min="4612" max="4612" width="1.5" style="1" customWidth="1"/>
    <col min="4613" max="4613" width="10.75" style="1" customWidth="1"/>
    <col min="4614" max="4614" width="6.375" style="1" customWidth="1"/>
    <col min="4615" max="4615" width="6.75" style="1" customWidth="1"/>
    <col min="4616" max="4616" width="8.75" style="1" customWidth="1"/>
    <col min="4617" max="4618" width="10.125" style="1"/>
    <col min="4619" max="4619" width="10.625" style="1" bestFit="1" customWidth="1"/>
    <col min="4620" max="4864" width="10.125" style="1"/>
    <col min="4865" max="4865" width="3.125" style="1" customWidth="1"/>
    <col min="4866" max="4866" width="29.5" style="1" customWidth="1"/>
    <col min="4867" max="4867" width="8.75" style="1" customWidth="1"/>
    <col min="4868" max="4868" width="1.5" style="1" customWidth="1"/>
    <col min="4869" max="4869" width="10.75" style="1" customWidth="1"/>
    <col min="4870" max="4870" width="6.375" style="1" customWidth="1"/>
    <col min="4871" max="4871" width="6.75" style="1" customWidth="1"/>
    <col min="4872" max="4872" width="8.75" style="1" customWidth="1"/>
    <col min="4873" max="4874" width="10.125" style="1"/>
    <col min="4875" max="4875" width="10.625" style="1" bestFit="1" customWidth="1"/>
    <col min="4876" max="5120" width="10.125" style="1"/>
    <col min="5121" max="5121" width="3.125" style="1" customWidth="1"/>
    <col min="5122" max="5122" width="29.5" style="1" customWidth="1"/>
    <col min="5123" max="5123" width="8.75" style="1" customWidth="1"/>
    <col min="5124" max="5124" width="1.5" style="1" customWidth="1"/>
    <col min="5125" max="5125" width="10.75" style="1" customWidth="1"/>
    <col min="5126" max="5126" width="6.375" style="1" customWidth="1"/>
    <col min="5127" max="5127" width="6.75" style="1" customWidth="1"/>
    <col min="5128" max="5128" width="8.75" style="1" customWidth="1"/>
    <col min="5129" max="5130" width="10.125" style="1"/>
    <col min="5131" max="5131" width="10.625" style="1" bestFit="1" customWidth="1"/>
    <col min="5132" max="5376" width="10.125" style="1"/>
    <col min="5377" max="5377" width="3.125" style="1" customWidth="1"/>
    <col min="5378" max="5378" width="29.5" style="1" customWidth="1"/>
    <col min="5379" max="5379" width="8.75" style="1" customWidth="1"/>
    <col min="5380" max="5380" width="1.5" style="1" customWidth="1"/>
    <col min="5381" max="5381" width="10.75" style="1" customWidth="1"/>
    <col min="5382" max="5382" width="6.375" style="1" customWidth="1"/>
    <col min="5383" max="5383" width="6.75" style="1" customWidth="1"/>
    <col min="5384" max="5384" width="8.75" style="1" customWidth="1"/>
    <col min="5385" max="5386" width="10.125" style="1"/>
    <col min="5387" max="5387" width="10.625" style="1" bestFit="1" customWidth="1"/>
    <col min="5388" max="5632" width="10.125" style="1"/>
    <col min="5633" max="5633" width="3.125" style="1" customWidth="1"/>
    <col min="5634" max="5634" width="29.5" style="1" customWidth="1"/>
    <col min="5635" max="5635" width="8.75" style="1" customWidth="1"/>
    <col min="5636" max="5636" width="1.5" style="1" customWidth="1"/>
    <col min="5637" max="5637" width="10.75" style="1" customWidth="1"/>
    <col min="5638" max="5638" width="6.375" style="1" customWidth="1"/>
    <col min="5639" max="5639" width="6.75" style="1" customWidth="1"/>
    <col min="5640" max="5640" width="8.75" style="1" customWidth="1"/>
    <col min="5641" max="5642" width="10.125" style="1"/>
    <col min="5643" max="5643" width="10.625" style="1" bestFit="1" customWidth="1"/>
    <col min="5644" max="5888" width="10.125" style="1"/>
    <col min="5889" max="5889" width="3.125" style="1" customWidth="1"/>
    <col min="5890" max="5890" width="29.5" style="1" customWidth="1"/>
    <col min="5891" max="5891" width="8.75" style="1" customWidth="1"/>
    <col min="5892" max="5892" width="1.5" style="1" customWidth="1"/>
    <col min="5893" max="5893" width="10.75" style="1" customWidth="1"/>
    <col min="5894" max="5894" width="6.375" style="1" customWidth="1"/>
    <col min="5895" max="5895" width="6.75" style="1" customWidth="1"/>
    <col min="5896" max="5896" width="8.75" style="1" customWidth="1"/>
    <col min="5897" max="5898" width="10.125" style="1"/>
    <col min="5899" max="5899" width="10.625" style="1" bestFit="1" customWidth="1"/>
    <col min="5900" max="6144" width="10.125" style="1"/>
    <col min="6145" max="6145" width="3.125" style="1" customWidth="1"/>
    <col min="6146" max="6146" width="29.5" style="1" customWidth="1"/>
    <col min="6147" max="6147" width="8.75" style="1" customWidth="1"/>
    <col min="6148" max="6148" width="1.5" style="1" customWidth="1"/>
    <col min="6149" max="6149" width="10.75" style="1" customWidth="1"/>
    <col min="6150" max="6150" width="6.375" style="1" customWidth="1"/>
    <col min="6151" max="6151" width="6.75" style="1" customWidth="1"/>
    <col min="6152" max="6152" width="8.75" style="1" customWidth="1"/>
    <col min="6153" max="6154" width="10.125" style="1"/>
    <col min="6155" max="6155" width="10.625" style="1" bestFit="1" customWidth="1"/>
    <col min="6156" max="6400" width="10.125" style="1"/>
    <col min="6401" max="6401" width="3.125" style="1" customWidth="1"/>
    <col min="6402" max="6402" width="29.5" style="1" customWidth="1"/>
    <col min="6403" max="6403" width="8.75" style="1" customWidth="1"/>
    <col min="6404" max="6404" width="1.5" style="1" customWidth="1"/>
    <col min="6405" max="6405" width="10.75" style="1" customWidth="1"/>
    <col min="6406" max="6406" width="6.375" style="1" customWidth="1"/>
    <col min="6407" max="6407" width="6.75" style="1" customWidth="1"/>
    <col min="6408" max="6408" width="8.75" style="1" customWidth="1"/>
    <col min="6409" max="6410" width="10.125" style="1"/>
    <col min="6411" max="6411" width="10.625" style="1" bestFit="1" customWidth="1"/>
    <col min="6412" max="6656" width="10.125" style="1"/>
    <col min="6657" max="6657" width="3.125" style="1" customWidth="1"/>
    <col min="6658" max="6658" width="29.5" style="1" customWidth="1"/>
    <col min="6659" max="6659" width="8.75" style="1" customWidth="1"/>
    <col min="6660" max="6660" width="1.5" style="1" customWidth="1"/>
    <col min="6661" max="6661" width="10.75" style="1" customWidth="1"/>
    <col min="6662" max="6662" width="6.375" style="1" customWidth="1"/>
    <col min="6663" max="6663" width="6.75" style="1" customWidth="1"/>
    <col min="6664" max="6664" width="8.75" style="1" customWidth="1"/>
    <col min="6665" max="6666" width="10.125" style="1"/>
    <col min="6667" max="6667" width="10.625" style="1" bestFit="1" customWidth="1"/>
    <col min="6668" max="6912" width="10.125" style="1"/>
    <col min="6913" max="6913" width="3.125" style="1" customWidth="1"/>
    <col min="6914" max="6914" width="29.5" style="1" customWidth="1"/>
    <col min="6915" max="6915" width="8.75" style="1" customWidth="1"/>
    <col min="6916" max="6916" width="1.5" style="1" customWidth="1"/>
    <col min="6917" max="6917" width="10.75" style="1" customWidth="1"/>
    <col min="6918" max="6918" width="6.375" style="1" customWidth="1"/>
    <col min="6919" max="6919" width="6.75" style="1" customWidth="1"/>
    <col min="6920" max="6920" width="8.75" style="1" customWidth="1"/>
    <col min="6921" max="6922" width="10.125" style="1"/>
    <col min="6923" max="6923" width="10.625" style="1" bestFit="1" customWidth="1"/>
    <col min="6924" max="7168" width="10.125" style="1"/>
    <col min="7169" max="7169" width="3.125" style="1" customWidth="1"/>
    <col min="7170" max="7170" width="29.5" style="1" customWidth="1"/>
    <col min="7171" max="7171" width="8.75" style="1" customWidth="1"/>
    <col min="7172" max="7172" width="1.5" style="1" customWidth="1"/>
    <col min="7173" max="7173" width="10.75" style="1" customWidth="1"/>
    <col min="7174" max="7174" width="6.375" style="1" customWidth="1"/>
    <col min="7175" max="7175" width="6.75" style="1" customWidth="1"/>
    <col min="7176" max="7176" width="8.75" style="1" customWidth="1"/>
    <col min="7177" max="7178" width="10.125" style="1"/>
    <col min="7179" max="7179" width="10.625" style="1" bestFit="1" customWidth="1"/>
    <col min="7180" max="7424" width="10.125" style="1"/>
    <col min="7425" max="7425" width="3.125" style="1" customWidth="1"/>
    <col min="7426" max="7426" width="29.5" style="1" customWidth="1"/>
    <col min="7427" max="7427" width="8.75" style="1" customWidth="1"/>
    <col min="7428" max="7428" width="1.5" style="1" customWidth="1"/>
    <col min="7429" max="7429" width="10.75" style="1" customWidth="1"/>
    <col min="7430" max="7430" width="6.375" style="1" customWidth="1"/>
    <col min="7431" max="7431" width="6.75" style="1" customWidth="1"/>
    <col min="7432" max="7432" width="8.75" style="1" customWidth="1"/>
    <col min="7433" max="7434" width="10.125" style="1"/>
    <col min="7435" max="7435" width="10.625" style="1" bestFit="1" customWidth="1"/>
    <col min="7436" max="7680" width="10.125" style="1"/>
    <col min="7681" max="7681" width="3.125" style="1" customWidth="1"/>
    <col min="7682" max="7682" width="29.5" style="1" customWidth="1"/>
    <col min="7683" max="7683" width="8.75" style="1" customWidth="1"/>
    <col min="7684" max="7684" width="1.5" style="1" customWidth="1"/>
    <col min="7685" max="7685" width="10.75" style="1" customWidth="1"/>
    <col min="7686" max="7686" width="6.375" style="1" customWidth="1"/>
    <col min="7687" max="7687" width="6.75" style="1" customWidth="1"/>
    <col min="7688" max="7688" width="8.75" style="1" customWidth="1"/>
    <col min="7689" max="7690" width="10.125" style="1"/>
    <col min="7691" max="7691" width="10.625" style="1" bestFit="1" customWidth="1"/>
    <col min="7692" max="7936" width="10.125" style="1"/>
    <col min="7937" max="7937" width="3.125" style="1" customWidth="1"/>
    <col min="7938" max="7938" width="29.5" style="1" customWidth="1"/>
    <col min="7939" max="7939" width="8.75" style="1" customWidth="1"/>
    <col min="7940" max="7940" width="1.5" style="1" customWidth="1"/>
    <col min="7941" max="7941" width="10.75" style="1" customWidth="1"/>
    <col min="7942" max="7942" width="6.375" style="1" customWidth="1"/>
    <col min="7943" max="7943" width="6.75" style="1" customWidth="1"/>
    <col min="7944" max="7944" width="8.75" style="1" customWidth="1"/>
    <col min="7945" max="7946" width="10.125" style="1"/>
    <col min="7947" max="7947" width="10.625" style="1" bestFit="1" customWidth="1"/>
    <col min="7948" max="8192" width="10.125" style="1"/>
    <col min="8193" max="8193" width="3.125" style="1" customWidth="1"/>
    <col min="8194" max="8194" width="29.5" style="1" customWidth="1"/>
    <col min="8195" max="8195" width="8.75" style="1" customWidth="1"/>
    <col min="8196" max="8196" width="1.5" style="1" customWidth="1"/>
    <col min="8197" max="8197" width="10.75" style="1" customWidth="1"/>
    <col min="8198" max="8198" width="6.375" style="1" customWidth="1"/>
    <col min="8199" max="8199" width="6.75" style="1" customWidth="1"/>
    <col min="8200" max="8200" width="8.75" style="1" customWidth="1"/>
    <col min="8201" max="8202" width="10.125" style="1"/>
    <col min="8203" max="8203" width="10.625" style="1" bestFit="1" customWidth="1"/>
    <col min="8204" max="8448" width="10.125" style="1"/>
    <col min="8449" max="8449" width="3.125" style="1" customWidth="1"/>
    <col min="8450" max="8450" width="29.5" style="1" customWidth="1"/>
    <col min="8451" max="8451" width="8.75" style="1" customWidth="1"/>
    <col min="8452" max="8452" width="1.5" style="1" customWidth="1"/>
    <col min="8453" max="8453" width="10.75" style="1" customWidth="1"/>
    <col min="8454" max="8454" width="6.375" style="1" customWidth="1"/>
    <col min="8455" max="8455" width="6.75" style="1" customWidth="1"/>
    <col min="8456" max="8456" width="8.75" style="1" customWidth="1"/>
    <col min="8457" max="8458" width="10.125" style="1"/>
    <col min="8459" max="8459" width="10.625" style="1" bestFit="1" customWidth="1"/>
    <col min="8460" max="8704" width="10.125" style="1"/>
    <col min="8705" max="8705" width="3.125" style="1" customWidth="1"/>
    <col min="8706" max="8706" width="29.5" style="1" customWidth="1"/>
    <col min="8707" max="8707" width="8.75" style="1" customWidth="1"/>
    <col min="8708" max="8708" width="1.5" style="1" customWidth="1"/>
    <col min="8709" max="8709" width="10.75" style="1" customWidth="1"/>
    <col min="8710" max="8710" width="6.375" style="1" customWidth="1"/>
    <col min="8711" max="8711" width="6.75" style="1" customWidth="1"/>
    <col min="8712" max="8712" width="8.75" style="1" customWidth="1"/>
    <col min="8713" max="8714" width="10.125" style="1"/>
    <col min="8715" max="8715" width="10.625" style="1" bestFit="1" customWidth="1"/>
    <col min="8716" max="8960" width="10.125" style="1"/>
    <col min="8961" max="8961" width="3.125" style="1" customWidth="1"/>
    <col min="8962" max="8962" width="29.5" style="1" customWidth="1"/>
    <col min="8963" max="8963" width="8.75" style="1" customWidth="1"/>
    <col min="8964" max="8964" width="1.5" style="1" customWidth="1"/>
    <col min="8965" max="8965" width="10.75" style="1" customWidth="1"/>
    <col min="8966" max="8966" width="6.375" style="1" customWidth="1"/>
    <col min="8967" max="8967" width="6.75" style="1" customWidth="1"/>
    <col min="8968" max="8968" width="8.75" style="1" customWidth="1"/>
    <col min="8969" max="8970" width="10.125" style="1"/>
    <col min="8971" max="8971" width="10.625" style="1" bestFit="1" customWidth="1"/>
    <col min="8972" max="9216" width="10.125" style="1"/>
    <col min="9217" max="9217" width="3.125" style="1" customWidth="1"/>
    <col min="9218" max="9218" width="29.5" style="1" customWidth="1"/>
    <col min="9219" max="9219" width="8.75" style="1" customWidth="1"/>
    <col min="9220" max="9220" width="1.5" style="1" customWidth="1"/>
    <col min="9221" max="9221" width="10.75" style="1" customWidth="1"/>
    <col min="9222" max="9222" width="6.375" style="1" customWidth="1"/>
    <col min="9223" max="9223" width="6.75" style="1" customWidth="1"/>
    <col min="9224" max="9224" width="8.75" style="1" customWidth="1"/>
    <col min="9225" max="9226" width="10.125" style="1"/>
    <col min="9227" max="9227" width="10.625" style="1" bestFit="1" customWidth="1"/>
    <col min="9228" max="9472" width="10.125" style="1"/>
    <col min="9473" max="9473" width="3.125" style="1" customWidth="1"/>
    <col min="9474" max="9474" width="29.5" style="1" customWidth="1"/>
    <col min="9475" max="9475" width="8.75" style="1" customWidth="1"/>
    <col min="9476" max="9476" width="1.5" style="1" customWidth="1"/>
    <col min="9477" max="9477" width="10.75" style="1" customWidth="1"/>
    <col min="9478" max="9478" width="6.375" style="1" customWidth="1"/>
    <col min="9479" max="9479" width="6.75" style="1" customWidth="1"/>
    <col min="9480" max="9480" width="8.75" style="1" customWidth="1"/>
    <col min="9481" max="9482" width="10.125" style="1"/>
    <col min="9483" max="9483" width="10.625" style="1" bestFit="1" customWidth="1"/>
    <col min="9484" max="9728" width="10.125" style="1"/>
    <col min="9729" max="9729" width="3.125" style="1" customWidth="1"/>
    <col min="9730" max="9730" width="29.5" style="1" customWidth="1"/>
    <col min="9731" max="9731" width="8.75" style="1" customWidth="1"/>
    <col min="9732" max="9732" width="1.5" style="1" customWidth="1"/>
    <col min="9733" max="9733" width="10.75" style="1" customWidth="1"/>
    <col min="9734" max="9734" width="6.375" style="1" customWidth="1"/>
    <col min="9735" max="9735" width="6.75" style="1" customWidth="1"/>
    <col min="9736" max="9736" width="8.75" style="1" customWidth="1"/>
    <col min="9737" max="9738" width="10.125" style="1"/>
    <col min="9739" max="9739" width="10.625" style="1" bestFit="1" customWidth="1"/>
    <col min="9740" max="9984" width="10.125" style="1"/>
    <col min="9985" max="9985" width="3.125" style="1" customWidth="1"/>
    <col min="9986" max="9986" width="29.5" style="1" customWidth="1"/>
    <col min="9987" max="9987" width="8.75" style="1" customWidth="1"/>
    <col min="9988" max="9988" width="1.5" style="1" customWidth="1"/>
    <col min="9989" max="9989" width="10.75" style="1" customWidth="1"/>
    <col min="9990" max="9990" width="6.375" style="1" customWidth="1"/>
    <col min="9991" max="9991" width="6.75" style="1" customWidth="1"/>
    <col min="9992" max="9992" width="8.75" style="1" customWidth="1"/>
    <col min="9993" max="9994" width="10.125" style="1"/>
    <col min="9995" max="9995" width="10.625" style="1" bestFit="1" customWidth="1"/>
    <col min="9996" max="10240" width="10.125" style="1"/>
    <col min="10241" max="10241" width="3.125" style="1" customWidth="1"/>
    <col min="10242" max="10242" width="29.5" style="1" customWidth="1"/>
    <col min="10243" max="10243" width="8.75" style="1" customWidth="1"/>
    <col min="10244" max="10244" width="1.5" style="1" customWidth="1"/>
    <col min="10245" max="10245" width="10.75" style="1" customWidth="1"/>
    <col min="10246" max="10246" width="6.375" style="1" customWidth="1"/>
    <col min="10247" max="10247" width="6.75" style="1" customWidth="1"/>
    <col min="10248" max="10248" width="8.75" style="1" customWidth="1"/>
    <col min="10249" max="10250" width="10.125" style="1"/>
    <col min="10251" max="10251" width="10.625" style="1" bestFit="1" customWidth="1"/>
    <col min="10252" max="10496" width="10.125" style="1"/>
    <col min="10497" max="10497" width="3.125" style="1" customWidth="1"/>
    <col min="10498" max="10498" width="29.5" style="1" customWidth="1"/>
    <col min="10499" max="10499" width="8.75" style="1" customWidth="1"/>
    <col min="10500" max="10500" width="1.5" style="1" customWidth="1"/>
    <col min="10501" max="10501" width="10.75" style="1" customWidth="1"/>
    <col min="10502" max="10502" width="6.375" style="1" customWidth="1"/>
    <col min="10503" max="10503" width="6.75" style="1" customWidth="1"/>
    <col min="10504" max="10504" width="8.75" style="1" customWidth="1"/>
    <col min="10505" max="10506" width="10.125" style="1"/>
    <col min="10507" max="10507" width="10.625" style="1" bestFit="1" customWidth="1"/>
    <col min="10508" max="10752" width="10.125" style="1"/>
    <col min="10753" max="10753" width="3.125" style="1" customWidth="1"/>
    <col min="10754" max="10754" width="29.5" style="1" customWidth="1"/>
    <col min="10755" max="10755" width="8.75" style="1" customWidth="1"/>
    <col min="10756" max="10756" width="1.5" style="1" customWidth="1"/>
    <col min="10757" max="10757" width="10.75" style="1" customWidth="1"/>
    <col min="10758" max="10758" width="6.375" style="1" customWidth="1"/>
    <col min="10759" max="10759" width="6.75" style="1" customWidth="1"/>
    <col min="10760" max="10760" width="8.75" style="1" customWidth="1"/>
    <col min="10761" max="10762" width="10.125" style="1"/>
    <col min="10763" max="10763" width="10.625" style="1" bestFit="1" customWidth="1"/>
    <col min="10764" max="11008" width="10.125" style="1"/>
    <col min="11009" max="11009" width="3.125" style="1" customWidth="1"/>
    <col min="11010" max="11010" width="29.5" style="1" customWidth="1"/>
    <col min="11011" max="11011" width="8.75" style="1" customWidth="1"/>
    <col min="11012" max="11012" width="1.5" style="1" customWidth="1"/>
    <col min="11013" max="11013" width="10.75" style="1" customWidth="1"/>
    <col min="11014" max="11014" width="6.375" style="1" customWidth="1"/>
    <col min="11015" max="11015" width="6.75" style="1" customWidth="1"/>
    <col min="11016" max="11016" width="8.75" style="1" customWidth="1"/>
    <col min="11017" max="11018" width="10.125" style="1"/>
    <col min="11019" max="11019" width="10.625" style="1" bestFit="1" customWidth="1"/>
    <col min="11020" max="11264" width="10.125" style="1"/>
    <col min="11265" max="11265" width="3.125" style="1" customWidth="1"/>
    <col min="11266" max="11266" width="29.5" style="1" customWidth="1"/>
    <col min="11267" max="11267" width="8.75" style="1" customWidth="1"/>
    <col min="11268" max="11268" width="1.5" style="1" customWidth="1"/>
    <col min="11269" max="11269" width="10.75" style="1" customWidth="1"/>
    <col min="11270" max="11270" width="6.375" style="1" customWidth="1"/>
    <col min="11271" max="11271" width="6.75" style="1" customWidth="1"/>
    <col min="11272" max="11272" width="8.75" style="1" customWidth="1"/>
    <col min="11273" max="11274" width="10.125" style="1"/>
    <col min="11275" max="11275" width="10.625" style="1" bestFit="1" customWidth="1"/>
    <col min="11276" max="11520" width="10.125" style="1"/>
    <col min="11521" max="11521" width="3.125" style="1" customWidth="1"/>
    <col min="11522" max="11522" width="29.5" style="1" customWidth="1"/>
    <col min="11523" max="11523" width="8.75" style="1" customWidth="1"/>
    <col min="11524" max="11524" width="1.5" style="1" customWidth="1"/>
    <col min="11525" max="11525" width="10.75" style="1" customWidth="1"/>
    <col min="11526" max="11526" width="6.375" style="1" customWidth="1"/>
    <col min="11527" max="11527" width="6.75" style="1" customWidth="1"/>
    <col min="11528" max="11528" width="8.75" style="1" customWidth="1"/>
    <col min="11529" max="11530" width="10.125" style="1"/>
    <col min="11531" max="11531" width="10.625" style="1" bestFit="1" customWidth="1"/>
    <col min="11532" max="11776" width="10.125" style="1"/>
    <col min="11777" max="11777" width="3.125" style="1" customWidth="1"/>
    <col min="11778" max="11778" width="29.5" style="1" customWidth="1"/>
    <col min="11779" max="11779" width="8.75" style="1" customWidth="1"/>
    <col min="11780" max="11780" width="1.5" style="1" customWidth="1"/>
    <col min="11781" max="11781" width="10.75" style="1" customWidth="1"/>
    <col min="11782" max="11782" width="6.375" style="1" customWidth="1"/>
    <col min="11783" max="11783" width="6.75" style="1" customWidth="1"/>
    <col min="11784" max="11784" width="8.75" style="1" customWidth="1"/>
    <col min="11785" max="11786" width="10.125" style="1"/>
    <col min="11787" max="11787" width="10.625" style="1" bestFit="1" customWidth="1"/>
    <col min="11788" max="12032" width="10.125" style="1"/>
    <col min="12033" max="12033" width="3.125" style="1" customWidth="1"/>
    <col min="12034" max="12034" width="29.5" style="1" customWidth="1"/>
    <col min="12035" max="12035" width="8.75" style="1" customWidth="1"/>
    <col min="12036" max="12036" width="1.5" style="1" customWidth="1"/>
    <col min="12037" max="12037" width="10.75" style="1" customWidth="1"/>
    <col min="12038" max="12038" width="6.375" style="1" customWidth="1"/>
    <col min="12039" max="12039" width="6.75" style="1" customWidth="1"/>
    <col min="12040" max="12040" width="8.75" style="1" customWidth="1"/>
    <col min="12041" max="12042" width="10.125" style="1"/>
    <col min="12043" max="12043" width="10.625" style="1" bestFit="1" customWidth="1"/>
    <col min="12044" max="12288" width="10.125" style="1"/>
    <col min="12289" max="12289" width="3.125" style="1" customWidth="1"/>
    <col min="12290" max="12290" width="29.5" style="1" customWidth="1"/>
    <col min="12291" max="12291" width="8.75" style="1" customWidth="1"/>
    <col min="12292" max="12292" width="1.5" style="1" customWidth="1"/>
    <col min="12293" max="12293" width="10.75" style="1" customWidth="1"/>
    <col min="12294" max="12294" width="6.375" style="1" customWidth="1"/>
    <col min="12295" max="12295" width="6.75" style="1" customWidth="1"/>
    <col min="12296" max="12296" width="8.75" style="1" customWidth="1"/>
    <col min="12297" max="12298" width="10.125" style="1"/>
    <col min="12299" max="12299" width="10.625" style="1" bestFit="1" customWidth="1"/>
    <col min="12300" max="12544" width="10.125" style="1"/>
    <col min="12545" max="12545" width="3.125" style="1" customWidth="1"/>
    <col min="12546" max="12546" width="29.5" style="1" customWidth="1"/>
    <col min="12547" max="12547" width="8.75" style="1" customWidth="1"/>
    <col min="12548" max="12548" width="1.5" style="1" customWidth="1"/>
    <col min="12549" max="12549" width="10.75" style="1" customWidth="1"/>
    <col min="12550" max="12550" width="6.375" style="1" customWidth="1"/>
    <col min="12551" max="12551" width="6.75" style="1" customWidth="1"/>
    <col min="12552" max="12552" width="8.75" style="1" customWidth="1"/>
    <col min="12553" max="12554" width="10.125" style="1"/>
    <col min="12555" max="12555" width="10.625" style="1" bestFit="1" customWidth="1"/>
    <col min="12556" max="12800" width="10.125" style="1"/>
    <col min="12801" max="12801" width="3.125" style="1" customWidth="1"/>
    <col min="12802" max="12802" width="29.5" style="1" customWidth="1"/>
    <col min="12803" max="12803" width="8.75" style="1" customWidth="1"/>
    <col min="12804" max="12804" width="1.5" style="1" customWidth="1"/>
    <col min="12805" max="12805" width="10.75" style="1" customWidth="1"/>
    <col min="12806" max="12806" width="6.375" style="1" customWidth="1"/>
    <col min="12807" max="12807" width="6.75" style="1" customWidth="1"/>
    <col min="12808" max="12808" width="8.75" style="1" customWidth="1"/>
    <col min="12809" max="12810" width="10.125" style="1"/>
    <col min="12811" max="12811" width="10.625" style="1" bestFit="1" customWidth="1"/>
    <col min="12812" max="13056" width="10.125" style="1"/>
    <col min="13057" max="13057" width="3.125" style="1" customWidth="1"/>
    <col min="13058" max="13058" width="29.5" style="1" customWidth="1"/>
    <col min="13059" max="13059" width="8.75" style="1" customWidth="1"/>
    <col min="13060" max="13060" width="1.5" style="1" customWidth="1"/>
    <col min="13061" max="13061" width="10.75" style="1" customWidth="1"/>
    <col min="13062" max="13062" width="6.375" style="1" customWidth="1"/>
    <col min="13063" max="13063" width="6.75" style="1" customWidth="1"/>
    <col min="13064" max="13064" width="8.75" style="1" customWidth="1"/>
    <col min="13065" max="13066" width="10.125" style="1"/>
    <col min="13067" max="13067" width="10.625" style="1" bestFit="1" customWidth="1"/>
    <col min="13068" max="13312" width="10.125" style="1"/>
    <col min="13313" max="13313" width="3.125" style="1" customWidth="1"/>
    <col min="13314" max="13314" width="29.5" style="1" customWidth="1"/>
    <col min="13315" max="13315" width="8.75" style="1" customWidth="1"/>
    <col min="13316" max="13316" width="1.5" style="1" customWidth="1"/>
    <col min="13317" max="13317" width="10.75" style="1" customWidth="1"/>
    <col min="13318" max="13318" width="6.375" style="1" customWidth="1"/>
    <col min="13319" max="13319" width="6.75" style="1" customWidth="1"/>
    <col min="13320" max="13320" width="8.75" style="1" customWidth="1"/>
    <col min="13321" max="13322" width="10.125" style="1"/>
    <col min="13323" max="13323" width="10.625" style="1" bestFit="1" customWidth="1"/>
    <col min="13324" max="13568" width="10.125" style="1"/>
    <col min="13569" max="13569" width="3.125" style="1" customWidth="1"/>
    <col min="13570" max="13570" width="29.5" style="1" customWidth="1"/>
    <col min="13571" max="13571" width="8.75" style="1" customWidth="1"/>
    <col min="13572" max="13572" width="1.5" style="1" customWidth="1"/>
    <col min="13573" max="13573" width="10.75" style="1" customWidth="1"/>
    <col min="13574" max="13574" width="6.375" style="1" customWidth="1"/>
    <col min="13575" max="13575" width="6.75" style="1" customWidth="1"/>
    <col min="13576" max="13576" width="8.75" style="1" customWidth="1"/>
    <col min="13577" max="13578" width="10.125" style="1"/>
    <col min="13579" max="13579" width="10.625" style="1" bestFit="1" customWidth="1"/>
    <col min="13580" max="13824" width="10.125" style="1"/>
    <col min="13825" max="13825" width="3.125" style="1" customWidth="1"/>
    <col min="13826" max="13826" width="29.5" style="1" customWidth="1"/>
    <col min="13827" max="13827" width="8.75" style="1" customWidth="1"/>
    <col min="13828" max="13828" width="1.5" style="1" customWidth="1"/>
    <col min="13829" max="13829" width="10.75" style="1" customWidth="1"/>
    <col min="13830" max="13830" width="6.375" style="1" customWidth="1"/>
    <col min="13831" max="13831" width="6.75" style="1" customWidth="1"/>
    <col min="13832" max="13832" width="8.75" style="1" customWidth="1"/>
    <col min="13833" max="13834" width="10.125" style="1"/>
    <col min="13835" max="13835" width="10.625" style="1" bestFit="1" customWidth="1"/>
    <col min="13836" max="14080" width="10.125" style="1"/>
    <col min="14081" max="14081" width="3.125" style="1" customWidth="1"/>
    <col min="14082" max="14082" width="29.5" style="1" customWidth="1"/>
    <col min="14083" max="14083" width="8.75" style="1" customWidth="1"/>
    <col min="14084" max="14084" width="1.5" style="1" customWidth="1"/>
    <col min="14085" max="14085" width="10.75" style="1" customWidth="1"/>
    <col min="14086" max="14086" width="6.375" style="1" customWidth="1"/>
    <col min="14087" max="14087" width="6.75" style="1" customWidth="1"/>
    <col min="14088" max="14088" width="8.75" style="1" customWidth="1"/>
    <col min="14089" max="14090" width="10.125" style="1"/>
    <col min="14091" max="14091" width="10.625" style="1" bestFit="1" customWidth="1"/>
    <col min="14092" max="14336" width="10.125" style="1"/>
    <col min="14337" max="14337" width="3.125" style="1" customWidth="1"/>
    <col min="14338" max="14338" width="29.5" style="1" customWidth="1"/>
    <col min="14339" max="14339" width="8.75" style="1" customWidth="1"/>
    <col min="14340" max="14340" width="1.5" style="1" customWidth="1"/>
    <col min="14341" max="14341" width="10.75" style="1" customWidth="1"/>
    <col min="14342" max="14342" width="6.375" style="1" customWidth="1"/>
    <col min="14343" max="14343" width="6.75" style="1" customWidth="1"/>
    <col min="14344" max="14344" width="8.75" style="1" customWidth="1"/>
    <col min="14345" max="14346" width="10.125" style="1"/>
    <col min="14347" max="14347" width="10.625" style="1" bestFit="1" customWidth="1"/>
    <col min="14348" max="14592" width="10.125" style="1"/>
    <col min="14593" max="14593" width="3.125" style="1" customWidth="1"/>
    <col min="14594" max="14594" width="29.5" style="1" customWidth="1"/>
    <col min="14595" max="14595" width="8.75" style="1" customWidth="1"/>
    <col min="14596" max="14596" width="1.5" style="1" customWidth="1"/>
    <col min="14597" max="14597" width="10.75" style="1" customWidth="1"/>
    <col min="14598" max="14598" width="6.375" style="1" customWidth="1"/>
    <col min="14599" max="14599" width="6.75" style="1" customWidth="1"/>
    <col min="14600" max="14600" width="8.75" style="1" customWidth="1"/>
    <col min="14601" max="14602" width="10.125" style="1"/>
    <col min="14603" max="14603" width="10.625" style="1" bestFit="1" customWidth="1"/>
    <col min="14604" max="14848" width="10.125" style="1"/>
    <col min="14849" max="14849" width="3.125" style="1" customWidth="1"/>
    <col min="14850" max="14850" width="29.5" style="1" customWidth="1"/>
    <col min="14851" max="14851" width="8.75" style="1" customWidth="1"/>
    <col min="14852" max="14852" width="1.5" style="1" customWidth="1"/>
    <col min="14853" max="14853" width="10.75" style="1" customWidth="1"/>
    <col min="14854" max="14854" width="6.375" style="1" customWidth="1"/>
    <col min="14855" max="14855" width="6.75" style="1" customWidth="1"/>
    <col min="14856" max="14856" width="8.75" style="1" customWidth="1"/>
    <col min="14857" max="14858" width="10.125" style="1"/>
    <col min="14859" max="14859" width="10.625" style="1" bestFit="1" customWidth="1"/>
    <col min="14860" max="15104" width="10.125" style="1"/>
    <col min="15105" max="15105" width="3.125" style="1" customWidth="1"/>
    <col min="15106" max="15106" width="29.5" style="1" customWidth="1"/>
    <col min="15107" max="15107" width="8.75" style="1" customWidth="1"/>
    <col min="15108" max="15108" width="1.5" style="1" customWidth="1"/>
    <col min="15109" max="15109" width="10.75" style="1" customWidth="1"/>
    <col min="15110" max="15110" width="6.375" style="1" customWidth="1"/>
    <col min="15111" max="15111" width="6.75" style="1" customWidth="1"/>
    <col min="15112" max="15112" width="8.75" style="1" customWidth="1"/>
    <col min="15113" max="15114" width="10.125" style="1"/>
    <col min="15115" max="15115" width="10.625" style="1" bestFit="1" customWidth="1"/>
    <col min="15116" max="15360" width="10.125" style="1"/>
    <col min="15361" max="15361" width="3.125" style="1" customWidth="1"/>
    <col min="15362" max="15362" width="29.5" style="1" customWidth="1"/>
    <col min="15363" max="15363" width="8.75" style="1" customWidth="1"/>
    <col min="15364" max="15364" width="1.5" style="1" customWidth="1"/>
    <col min="15365" max="15365" width="10.75" style="1" customWidth="1"/>
    <col min="15366" max="15366" width="6.375" style="1" customWidth="1"/>
    <col min="15367" max="15367" width="6.75" style="1" customWidth="1"/>
    <col min="15368" max="15368" width="8.75" style="1" customWidth="1"/>
    <col min="15369" max="15370" width="10.125" style="1"/>
    <col min="15371" max="15371" width="10.625" style="1" bestFit="1" customWidth="1"/>
    <col min="15372" max="15616" width="10.125" style="1"/>
    <col min="15617" max="15617" width="3.125" style="1" customWidth="1"/>
    <col min="15618" max="15618" width="29.5" style="1" customWidth="1"/>
    <col min="15619" max="15619" width="8.75" style="1" customWidth="1"/>
    <col min="15620" max="15620" width="1.5" style="1" customWidth="1"/>
    <col min="15621" max="15621" width="10.75" style="1" customWidth="1"/>
    <col min="15622" max="15622" width="6.375" style="1" customWidth="1"/>
    <col min="15623" max="15623" width="6.75" style="1" customWidth="1"/>
    <col min="15624" max="15624" width="8.75" style="1" customWidth="1"/>
    <col min="15625" max="15626" width="10.125" style="1"/>
    <col min="15627" max="15627" width="10.625" style="1" bestFit="1" customWidth="1"/>
    <col min="15628" max="15872" width="10.125" style="1"/>
    <col min="15873" max="15873" width="3.125" style="1" customWidth="1"/>
    <col min="15874" max="15874" width="29.5" style="1" customWidth="1"/>
    <col min="15875" max="15875" width="8.75" style="1" customWidth="1"/>
    <col min="15876" max="15876" width="1.5" style="1" customWidth="1"/>
    <col min="15877" max="15877" width="10.75" style="1" customWidth="1"/>
    <col min="15878" max="15878" width="6.375" style="1" customWidth="1"/>
    <col min="15879" max="15879" width="6.75" style="1" customWidth="1"/>
    <col min="15880" max="15880" width="8.75" style="1" customWidth="1"/>
    <col min="15881" max="15882" width="10.125" style="1"/>
    <col min="15883" max="15883" width="10.625" style="1" bestFit="1" customWidth="1"/>
    <col min="15884" max="16128" width="10.125" style="1"/>
    <col min="16129" max="16129" width="3.125" style="1" customWidth="1"/>
    <col min="16130" max="16130" width="29.5" style="1" customWidth="1"/>
    <col min="16131" max="16131" width="8.75" style="1" customWidth="1"/>
    <col min="16132" max="16132" width="1.5" style="1" customWidth="1"/>
    <col min="16133" max="16133" width="10.75" style="1" customWidth="1"/>
    <col min="16134" max="16134" width="6.375" style="1" customWidth="1"/>
    <col min="16135" max="16135" width="6.75" style="1" customWidth="1"/>
    <col min="16136" max="16136" width="8.75" style="1" customWidth="1"/>
    <col min="16137" max="16138" width="10.125" style="1"/>
    <col min="16139" max="16139" width="10.625" style="1" bestFit="1" customWidth="1"/>
    <col min="16140" max="16384" width="10.125" style="1"/>
  </cols>
  <sheetData>
    <row r="5" spans="1:12" x14ac:dyDescent="0.25">
      <c r="A5" s="4" t="s">
        <v>0</v>
      </c>
      <c r="B5" s="5"/>
      <c r="C5" s="5"/>
    </row>
    <row r="6" spans="1:12" ht="9" customHeight="1" x14ac:dyDescent="0.25">
      <c r="A6" s="4"/>
      <c r="B6" s="5"/>
      <c r="C6" s="5"/>
    </row>
    <row r="7" spans="1:12" s="7" customFormat="1" ht="15" x14ac:dyDescent="0.25">
      <c r="A7" s="7" t="s">
        <v>1</v>
      </c>
      <c r="B7" s="8"/>
      <c r="D7" s="9"/>
      <c r="E7" s="131" t="s">
        <v>2</v>
      </c>
      <c r="F7" s="132"/>
      <c r="G7" s="133">
        <v>45593</v>
      </c>
      <c r="H7" s="134"/>
      <c r="J7" s="55"/>
    </row>
    <row r="8" spans="1:12" s="7" customFormat="1" ht="15" x14ac:dyDescent="0.25">
      <c r="A8" s="7" t="s">
        <v>53</v>
      </c>
      <c r="B8" s="8"/>
      <c r="D8" s="9"/>
      <c r="E8" s="135" t="s">
        <v>3</v>
      </c>
      <c r="F8" s="136"/>
      <c r="H8" s="11">
        <v>60431</v>
      </c>
      <c r="J8" s="55"/>
      <c r="K8" s="55"/>
      <c r="L8" s="55"/>
    </row>
    <row r="9" spans="1:12" s="7" customFormat="1" ht="15" x14ac:dyDescent="0.25">
      <c r="A9" s="7" t="s">
        <v>54</v>
      </c>
      <c r="B9" s="8"/>
      <c r="D9" s="9"/>
      <c r="E9" s="135" t="s">
        <v>4</v>
      </c>
      <c r="F9" s="136"/>
      <c r="G9" s="137" t="s">
        <v>106</v>
      </c>
      <c r="H9" s="138"/>
      <c r="J9" s="55"/>
      <c r="K9" s="55"/>
      <c r="L9" s="55"/>
    </row>
    <row r="10" spans="1:12" s="7" customFormat="1" ht="15" x14ac:dyDescent="0.25">
      <c r="B10" s="8"/>
      <c r="D10" s="9"/>
      <c r="E10" s="13" t="s">
        <v>5</v>
      </c>
      <c r="F10" s="14"/>
      <c r="G10" s="139" t="s">
        <v>32</v>
      </c>
      <c r="H10" s="140"/>
      <c r="K10" s="55"/>
    </row>
    <row r="11" spans="1:12" s="7" customFormat="1" ht="15" x14ac:dyDescent="0.25">
      <c r="A11" s="15" t="s">
        <v>55</v>
      </c>
      <c r="B11" s="8"/>
      <c r="D11" s="9"/>
      <c r="E11" s="10" t="s">
        <v>6</v>
      </c>
      <c r="F11" s="125" t="s">
        <v>7</v>
      </c>
      <c r="G11" s="125"/>
      <c r="H11" s="126"/>
    </row>
    <row r="12" spans="1:12" s="7" customFormat="1" ht="15" x14ac:dyDescent="0.25">
      <c r="A12" s="15"/>
      <c r="B12" s="8"/>
      <c r="D12" s="9"/>
      <c r="E12" s="13" t="s">
        <v>8</v>
      </c>
      <c r="F12" s="127" t="s">
        <v>9</v>
      </c>
      <c r="G12" s="127"/>
      <c r="H12" s="128"/>
    </row>
    <row r="13" spans="1:12" s="7" customFormat="1" ht="15" x14ac:dyDescent="0.25">
      <c r="A13" s="15"/>
      <c r="B13" s="8"/>
      <c r="D13" s="9"/>
      <c r="E13" s="17"/>
      <c r="F13" s="51"/>
      <c r="G13" s="51"/>
      <c r="H13" s="51"/>
    </row>
    <row r="14" spans="1:12" s="7" customFormat="1" ht="15" x14ac:dyDescent="0.25">
      <c r="A14" s="15"/>
      <c r="B14" s="8"/>
      <c r="D14" s="9"/>
      <c r="E14" s="17"/>
      <c r="F14" s="51"/>
      <c r="G14" s="51"/>
      <c r="H14" s="51"/>
    </row>
    <row r="15" spans="1:12" s="7" customFormat="1" ht="15" x14ac:dyDescent="0.25">
      <c r="A15" s="15"/>
      <c r="B15" s="8"/>
      <c r="D15" s="9"/>
      <c r="E15" s="17"/>
      <c r="F15" s="51"/>
      <c r="G15" s="51"/>
      <c r="H15" s="51"/>
    </row>
    <row r="16" spans="1:12" s="15" customFormat="1" ht="14.25" x14ac:dyDescent="0.2">
      <c r="A16" s="129" t="s">
        <v>10</v>
      </c>
      <c r="B16" s="129"/>
      <c r="C16" s="129"/>
      <c r="D16" s="129"/>
      <c r="E16" s="129"/>
      <c r="F16" s="129"/>
      <c r="G16" s="129"/>
      <c r="H16" s="129"/>
    </row>
    <row r="17" spans="1:8" s="15" customFormat="1" ht="14.25" x14ac:dyDescent="0.2">
      <c r="A17" s="19"/>
      <c r="B17" s="19"/>
      <c r="C17" s="19"/>
      <c r="D17" s="19"/>
      <c r="E17" s="19"/>
      <c r="F17" s="19"/>
      <c r="G17" s="19"/>
      <c r="H17" s="19"/>
    </row>
    <row r="18" spans="1:8" s="15" customFormat="1" ht="14.25" x14ac:dyDescent="0.2">
      <c r="A18" s="19"/>
      <c r="B18" s="19"/>
      <c r="C18" s="19"/>
      <c r="D18" s="19"/>
      <c r="E18" s="19"/>
      <c r="F18" s="19"/>
      <c r="G18" s="19"/>
      <c r="H18" s="19"/>
    </row>
    <row r="19" spans="1:8" s="7" customFormat="1" ht="15" x14ac:dyDescent="0.25">
      <c r="A19" s="7" t="s">
        <v>38</v>
      </c>
      <c r="B19" s="8"/>
      <c r="D19" s="9"/>
      <c r="E19" s="17"/>
      <c r="F19" s="9"/>
      <c r="G19" s="18"/>
    </row>
    <row r="20" spans="1:8" s="7" customFormat="1" ht="15" x14ac:dyDescent="0.25">
      <c r="A20" s="7" t="s">
        <v>39</v>
      </c>
      <c r="B20" s="8"/>
      <c r="D20" s="9"/>
      <c r="E20" s="17"/>
      <c r="F20" s="9"/>
      <c r="G20" s="18"/>
    </row>
    <row r="21" spans="1:8" s="7" customFormat="1" ht="9" customHeight="1" x14ac:dyDescent="0.25">
      <c r="D21" s="9"/>
      <c r="E21" s="17"/>
      <c r="F21" s="18"/>
    </row>
    <row r="22" spans="1:8" s="7" customFormat="1" ht="15" x14ac:dyDescent="0.25">
      <c r="A22" s="20" t="s">
        <v>13</v>
      </c>
      <c r="B22" s="21"/>
      <c r="C22" s="20"/>
      <c r="D22" s="9"/>
      <c r="E22" s="9" t="s">
        <v>40</v>
      </c>
      <c r="F22" s="17" t="s">
        <v>15</v>
      </c>
      <c r="G22" s="9" t="s">
        <v>41</v>
      </c>
      <c r="H22" s="17" t="s">
        <v>17</v>
      </c>
    </row>
    <row r="23" spans="1:8" s="7" customFormat="1" ht="15" x14ac:dyDescent="0.25">
      <c r="A23" s="23" t="s">
        <v>18</v>
      </c>
      <c r="B23" s="23"/>
      <c r="C23" s="22" t="s">
        <v>49</v>
      </c>
      <c r="D23" s="24"/>
      <c r="E23" s="24" t="s">
        <v>50</v>
      </c>
      <c r="F23" s="16"/>
      <c r="G23" s="24" t="s">
        <v>44</v>
      </c>
      <c r="H23" s="14"/>
    </row>
    <row r="24" spans="1:8" s="7" customFormat="1" ht="15" x14ac:dyDescent="0.25">
      <c r="A24" s="7">
        <v>33</v>
      </c>
      <c r="B24" s="7" t="s">
        <v>51</v>
      </c>
      <c r="C24" s="45"/>
      <c r="D24" s="45"/>
      <c r="E24" s="26"/>
      <c r="F24" s="12"/>
      <c r="G24" s="17"/>
      <c r="H24" s="28"/>
    </row>
    <row r="25" spans="1:8" s="7" customFormat="1" ht="15" x14ac:dyDescent="0.25">
      <c r="A25" s="12"/>
      <c r="B25" s="55">
        <v>45474</v>
      </c>
      <c r="C25" s="44">
        <v>45538</v>
      </c>
      <c r="E25" s="26">
        <f>ROUNDDOWN((23974.96/2)/(128664.92/12)*128664.92/1000,)*1000</f>
        <v>143000</v>
      </c>
      <c r="F25" s="12" t="s">
        <v>52</v>
      </c>
      <c r="G25" s="17">
        <v>7</v>
      </c>
      <c r="H25" s="28">
        <f>G25/10*217</f>
        <v>151.89999999999998</v>
      </c>
    </row>
    <row r="26" spans="1:8" s="7" customFormat="1" ht="15" x14ac:dyDescent="0.25">
      <c r="A26" s="12"/>
      <c r="B26" s="55">
        <v>45505</v>
      </c>
      <c r="C26" s="44">
        <v>45565</v>
      </c>
      <c r="E26" s="26">
        <f>+E25</f>
        <v>143000</v>
      </c>
      <c r="F26" s="12" t="s">
        <v>52</v>
      </c>
      <c r="G26" s="17">
        <v>7</v>
      </c>
      <c r="H26" s="28">
        <f>G26/10*217</f>
        <v>151.89999999999998</v>
      </c>
    </row>
    <row r="27" spans="1:8" s="7" customFormat="1" ht="15" x14ac:dyDescent="0.25">
      <c r="A27" s="12"/>
      <c r="B27" s="55">
        <v>45536</v>
      </c>
      <c r="C27" s="44">
        <v>45590</v>
      </c>
      <c r="E27" s="26">
        <f>+E26</f>
        <v>143000</v>
      </c>
      <c r="F27" s="12" t="s">
        <v>52</v>
      </c>
      <c r="G27" s="17">
        <v>7</v>
      </c>
      <c r="H27" s="28">
        <f>G27/10*217</f>
        <v>151.89999999999998</v>
      </c>
    </row>
    <row r="28" spans="1:8" s="7" customFormat="1" ht="15" x14ac:dyDescent="0.25">
      <c r="A28" s="12"/>
      <c r="B28" s="53" t="s">
        <v>108</v>
      </c>
      <c r="C28" s="44">
        <f>+C27</f>
        <v>45590</v>
      </c>
      <c r="D28" s="45"/>
      <c r="E28" s="26">
        <f>+E27</f>
        <v>143000</v>
      </c>
      <c r="F28" s="12" t="s">
        <v>52</v>
      </c>
      <c r="G28" s="17">
        <v>7</v>
      </c>
      <c r="H28" s="28">
        <f>G28/10*217</f>
        <v>151.89999999999998</v>
      </c>
    </row>
    <row r="29" spans="1:8" s="7" customFormat="1" ht="5.25" customHeight="1" x14ac:dyDescent="0.25">
      <c r="A29" s="12"/>
      <c r="B29" s="53"/>
      <c r="C29" s="44"/>
      <c r="D29" s="45"/>
      <c r="E29" s="54"/>
      <c r="F29" s="28"/>
      <c r="G29" s="47"/>
      <c r="H29" s="28"/>
    </row>
    <row r="30" spans="1:8" s="7" customFormat="1" ht="15" x14ac:dyDescent="0.25">
      <c r="A30" s="7">
        <v>16</v>
      </c>
      <c r="B30" s="7" t="s">
        <v>23</v>
      </c>
      <c r="C30" s="62" t="s">
        <v>107</v>
      </c>
      <c r="E30" s="41"/>
      <c r="F30" s="26"/>
      <c r="G30" s="17"/>
      <c r="H30" s="41">
        <v>80</v>
      </c>
    </row>
    <row r="31" spans="1:8" s="7" customFormat="1" ht="15" x14ac:dyDescent="0.25">
      <c r="A31" s="23"/>
      <c r="B31" s="23" t="s">
        <v>24</v>
      </c>
      <c r="C31" s="23"/>
      <c r="D31" s="23"/>
      <c r="E31" s="24"/>
      <c r="F31" s="16"/>
      <c r="G31" s="57"/>
      <c r="H31" s="58"/>
    </row>
    <row r="32" spans="1:8" s="7" customFormat="1" ht="15.75" customHeight="1" x14ac:dyDescent="0.25">
      <c r="D32" s="9"/>
      <c r="E32" s="7" t="s">
        <v>25</v>
      </c>
      <c r="F32" s="9"/>
      <c r="G32" s="12"/>
      <c r="H32" s="41">
        <f>SUM(H24:H31)</f>
        <v>687.59999999999991</v>
      </c>
    </row>
    <row r="33" spans="1:8" s="7" customFormat="1" ht="15.75" customHeight="1" x14ac:dyDescent="0.25">
      <c r="D33" s="9"/>
      <c r="E33" s="7" t="s">
        <v>26</v>
      </c>
      <c r="F33" s="9"/>
      <c r="H33" s="41">
        <f>+H32*0.19</f>
        <v>130.64399999999998</v>
      </c>
    </row>
    <row r="34" spans="1:8" s="7" customFormat="1" thickBot="1" x14ac:dyDescent="0.3">
      <c r="D34" s="9"/>
      <c r="E34" s="34" t="s">
        <v>27</v>
      </c>
      <c r="F34" s="35"/>
      <c r="G34" s="60"/>
      <c r="H34" s="61">
        <f>SUM(H32:H33)</f>
        <v>818.24399999999991</v>
      </c>
    </row>
    <row r="35" spans="1:8" s="7" customFormat="1" ht="7.5" customHeight="1" thickTop="1" x14ac:dyDescent="0.25">
      <c r="D35" s="9"/>
      <c r="E35" s="38"/>
      <c r="F35" s="17"/>
      <c r="G35" s="9"/>
      <c r="H35" s="41"/>
    </row>
    <row r="36" spans="1:8" s="7" customFormat="1" ht="15" x14ac:dyDescent="0.25">
      <c r="A36" s="7" t="s">
        <v>48</v>
      </c>
      <c r="B36" s="8"/>
      <c r="D36" s="9"/>
      <c r="E36" s="17"/>
      <c r="F36" s="18"/>
    </row>
    <row r="37" spans="1:8" s="7" customFormat="1" ht="15" x14ac:dyDescent="0.25">
      <c r="D37" s="9"/>
      <c r="E37" s="17"/>
      <c r="F37" s="18"/>
    </row>
    <row r="38" spans="1:8" s="7" customFormat="1" ht="15" x14ac:dyDescent="0.25">
      <c r="D38" s="9"/>
      <c r="E38" s="17"/>
      <c r="F38" s="18"/>
    </row>
    <row r="39" spans="1:8" ht="14.25" customHeight="1" x14ac:dyDescent="0.25"/>
    <row r="40" spans="1:8" x14ac:dyDescent="0.25">
      <c r="B40" s="23"/>
    </row>
    <row r="43" spans="1:8" x14ac:dyDescent="0.25">
      <c r="D43" s="1"/>
      <c r="E43" s="1"/>
      <c r="F43" s="1"/>
    </row>
    <row r="44" spans="1:8" x14ac:dyDescent="0.25">
      <c r="D44" s="1"/>
      <c r="E44" s="1"/>
      <c r="F44" s="1"/>
    </row>
    <row r="45" spans="1:8" x14ac:dyDescent="0.25">
      <c r="D45" s="1"/>
      <c r="E45" s="1"/>
      <c r="F45" s="1"/>
    </row>
    <row r="46" spans="1:8" x14ac:dyDescent="0.25">
      <c r="D46" s="1"/>
      <c r="E46" s="1"/>
      <c r="F46" s="1"/>
    </row>
    <row r="47" spans="1:8" x14ac:dyDescent="0.25">
      <c r="D47" s="1"/>
      <c r="E47" s="1"/>
      <c r="F47" s="1"/>
    </row>
    <row r="48" spans="1:8" x14ac:dyDescent="0.25">
      <c r="D48" s="1"/>
      <c r="E48" s="1"/>
      <c r="F48" s="1"/>
    </row>
    <row r="49" spans="1:8" x14ac:dyDescent="0.25">
      <c r="A49" s="142" t="s">
        <v>98</v>
      </c>
      <c r="B49" s="142"/>
      <c r="C49" s="142"/>
      <c r="D49" s="142"/>
      <c r="E49" s="142"/>
      <c r="F49" s="142"/>
      <c r="G49" s="142"/>
      <c r="H49" s="142"/>
    </row>
  </sheetData>
  <mergeCells count="10">
    <mergeCell ref="F11:H11"/>
    <mergeCell ref="F12:H12"/>
    <mergeCell ref="A16:H16"/>
    <mergeCell ref="A49:H49"/>
    <mergeCell ref="E7:F7"/>
    <mergeCell ref="G7:H7"/>
    <mergeCell ref="E8:F8"/>
    <mergeCell ref="E9:F9"/>
    <mergeCell ref="G9:H9"/>
    <mergeCell ref="G10:H10"/>
  </mergeCells>
  <pageMargins left="0.78740157480314965" right="0.78740157480314965" top="0.98425196850393704" bottom="0.98425196850393704" header="0.51181102362204722" footer="0.51181102362204722"/>
  <pageSetup paperSize="9" orientation="portrait" horizontalDpi="300" verticalDpi="300" r:id="rId1"/>
  <headerFooter alignWithMargins="0">
    <oddHeader>&amp;C&amp;"Times New Roman,Standard"&amp;16Hartmut Ahting
Steuerberater
Diplom-Wirtschaftsingenieur</oddHeader>
    <oddFooter>&amp;L&amp;"Times New Roman,Standard"Heerstrasse 50
60488 Frankfurt
&amp;C&amp;"Times New Roman,Standard"Deutsche Bank
BLZ 500 700 24
Konto 409 28 62&amp;R&amp;"Times New Roman,Standard"Tel:      069 / 788 031-71
Fax:     069 / 788 031-72
Mobil: 0174 / 326 99 58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2E0AA-588D-4859-A2F1-D262892F1FC9}">
  <dimension ref="A5:L49"/>
  <sheetViews>
    <sheetView workbookViewId="0">
      <selection activeCell="J23" sqref="J23"/>
    </sheetView>
  </sheetViews>
  <sheetFormatPr baseColWidth="10" defaultColWidth="10.125" defaultRowHeight="15.75" x14ac:dyDescent="0.25"/>
  <cols>
    <col min="1" max="1" width="3.125" style="1" customWidth="1"/>
    <col min="2" max="2" width="29.5" style="1" customWidth="1"/>
    <col min="3" max="3" width="8.75" style="1" customWidth="1"/>
    <col min="4" max="4" width="1.5" style="2" customWidth="1"/>
    <col min="5" max="5" width="10.75" style="3" customWidth="1"/>
    <col min="6" max="6" width="6.375" style="6" customWidth="1"/>
    <col min="7" max="7" width="6.75" style="1" customWidth="1"/>
    <col min="8" max="8" width="8.75" style="1" customWidth="1"/>
    <col min="9" max="10" width="10.125" style="1"/>
    <col min="11" max="11" width="10.625" style="1" bestFit="1" customWidth="1"/>
    <col min="12" max="256" width="10.125" style="1"/>
    <col min="257" max="257" width="3.125" style="1" customWidth="1"/>
    <col min="258" max="258" width="29.5" style="1" customWidth="1"/>
    <col min="259" max="259" width="8.75" style="1" customWidth="1"/>
    <col min="260" max="260" width="1.5" style="1" customWidth="1"/>
    <col min="261" max="261" width="10.75" style="1" customWidth="1"/>
    <col min="262" max="262" width="6.375" style="1" customWidth="1"/>
    <col min="263" max="263" width="6.75" style="1" customWidth="1"/>
    <col min="264" max="264" width="8.75" style="1" customWidth="1"/>
    <col min="265" max="266" width="10.125" style="1"/>
    <col min="267" max="267" width="10.625" style="1" bestFit="1" customWidth="1"/>
    <col min="268" max="512" width="10.125" style="1"/>
    <col min="513" max="513" width="3.125" style="1" customWidth="1"/>
    <col min="514" max="514" width="29.5" style="1" customWidth="1"/>
    <col min="515" max="515" width="8.75" style="1" customWidth="1"/>
    <col min="516" max="516" width="1.5" style="1" customWidth="1"/>
    <col min="517" max="517" width="10.75" style="1" customWidth="1"/>
    <col min="518" max="518" width="6.375" style="1" customWidth="1"/>
    <col min="519" max="519" width="6.75" style="1" customWidth="1"/>
    <col min="520" max="520" width="8.75" style="1" customWidth="1"/>
    <col min="521" max="522" width="10.125" style="1"/>
    <col min="523" max="523" width="10.625" style="1" bestFit="1" customWidth="1"/>
    <col min="524" max="768" width="10.125" style="1"/>
    <col min="769" max="769" width="3.125" style="1" customWidth="1"/>
    <col min="770" max="770" width="29.5" style="1" customWidth="1"/>
    <col min="771" max="771" width="8.75" style="1" customWidth="1"/>
    <col min="772" max="772" width="1.5" style="1" customWidth="1"/>
    <col min="773" max="773" width="10.75" style="1" customWidth="1"/>
    <col min="774" max="774" width="6.375" style="1" customWidth="1"/>
    <col min="775" max="775" width="6.75" style="1" customWidth="1"/>
    <col min="776" max="776" width="8.75" style="1" customWidth="1"/>
    <col min="777" max="778" width="10.125" style="1"/>
    <col min="779" max="779" width="10.625" style="1" bestFit="1" customWidth="1"/>
    <col min="780" max="1024" width="10.125" style="1"/>
    <col min="1025" max="1025" width="3.125" style="1" customWidth="1"/>
    <col min="1026" max="1026" width="29.5" style="1" customWidth="1"/>
    <col min="1027" max="1027" width="8.75" style="1" customWidth="1"/>
    <col min="1028" max="1028" width="1.5" style="1" customWidth="1"/>
    <col min="1029" max="1029" width="10.75" style="1" customWidth="1"/>
    <col min="1030" max="1030" width="6.375" style="1" customWidth="1"/>
    <col min="1031" max="1031" width="6.75" style="1" customWidth="1"/>
    <col min="1032" max="1032" width="8.75" style="1" customWidth="1"/>
    <col min="1033" max="1034" width="10.125" style="1"/>
    <col min="1035" max="1035" width="10.625" style="1" bestFit="1" customWidth="1"/>
    <col min="1036" max="1280" width="10.125" style="1"/>
    <col min="1281" max="1281" width="3.125" style="1" customWidth="1"/>
    <col min="1282" max="1282" width="29.5" style="1" customWidth="1"/>
    <col min="1283" max="1283" width="8.75" style="1" customWidth="1"/>
    <col min="1284" max="1284" width="1.5" style="1" customWidth="1"/>
    <col min="1285" max="1285" width="10.75" style="1" customWidth="1"/>
    <col min="1286" max="1286" width="6.375" style="1" customWidth="1"/>
    <col min="1287" max="1287" width="6.75" style="1" customWidth="1"/>
    <col min="1288" max="1288" width="8.75" style="1" customWidth="1"/>
    <col min="1289" max="1290" width="10.125" style="1"/>
    <col min="1291" max="1291" width="10.625" style="1" bestFit="1" customWidth="1"/>
    <col min="1292" max="1536" width="10.125" style="1"/>
    <col min="1537" max="1537" width="3.125" style="1" customWidth="1"/>
    <col min="1538" max="1538" width="29.5" style="1" customWidth="1"/>
    <col min="1539" max="1539" width="8.75" style="1" customWidth="1"/>
    <col min="1540" max="1540" width="1.5" style="1" customWidth="1"/>
    <col min="1541" max="1541" width="10.75" style="1" customWidth="1"/>
    <col min="1542" max="1542" width="6.375" style="1" customWidth="1"/>
    <col min="1543" max="1543" width="6.75" style="1" customWidth="1"/>
    <col min="1544" max="1544" width="8.75" style="1" customWidth="1"/>
    <col min="1545" max="1546" width="10.125" style="1"/>
    <col min="1547" max="1547" width="10.625" style="1" bestFit="1" customWidth="1"/>
    <col min="1548" max="1792" width="10.125" style="1"/>
    <col min="1793" max="1793" width="3.125" style="1" customWidth="1"/>
    <col min="1794" max="1794" width="29.5" style="1" customWidth="1"/>
    <col min="1795" max="1795" width="8.75" style="1" customWidth="1"/>
    <col min="1796" max="1796" width="1.5" style="1" customWidth="1"/>
    <col min="1797" max="1797" width="10.75" style="1" customWidth="1"/>
    <col min="1798" max="1798" width="6.375" style="1" customWidth="1"/>
    <col min="1799" max="1799" width="6.75" style="1" customWidth="1"/>
    <col min="1800" max="1800" width="8.75" style="1" customWidth="1"/>
    <col min="1801" max="1802" width="10.125" style="1"/>
    <col min="1803" max="1803" width="10.625" style="1" bestFit="1" customWidth="1"/>
    <col min="1804" max="2048" width="10.125" style="1"/>
    <col min="2049" max="2049" width="3.125" style="1" customWidth="1"/>
    <col min="2050" max="2050" width="29.5" style="1" customWidth="1"/>
    <col min="2051" max="2051" width="8.75" style="1" customWidth="1"/>
    <col min="2052" max="2052" width="1.5" style="1" customWidth="1"/>
    <col min="2053" max="2053" width="10.75" style="1" customWidth="1"/>
    <col min="2054" max="2054" width="6.375" style="1" customWidth="1"/>
    <col min="2055" max="2055" width="6.75" style="1" customWidth="1"/>
    <col min="2056" max="2056" width="8.75" style="1" customWidth="1"/>
    <col min="2057" max="2058" width="10.125" style="1"/>
    <col min="2059" max="2059" width="10.625" style="1" bestFit="1" customWidth="1"/>
    <col min="2060" max="2304" width="10.125" style="1"/>
    <col min="2305" max="2305" width="3.125" style="1" customWidth="1"/>
    <col min="2306" max="2306" width="29.5" style="1" customWidth="1"/>
    <col min="2307" max="2307" width="8.75" style="1" customWidth="1"/>
    <col min="2308" max="2308" width="1.5" style="1" customWidth="1"/>
    <col min="2309" max="2309" width="10.75" style="1" customWidth="1"/>
    <col min="2310" max="2310" width="6.375" style="1" customWidth="1"/>
    <col min="2311" max="2311" width="6.75" style="1" customWidth="1"/>
    <col min="2312" max="2312" width="8.75" style="1" customWidth="1"/>
    <col min="2313" max="2314" width="10.125" style="1"/>
    <col min="2315" max="2315" width="10.625" style="1" bestFit="1" customWidth="1"/>
    <col min="2316" max="2560" width="10.125" style="1"/>
    <col min="2561" max="2561" width="3.125" style="1" customWidth="1"/>
    <col min="2562" max="2562" width="29.5" style="1" customWidth="1"/>
    <col min="2563" max="2563" width="8.75" style="1" customWidth="1"/>
    <col min="2564" max="2564" width="1.5" style="1" customWidth="1"/>
    <col min="2565" max="2565" width="10.75" style="1" customWidth="1"/>
    <col min="2566" max="2566" width="6.375" style="1" customWidth="1"/>
    <col min="2567" max="2567" width="6.75" style="1" customWidth="1"/>
    <col min="2568" max="2568" width="8.75" style="1" customWidth="1"/>
    <col min="2569" max="2570" width="10.125" style="1"/>
    <col min="2571" max="2571" width="10.625" style="1" bestFit="1" customWidth="1"/>
    <col min="2572" max="2816" width="10.125" style="1"/>
    <col min="2817" max="2817" width="3.125" style="1" customWidth="1"/>
    <col min="2818" max="2818" width="29.5" style="1" customWidth="1"/>
    <col min="2819" max="2819" width="8.75" style="1" customWidth="1"/>
    <col min="2820" max="2820" width="1.5" style="1" customWidth="1"/>
    <col min="2821" max="2821" width="10.75" style="1" customWidth="1"/>
    <col min="2822" max="2822" width="6.375" style="1" customWidth="1"/>
    <col min="2823" max="2823" width="6.75" style="1" customWidth="1"/>
    <col min="2824" max="2824" width="8.75" style="1" customWidth="1"/>
    <col min="2825" max="2826" width="10.125" style="1"/>
    <col min="2827" max="2827" width="10.625" style="1" bestFit="1" customWidth="1"/>
    <col min="2828" max="3072" width="10.125" style="1"/>
    <col min="3073" max="3073" width="3.125" style="1" customWidth="1"/>
    <col min="3074" max="3074" width="29.5" style="1" customWidth="1"/>
    <col min="3075" max="3075" width="8.75" style="1" customWidth="1"/>
    <col min="3076" max="3076" width="1.5" style="1" customWidth="1"/>
    <col min="3077" max="3077" width="10.75" style="1" customWidth="1"/>
    <col min="3078" max="3078" width="6.375" style="1" customWidth="1"/>
    <col min="3079" max="3079" width="6.75" style="1" customWidth="1"/>
    <col min="3080" max="3080" width="8.75" style="1" customWidth="1"/>
    <col min="3081" max="3082" width="10.125" style="1"/>
    <col min="3083" max="3083" width="10.625" style="1" bestFit="1" customWidth="1"/>
    <col min="3084" max="3328" width="10.125" style="1"/>
    <col min="3329" max="3329" width="3.125" style="1" customWidth="1"/>
    <col min="3330" max="3330" width="29.5" style="1" customWidth="1"/>
    <col min="3331" max="3331" width="8.75" style="1" customWidth="1"/>
    <col min="3332" max="3332" width="1.5" style="1" customWidth="1"/>
    <col min="3333" max="3333" width="10.75" style="1" customWidth="1"/>
    <col min="3334" max="3334" width="6.375" style="1" customWidth="1"/>
    <col min="3335" max="3335" width="6.75" style="1" customWidth="1"/>
    <col min="3336" max="3336" width="8.75" style="1" customWidth="1"/>
    <col min="3337" max="3338" width="10.125" style="1"/>
    <col min="3339" max="3339" width="10.625" style="1" bestFit="1" customWidth="1"/>
    <col min="3340" max="3584" width="10.125" style="1"/>
    <col min="3585" max="3585" width="3.125" style="1" customWidth="1"/>
    <col min="3586" max="3586" width="29.5" style="1" customWidth="1"/>
    <col min="3587" max="3587" width="8.75" style="1" customWidth="1"/>
    <col min="3588" max="3588" width="1.5" style="1" customWidth="1"/>
    <col min="3589" max="3589" width="10.75" style="1" customWidth="1"/>
    <col min="3590" max="3590" width="6.375" style="1" customWidth="1"/>
    <col min="3591" max="3591" width="6.75" style="1" customWidth="1"/>
    <col min="3592" max="3592" width="8.75" style="1" customWidth="1"/>
    <col min="3593" max="3594" width="10.125" style="1"/>
    <col min="3595" max="3595" width="10.625" style="1" bestFit="1" customWidth="1"/>
    <col min="3596" max="3840" width="10.125" style="1"/>
    <col min="3841" max="3841" width="3.125" style="1" customWidth="1"/>
    <col min="3842" max="3842" width="29.5" style="1" customWidth="1"/>
    <col min="3843" max="3843" width="8.75" style="1" customWidth="1"/>
    <col min="3844" max="3844" width="1.5" style="1" customWidth="1"/>
    <col min="3845" max="3845" width="10.75" style="1" customWidth="1"/>
    <col min="3846" max="3846" width="6.375" style="1" customWidth="1"/>
    <col min="3847" max="3847" width="6.75" style="1" customWidth="1"/>
    <col min="3848" max="3848" width="8.75" style="1" customWidth="1"/>
    <col min="3849" max="3850" width="10.125" style="1"/>
    <col min="3851" max="3851" width="10.625" style="1" bestFit="1" customWidth="1"/>
    <col min="3852" max="4096" width="10.125" style="1"/>
    <col min="4097" max="4097" width="3.125" style="1" customWidth="1"/>
    <col min="4098" max="4098" width="29.5" style="1" customWidth="1"/>
    <col min="4099" max="4099" width="8.75" style="1" customWidth="1"/>
    <col min="4100" max="4100" width="1.5" style="1" customWidth="1"/>
    <col min="4101" max="4101" width="10.75" style="1" customWidth="1"/>
    <col min="4102" max="4102" width="6.375" style="1" customWidth="1"/>
    <col min="4103" max="4103" width="6.75" style="1" customWidth="1"/>
    <col min="4104" max="4104" width="8.75" style="1" customWidth="1"/>
    <col min="4105" max="4106" width="10.125" style="1"/>
    <col min="4107" max="4107" width="10.625" style="1" bestFit="1" customWidth="1"/>
    <col min="4108" max="4352" width="10.125" style="1"/>
    <col min="4353" max="4353" width="3.125" style="1" customWidth="1"/>
    <col min="4354" max="4354" width="29.5" style="1" customWidth="1"/>
    <col min="4355" max="4355" width="8.75" style="1" customWidth="1"/>
    <col min="4356" max="4356" width="1.5" style="1" customWidth="1"/>
    <col min="4357" max="4357" width="10.75" style="1" customWidth="1"/>
    <col min="4358" max="4358" width="6.375" style="1" customWidth="1"/>
    <col min="4359" max="4359" width="6.75" style="1" customWidth="1"/>
    <col min="4360" max="4360" width="8.75" style="1" customWidth="1"/>
    <col min="4361" max="4362" width="10.125" style="1"/>
    <col min="4363" max="4363" width="10.625" style="1" bestFit="1" customWidth="1"/>
    <col min="4364" max="4608" width="10.125" style="1"/>
    <col min="4609" max="4609" width="3.125" style="1" customWidth="1"/>
    <col min="4610" max="4610" width="29.5" style="1" customWidth="1"/>
    <col min="4611" max="4611" width="8.75" style="1" customWidth="1"/>
    <col min="4612" max="4612" width="1.5" style="1" customWidth="1"/>
    <col min="4613" max="4613" width="10.75" style="1" customWidth="1"/>
    <col min="4614" max="4614" width="6.375" style="1" customWidth="1"/>
    <col min="4615" max="4615" width="6.75" style="1" customWidth="1"/>
    <col min="4616" max="4616" width="8.75" style="1" customWidth="1"/>
    <col min="4617" max="4618" width="10.125" style="1"/>
    <col min="4619" max="4619" width="10.625" style="1" bestFit="1" customWidth="1"/>
    <col min="4620" max="4864" width="10.125" style="1"/>
    <col min="4865" max="4865" width="3.125" style="1" customWidth="1"/>
    <col min="4866" max="4866" width="29.5" style="1" customWidth="1"/>
    <col min="4867" max="4867" width="8.75" style="1" customWidth="1"/>
    <col min="4868" max="4868" width="1.5" style="1" customWidth="1"/>
    <col min="4869" max="4869" width="10.75" style="1" customWidth="1"/>
    <col min="4870" max="4870" width="6.375" style="1" customWidth="1"/>
    <col min="4871" max="4871" width="6.75" style="1" customWidth="1"/>
    <col min="4872" max="4872" width="8.75" style="1" customWidth="1"/>
    <col min="4873" max="4874" width="10.125" style="1"/>
    <col min="4875" max="4875" width="10.625" style="1" bestFit="1" customWidth="1"/>
    <col min="4876" max="5120" width="10.125" style="1"/>
    <col min="5121" max="5121" width="3.125" style="1" customWidth="1"/>
    <col min="5122" max="5122" width="29.5" style="1" customWidth="1"/>
    <col min="5123" max="5123" width="8.75" style="1" customWidth="1"/>
    <col min="5124" max="5124" width="1.5" style="1" customWidth="1"/>
    <col min="5125" max="5125" width="10.75" style="1" customWidth="1"/>
    <col min="5126" max="5126" width="6.375" style="1" customWidth="1"/>
    <col min="5127" max="5127" width="6.75" style="1" customWidth="1"/>
    <col min="5128" max="5128" width="8.75" style="1" customWidth="1"/>
    <col min="5129" max="5130" width="10.125" style="1"/>
    <col min="5131" max="5131" width="10.625" style="1" bestFit="1" customWidth="1"/>
    <col min="5132" max="5376" width="10.125" style="1"/>
    <col min="5377" max="5377" width="3.125" style="1" customWidth="1"/>
    <col min="5378" max="5378" width="29.5" style="1" customWidth="1"/>
    <col min="5379" max="5379" width="8.75" style="1" customWidth="1"/>
    <col min="5380" max="5380" width="1.5" style="1" customWidth="1"/>
    <col min="5381" max="5381" width="10.75" style="1" customWidth="1"/>
    <col min="5382" max="5382" width="6.375" style="1" customWidth="1"/>
    <col min="5383" max="5383" width="6.75" style="1" customWidth="1"/>
    <col min="5384" max="5384" width="8.75" style="1" customWidth="1"/>
    <col min="5385" max="5386" width="10.125" style="1"/>
    <col min="5387" max="5387" width="10.625" style="1" bestFit="1" customWidth="1"/>
    <col min="5388" max="5632" width="10.125" style="1"/>
    <col min="5633" max="5633" width="3.125" style="1" customWidth="1"/>
    <col min="5634" max="5634" width="29.5" style="1" customWidth="1"/>
    <col min="5635" max="5635" width="8.75" style="1" customWidth="1"/>
    <col min="5636" max="5636" width="1.5" style="1" customWidth="1"/>
    <col min="5637" max="5637" width="10.75" style="1" customWidth="1"/>
    <col min="5638" max="5638" width="6.375" style="1" customWidth="1"/>
    <col min="5639" max="5639" width="6.75" style="1" customWidth="1"/>
    <col min="5640" max="5640" width="8.75" style="1" customWidth="1"/>
    <col min="5641" max="5642" width="10.125" style="1"/>
    <col min="5643" max="5643" width="10.625" style="1" bestFit="1" customWidth="1"/>
    <col min="5644" max="5888" width="10.125" style="1"/>
    <col min="5889" max="5889" width="3.125" style="1" customWidth="1"/>
    <col min="5890" max="5890" width="29.5" style="1" customWidth="1"/>
    <col min="5891" max="5891" width="8.75" style="1" customWidth="1"/>
    <col min="5892" max="5892" width="1.5" style="1" customWidth="1"/>
    <col min="5893" max="5893" width="10.75" style="1" customWidth="1"/>
    <col min="5894" max="5894" width="6.375" style="1" customWidth="1"/>
    <col min="5895" max="5895" width="6.75" style="1" customWidth="1"/>
    <col min="5896" max="5896" width="8.75" style="1" customWidth="1"/>
    <col min="5897" max="5898" width="10.125" style="1"/>
    <col min="5899" max="5899" width="10.625" style="1" bestFit="1" customWidth="1"/>
    <col min="5900" max="6144" width="10.125" style="1"/>
    <col min="6145" max="6145" width="3.125" style="1" customWidth="1"/>
    <col min="6146" max="6146" width="29.5" style="1" customWidth="1"/>
    <col min="6147" max="6147" width="8.75" style="1" customWidth="1"/>
    <col min="6148" max="6148" width="1.5" style="1" customWidth="1"/>
    <col min="6149" max="6149" width="10.75" style="1" customWidth="1"/>
    <col min="6150" max="6150" width="6.375" style="1" customWidth="1"/>
    <col min="6151" max="6151" width="6.75" style="1" customWidth="1"/>
    <col min="6152" max="6152" width="8.75" style="1" customWidth="1"/>
    <col min="6153" max="6154" width="10.125" style="1"/>
    <col min="6155" max="6155" width="10.625" style="1" bestFit="1" customWidth="1"/>
    <col min="6156" max="6400" width="10.125" style="1"/>
    <col min="6401" max="6401" width="3.125" style="1" customWidth="1"/>
    <col min="6402" max="6402" width="29.5" style="1" customWidth="1"/>
    <col min="6403" max="6403" width="8.75" style="1" customWidth="1"/>
    <col min="6404" max="6404" width="1.5" style="1" customWidth="1"/>
    <col min="6405" max="6405" width="10.75" style="1" customWidth="1"/>
    <col min="6406" max="6406" width="6.375" style="1" customWidth="1"/>
    <col min="6407" max="6407" width="6.75" style="1" customWidth="1"/>
    <col min="6408" max="6408" width="8.75" style="1" customWidth="1"/>
    <col min="6409" max="6410" width="10.125" style="1"/>
    <col min="6411" max="6411" width="10.625" style="1" bestFit="1" customWidth="1"/>
    <col min="6412" max="6656" width="10.125" style="1"/>
    <col min="6657" max="6657" width="3.125" style="1" customWidth="1"/>
    <col min="6658" max="6658" width="29.5" style="1" customWidth="1"/>
    <col min="6659" max="6659" width="8.75" style="1" customWidth="1"/>
    <col min="6660" max="6660" width="1.5" style="1" customWidth="1"/>
    <col min="6661" max="6661" width="10.75" style="1" customWidth="1"/>
    <col min="6662" max="6662" width="6.375" style="1" customWidth="1"/>
    <col min="6663" max="6663" width="6.75" style="1" customWidth="1"/>
    <col min="6664" max="6664" width="8.75" style="1" customWidth="1"/>
    <col min="6665" max="6666" width="10.125" style="1"/>
    <col min="6667" max="6667" width="10.625" style="1" bestFit="1" customWidth="1"/>
    <col min="6668" max="6912" width="10.125" style="1"/>
    <col min="6913" max="6913" width="3.125" style="1" customWidth="1"/>
    <col min="6914" max="6914" width="29.5" style="1" customWidth="1"/>
    <col min="6915" max="6915" width="8.75" style="1" customWidth="1"/>
    <col min="6916" max="6916" width="1.5" style="1" customWidth="1"/>
    <col min="6917" max="6917" width="10.75" style="1" customWidth="1"/>
    <col min="6918" max="6918" width="6.375" style="1" customWidth="1"/>
    <col min="6919" max="6919" width="6.75" style="1" customWidth="1"/>
    <col min="6920" max="6920" width="8.75" style="1" customWidth="1"/>
    <col min="6921" max="6922" width="10.125" style="1"/>
    <col min="6923" max="6923" width="10.625" style="1" bestFit="1" customWidth="1"/>
    <col min="6924" max="7168" width="10.125" style="1"/>
    <col min="7169" max="7169" width="3.125" style="1" customWidth="1"/>
    <col min="7170" max="7170" width="29.5" style="1" customWidth="1"/>
    <col min="7171" max="7171" width="8.75" style="1" customWidth="1"/>
    <col min="7172" max="7172" width="1.5" style="1" customWidth="1"/>
    <col min="7173" max="7173" width="10.75" style="1" customWidth="1"/>
    <col min="7174" max="7174" width="6.375" style="1" customWidth="1"/>
    <col min="7175" max="7175" width="6.75" style="1" customWidth="1"/>
    <col min="7176" max="7176" width="8.75" style="1" customWidth="1"/>
    <col min="7177" max="7178" width="10.125" style="1"/>
    <col min="7179" max="7179" width="10.625" style="1" bestFit="1" customWidth="1"/>
    <col min="7180" max="7424" width="10.125" style="1"/>
    <col min="7425" max="7425" width="3.125" style="1" customWidth="1"/>
    <col min="7426" max="7426" width="29.5" style="1" customWidth="1"/>
    <col min="7427" max="7427" width="8.75" style="1" customWidth="1"/>
    <col min="7428" max="7428" width="1.5" style="1" customWidth="1"/>
    <col min="7429" max="7429" width="10.75" style="1" customWidth="1"/>
    <col min="7430" max="7430" width="6.375" style="1" customWidth="1"/>
    <col min="7431" max="7431" width="6.75" style="1" customWidth="1"/>
    <col min="7432" max="7432" width="8.75" style="1" customWidth="1"/>
    <col min="7433" max="7434" width="10.125" style="1"/>
    <col min="7435" max="7435" width="10.625" style="1" bestFit="1" customWidth="1"/>
    <col min="7436" max="7680" width="10.125" style="1"/>
    <col min="7681" max="7681" width="3.125" style="1" customWidth="1"/>
    <col min="7682" max="7682" width="29.5" style="1" customWidth="1"/>
    <col min="7683" max="7683" width="8.75" style="1" customWidth="1"/>
    <col min="7684" max="7684" width="1.5" style="1" customWidth="1"/>
    <col min="7685" max="7685" width="10.75" style="1" customWidth="1"/>
    <col min="7686" max="7686" width="6.375" style="1" customWidth="1"/>
    <col min="7687" max="7687" width="6.75" style="1" customWidth="1"/>
    <col min="7688" max="7688" width="8.75" style="1" customWidth="1"/>
    <col min="7689" max="7690" width="10.125" style="1"/>
    <col min="7691" max="7691" width="10.625" style="1" bestFit="1" customWidth="1"/>
    <col min="7692" max="7936" width="10.125" style="1"/>
    <col min="7937" max="7937" width="3.125" style="1" customWidth="1"/>
    <col min="7938" max="7938" width="29.5" style="1" customWidth="1"/>
    <col min="7939" max="7939" width="8.75" style="1" customWidth="1"/>
    <col min="7940" max="7940" width="1.5" style="1" customWidth="1"/>
    <col min="7941" max="7941" width="10.75" style="1" customWidth="1"/>
    <col min="7942" max="7942" width="6.375" style="1" customWidth="1"/>
    <col min="7943" max="7943" width="6.75" style="1" customWidth="1"/>
    <col min="7944" max="7944" width="8.75" style="1" customWidth="1"/>
    <col min="7945" max="7946" width="10.125" style="1"/>
    <col min="7947" max="7947" width="10.625" style="1" bestFit="1" customWidth="1"/>
    <col min="7948" max="8192" width="10.125" style="1"/>
    <col min="8193" max="8193" width="3.125" style="1" customWidth="1"/>
    <col min="8194" max="8194" width="29.5" style="1" customWidth="1"/>
    <col min="8195" max="8195" width="8.75" style="1" customWidth="1"/>
    <col min="8196" max="8196" width="1.5" style="1" customWidth="1"/>
    <col min="8197" max="8197" width="10.75" style="1" customWidth="1"/>
    <col min="8198" max="8198" width="6.375" style="1" customWidth="1"/>
    <col min="8199" max="8199" width="6.75" style="1" customWidth="1"/>
    <col min="8200" max="8200" width="8.75" style="1" customWidth="1"/>
    <col min="8201" max="8202" width="10.125" style="1"/>
    <col min="8203" max="8203" width="10.625" style="1" bestFit="1" customWidth="1"/>
    <col min="8204" max="8448" width="10.125" style="1"/>
    <col min="8449" max="8449" width="3.125" style="1" customWidth="1"/>
    <col min="8450" max="8450" width="29.5" style="1" customWidth="1"/>
    <col min="8451" max="8451" width="8.75" style="1" customWidth="1"/>
    <col min="8452" max="8452" width="1.5" style="1" customWidth="1"/>
    <col min="8453" max="8453" width="10.75" style="1" customWidth="1"/>
    <col min="8454" max="8454" width="6.375" style="1" customWidth="1"/>
    <col min="8455" max="8455" width="6.75" style="1" customWidth="1"/>
    <col min="8456" max="8456" width="8.75" style="1" customWidth="1"/>
    <col min="8457" max="8458" width="10.125" style="1"/>
    <col min="8459" max="8459" width="10.625" style="1" bestFit="1" customWidth="1"/>
    <col min="8460" max="8704" width="10.125" style="1"/>
    <col min="8705" max="8705" width="3.125" style="1" customWidth="1"/>
    <col min="8706" max="8706" width="29.5" style="1" customWidth="1"/>
    <col min="8707" max="8707" width="8.75" style="1" customWidth="1"/>
    <col min="8708" max="8708" width="1.5" style="1" customWidth="1"/>
    <col min="8709" max="8709" width="10.75" style="1" customWidth="1"/>
    <col min="8710" max="8710" width="6.375" style="1" customWidth="1"/>
    <col min="8711" max="8711" width="6.75" style="1" customWidth="1"/>
    <col min="8712" max="8712" width="8.75" style="1" customWidth="1"/>
    <col min="8713" max="8714" width="10.125" style="1"/>
    <col min="8715" max="8715" width="10.625" style="1" bestFit="1" customWidth="1"/>
    <col min="8716" max="8960" width="10.125" style="1"/>
    <col min="8961" max="8961" width="3.125" style="1" customWidth="1"/>
    <col min="8962" max="8962" width="29.5" style="1" customWidth="1"/>
    <col min="8963" max="8963" width="8.75" style="1" customWidth="1"/>
    <col min="8964" max="8964" width="1.5" style="1" customWidth="1"/>
    <col min="8965" max="8965" width="10.75" style="1" customWidth="1"/>
    <col min="8966" max="8966" width="6.375" style="1" customWidth="1"/>
    <col min="8967" max="8967" width="6.75" style="1" customWidth="1"/>
    <col min="8968" max="8968" width="8.75" style="1" customWidth="1"/>
    <col min="8969" max="8970" width="10.125" style="1"/>
    <col min="8971" max="8971" width="10.625" style="1" bestFit="1" customWidth="1"/>
    <col min="8972" max="9216" width="10.125" style="1"/>
    <col min="9217" max="9217" width="3.125" style="1" customWidth="1"/>
    <col min="9218" max="9218" width="29.5" style="1" customWidth="1"/>
    <col min="9219" max="9219" width="8.75" style="1" customWidth="1"/>
    <col min="9220" max="9220" width="1.5" style="1" customWidth="1"/>
    <col min="9221" max="9221" width="10.75" style="1" customWidth="1"/>
    <col min="9222" max="9222" width="6.375" style="1" customWidth="1"/>
    <col min="9223" max="9223" width="6.75" style="1" customWidth="1"/>
    <col min="9224" max="9224" width="8.75" style="1" customWidth="1"/>
    <col min="9225" max="9226" width="10.125" style="1"/>
    <col min="9227" max="9227" width="10.625" style="1" bestFit="1" customWidth="1"/>
    <col min="9228" max="9472" width="10.125" style="1"/>
    <col min="9473" max="9473" width="3.125" style="1" customWidth="1"/>
    <col min="9474" max="9474" width="29.5" style="1" customWidth="1"/>
    <col min="9475" max="9475" width="8.75" style="1" customWidth="1"/>
    <col min="9476" max="9476" width="1.5" style="1" customWidth="1"/>
    <col min="9477" max="9477" width="10.75" style="1" customWidth="1"/>
    <col min="9478" max="9478" width="6.375" style="1" customWidth="1"/>
    <col min="9479" max="9479" width="6.75" style="1" customWidth="1"/>
    <col min="9480" max="9480" width="8.75" style="1" customWidth="1"/>
    <col min="9481" max="9482" width="10.125" style="1"/>
    <col min="9483" max="9483" width="10.625" style="1" bestFit="1" customWidth="1"/>
    <col min="9484" max="9728" width="10.125" style="1"/>
    <col min="9729" max="9729" width="3.125" style="1" customWidth="1"/>
    <col min="9730" max="9730" width="29.5" style="1" customWidth="1"/>
    <col min="9731" max="9731" width="8.75" style="1" customWidth="1"/>
    <col min="9732" max="9732" width="1.5" style="1" customWidth="1"/>
    <col min="9733" max="9733" width="10.75" style="1" customWidth="1"/>
    <col min="9734" max="9734" width="6.375" style="1" customWidth="1"/>
    <col min="9735" max="9735" width="6.75" style="1" customWidth="1"/>
    <col min="9736" max="9736" width="8.75" style="1" customWidth="1"/>
    <col min="9737" max="9738" width="10.125" style="1"/>
    <col min="9739" max="9739" width="10.625" style="1" bestFit="1" customWidth="1"/>
    <col min="9740" max="9984" width="10.125" style="1"/>
    <col min="9985" max="9985" width="3.125" style="1" customWidth="1"/>
    <col min="9986" max="9986" width="29.5" style="1" customWidth="1"/>
    <col min="9987" max="9987" width="8.75" style="1" customWidth="1"/>
    <col min="9988" max="9988" width="1.5" style="1" customWidth="1"/>
    <col min="9989" max="9989" width="10.75" style="1" customWidth="1"/>
    <col min="9990" max="9990" width="6.375" style="1" customWidth="1"/>
    <col min="9991" max="9991" width="6.75" style="1" customWidth="1"/>
    <col min="9992" max="9992" width="8.75" style="1" customWidth="1"/>
    <col min="9993" max="9994" width="10.125" style="1"/>
    <col min="9995" max="9995" width="10.625" style="1" bestFit="1" customWidth="1"/>
    <col min="9996" max="10240" width="10.125" style="1"/>
    <col min="10241" max="10241" width="3.125" style="1" customWidth="1"/>
    <col min="10242" max="10242" width="29.5" style="1" customWidth="1"/>
    <col min="10243" max="10243" width="8.75" style="1" customWidth="1"/>
    <col min="10244" max="10244" width="1.5" style="1" customWidth="1"/>
    <col min="10245" max="10245" width="10.75" style="1" customWidth="1"/>
    <col min="10246" max="10246" width="6.375" style="1" customWidth="1"/>
    <col min="10247" max="10247" width="6.75" style="1" customWidth="1"/>
    <col min="10248" max="10248" width="8.75" style="1" customWidth="1"/>
    <col min="10249" max="10250" width="10.125" style="1"/>
    <col min="10251" max="10251" width="10.625" style="1" bestFit="1" customWidth="1"/>
    <col min="10252" max="10496" width="10.125" style="1"/>
    <col min="10497" max="10497" width="3.125" style="1" customWidth="1"/>
    <col min="10498" max="10498" width="29.5" style="1" customWidth="1"/>
    <col min="10499" max="10499" width="8.75" style="1" customWidth="1"/>
    <col min="10500" max="10500" width="1.5" style="1" customWidth="1"/>
    <col min="10501" max="10501" width="10.75" style="1" customWidth="1"/>
    <col min="10502" max="10502" width="6.375" style="1" customWidth="1"/>
    <col min="10503" max="10503" width="6.75" style="1" customWidth="1"/>
    <col min="10504" max="10504" width="8.75" style="1" customWidth="1"/>
    <col min="10505" max="10506" width="10.125" style="1"/>
    <col min="10507" max="10507" width="10.625" style="1" bestFit="1" customWidth="1"/>
    <col min="10508" max="10752" width="10.125" style="1"/>
    <col min="10753" max="10753" width="3.125" style="1" customWidth="1"/>
    <col min="10754" max="10754" width="29.5" style="1" customWidth="1"/>
    <col min="10755" max="10755" width="8.75" style="1" customWidth="1"/>
    <col min="10756" max="10756" width="1.5" style="1" customWidth="1"/>
    <col min="10757" max="10757" width="10.75" style="1" customWidth="1"/>
    <col min="10758" max="10758" width="6.375" style="1" customWidth="1"/>
    <col min="10759" max="10759" width="6.75" style="1" customWidth="1"/>
    <col min="10760" max="10760" width="8.75" style="1" customWidth="1"/>
    <col min="10761" max="10762" width="10.125" style="1"/>
    <col min="10763" max="10763" width="10.625" style="1" bestFit="1" customWidth="1"/>
    <col min="10764" max="11008" width="10.125" style="1"/>
    <col min="11009" max="11009" width="3.125" style="1" customWidth="1"/>
    <col min="11010" max="11010" width="29.5" style="1" customWidth="1"/>
    <col min="11011" max="11011" width="8.75" style="1" customWidth="1"/>
    <col min="11012" max="11012" width="1.5" style="1" customWidth="1"/>
    <col min="11013" max="11013" width="10.75" style="1" customWidth="1"/>
    <col min="11014" max="11014" width="6.375" style="1" customWidth="1"/>
    <col min="11015" max="11015" width="6.75" style="1" customWidth="1"/>
    <col min="11016" max="11016" width="8.75" style="1" customWidth="1"/>
    <col min="11017" max="11018" width="10.125" style="1"/>
    <col min="11019" max="11019" width="10.625" style="1" bestFit="1" customWidth="1"/>
    <col min="11020" max="11264" width="10.125" style="1"/>
    <col min="11265" max="11265" width="3.125" style="1" customWidth="1"/>
    <col min="11266" max="11266" width="29.5" style="1" customWidth="1"/>
    <col min="11267" max="11267" width="8.75" style="1" customWidth="1"/>
    <col min="11268" max="11268" width="1.5" style="1" customWidth="1"/>
    <col min="11269" max="11269" width="10.75" style="1" customWidth="1"/>
    <col min="11270" max="11270" width="6.375" style="1" customWidth="1"/>
    <col min="11271" max="11271" width="6.75" style="1" customWidth="1"/>
    <col min="11272" max="11272" width="8.75" style="1" customWidth="1"/>
    <col min="11273" max="11274" width="10.125" style="1"/>
    <col min="11275" max="11275" width="10.625" style="1" bestFit="1" customWidth="1"/>
    <col min="11276" max="11520" width="10.125" style="1"/>
    <col min="11521" max="11521" width="3.125" style="1" customWidth="1"/>
    <col min="11522" max="11522" width="29.5" style="1" customWidth="1"/>
    <col min="11523" max="11523" width="8.75" style="1" customWidth="1"/>
    <col min="11524" max="11524" width="1.5" style="1" customWidth="1"/>
    <col min="11525" max="11525" width="10.75" style="1" customWidth="1"/>
    <col min="11526" max="11526" width="6.375" style="1" customWidth="1"/>
    <col min="11527" max="11527" width="6.75" style="1" customWidth="1"/>
    <col min="11528" max="11528" width="8.75" style="1" customWidth="1"/>
    <col min="11529" max="11530" width="10.125" style="1"/>
    <col min="11531" max="11531" width="10.625" style="1" bestFit="1" customWidth="1"/>
    <col min="11532" max="11776" width="10.125" style="1"/>
    <col min="11777" max="11777" width="3.125" style="1" customWidth="1"/>
    <col min="11778" max="11778" width="29.5" style="1" customWidth="1"/>
    <col min="11779" max="11779" width="8.75" style="1" customWidth="1"/>
    <col min="11780" max="11780" width="1.5" style="1" customWidth="1"/>
    <col min="11781" max="11781" width="10.75" style="1" customWidth="1"/>
    <col min="11782" max="11782" width="6.375" style="1" customWidth="1"/>
    <col min="11783" max="11783" width="6.75" style="1" customWidth="1"/>
    <col min="11784" max="11784" width="8.75" style="1" customWidth="1"/>
    <col min="11785" max="11786" width="10.125" style="1"/>
    <col min="11787" max="11787" width="10.625" style="1" bestFit="1" customWidth="1"/>
    <col min="11788" max="12032" width="10.125" style="1"/>
    <col min="12033" max="12033" width="3.125" style="1" customWidth="1"/>
    <col min="12034" max="12034" width="29.5" style="1" customWidth="1"/>
    <col min="12035" max="12035" width="8.75" style="1" customWidth="1"/>
    <col min="12036" max="12036" width="1.5" style="1" customWidth="1"/>
    <col min="12037" max="12037" width="10.75" style="1" customWidth="1"/>
    <col min="12038" max="12038" width="6.375" style="1" customWidth="1"/>
    <col min="12039" max="12039" width="6.75" style="1" customWidth="1"/>
    <col min="12040" max="12040" width="8.75" style="1" customWidth="1"/>
    <col min="12041" max="12042" width="10.125" style="1"/>
    <col min="12043" max="12043" width="10.625" style="1" bestFit="1" customWidth="1"/>
    <col min="12044" max="12288" width="10.125" style="1"/>
    <col min="12289" max="12289" width="3.125" style="1" customWidth="1"/>
    <col min="12290" max="12290" width="29.5" style="1" customWidth="1"/>
    <col min="12291" max="12291" width="8.75" style="1" customWidth="1"/>
    <col min="12292" max="12292" width="1.5" style="1" customWidth="1"/>
    <col min="12293" max="12293" width="10.75" style="1" customWidth="1"/>
    <col min="12294" max="12294" width="6.375" style="1" customWidth="1"/>
    <col min="12295" max="12295" width="6.75" style="1" customWidth="1"/>
    <col min="12296" max="12296" width="8.75" style="1" customWidth="1"/>
    <col min="12297" max="12298" width="10.125" style="1"/>
    <col min="12299" max="12299" width="10.625" style="1" bestFit="1" customWidth="1"/>
    <col min="12300" max="12544" width="10.125" style="1"/>
    <col min="12545" max="12545" width="3.125" style="1" customWidth="1"/>
    <col min="12546" max="12546" width="29.5" style="1" customWidth="1"/>
    <col min="12547" max="12547" width="8.75" style="1" customWidth="1"/>
    <col min="12548" max="12548" width="1.5" style="1" customWidth="1"/>
    <col min="12549" max="12549" width="10.75" style="1" customWidth="1"/>
    <col min="12550" max="12550" width="6.375" style="1" customWidth="1"/>
    <col min="12551" max="12551" width="6.75" style="1" customWidth="1"/>
    <col min="12552" max="12552" width="8.75" style="1" customWidth="1"/>
    <col min="12553" max="12554" width="10.125" style="1"/>
    <col min="12555" max="12555" width="10.625" style="1" bestFit="1" customWidth="1"/>
    <col min="12556" max="12800" width="10.125" style="1"/>
    <col min="12801" max="12801" width="3.125" style="1" customWidth="1"/>
    <col min="12802" max="12802" width="29.5" style="1" customWidth="1"/>
    <col min="12803" max="12803" width="8.75" style="1" customWidth="1"/>
    <col min="12804" max="12804" width="1.5" style="1" customWidth="1"/>
    <col min="12805" max="12805" width="10.75" style="1" customWidth="1"/>
    <col min="12806" max="12806" width="6.375" style="1" customWidth="1"/>
    <col min="12807" max="12807" width="6.75" style="1" customWidth="1"/>
    <col min="12808" max="12808" width="8.75" style="1" customWidth="1"/>
    <col min="12809" max="12810" width="10.125" style="1"/>
    <col min="12811" max="12811" width="10.625" style="1" bestFit="1" customWidth="1"/>
    <col min="12812" max="13056" width="10.125" style="1"/>
    <col min="13057" max="13057" width="3.125" style="1" customWidth="1"/>
    <col min="13058" max="13058" width="29.5" style="1" customWidth="1"/>
    <col min="13059" max="13059" width="8.75" style="1" customWidth="1"/>
    <col min="13060" max="13060" width="1.5" style="1" customWidth="1"/>
    <col min="13061" max="13061" width="10.75" style="1" customWidth="1"/>
    <col min="13062" max="13062" width="6.375" style="1" customWidth="1"/>
    <col min="13063" max="13063" width="6.75" style="1" customWidth="1"/>
    <col min="13064" max="13064" width="8.75" style="1" customWidth="1"/>
    <col min="13065" max="13066" width="10.125" style="1"/>
    <col min="13067" max="13067" width="10.625" style="1" bestFit="1" customWidth="1"/>
    <col min="13068" max="13312" width="10.125" style="1"/>
    <col min="13313" max="13313" width="3.125" style="1" customWidth="1"/>
    <col min="13314" max="13314" width="29.5" style="1" customWidth="1"/>
    <col min="13315" max="13315" width="8.75" style="1" customWidth="1"/>
    <col min="13316" max="13316" width="1.5" style="1" customWidth="1"/>
    <col min="13317" max="13317" width="10.75" style="1" customWidth="1"/>
    <col min="13318" max="13318" width="6.375" style="1" customWidth="1"/>
    <col min="13319" max="13319" width="6.75" style="1" customWidth="1"/>
    <col min="13320" max="13320" width="8.75" style="1" customWidth="1"/>
    <col min="13321" max="13322" width="10.125" style="1"/>
    <col min="13323" max="13323" width="10.625" style="1" bestFit="1" customWidth="1"/>
    <col min="13324" max="13568" width="10.125" style="1"/>
    <col min="13569" max="13569" width="3.125" style="1" customWidth="1"/>
    <col min="13570" max="13570" width="29.5" style="1" customWidth="1"/>
    <col min="13571" max="13571" width="8.75" style="1" customWidth="1"/>
    <col min="13572" max="13572" width="1.5" style="1" customWidth="1"/>
    <col min="13573" max="13573" width="10.75" style="1" customWidth="1"/>
    <col min="13574" max="13574" width="6.375" style="1" customWidth="1"/>
    <col min="13575" max="13575" width="6.75" style="1" customWidth="1"/>
    <col min="13576" max="13576" width="8.75" style="1" customWidth="1"/>
    <col min="13577" max="13578" width="10.125" style="1"/>
    <col min="13579" max="13579" width="10.625" style="1" bestFit="1" customWidth="1"/>
    <col min="13580" max="13824" width="10.125" style="1"/>
    <col min="13825" max="13825" width="3.125" style="1" customWidth="1"/>
    <col min="13826" max="13826" width="29.5" style="1" customWidth="1"/>
    <col min="13827" max="13827" width="8.75" style="1" customWidth="1"/>
    <col min="13828" max="13828" width="1.5" style="1" customWidth="1"/>
    <col min="13829" max="13829" width="10.75" style="1" customWidth="1"/>
    <col min="13830" max="13830" width="6.375" style="1" customWidth="1"/>
    <col min="13831" max="13831" width="6.75" style="1" customWidth="1"/>
    <col min="13832" max="13832" width="8.75" style="1" customWidth="1"/>
    <col min="13833" max="13834" width="10.125" style="1"/>
    <col min="13835" max="13835" width="10.625" style="1" bestFit="1" customWidth="1"/>
    <col min="13836" max="14080" width="10.125" style="1"/>
    <col min="14081" max="14081" width="3.125" style="1" customWidth="1"/>
    <col min="14082" max="14082" width="29.5" style="1" customWidth="1"/>
    <col min="14083" max="14083" width="8.75" style="1" customWidth="1"/>
    <col min="14084" max="14084" width="1.5" style="1" customWidth="1"/>
    <col min="14085" max="14085" width="10.75" style="1" customWidth="1"/>
    <col min="14086" max="14086" width="6.375" style="1" customWidth="1"/>
    <col min="14087" max="14087" width="6.75" style="1" customWidth="1"/>
    <col min="14088" max="14088" width="8.75" style="1" customWidth="1"/>
    <col min="14089" max="14090" width="10.125" style="1"/>
    <col min="14091" max="14091" width="10.625" style="1" bestFit="1" customWidth="1"/>
    <col min="14092" max="14336" width="10.125" style="1"/>
    <col min="14337" max="14337" width="3.125" style="1" customWidth="1"/>
    <col min="14338" max="14338" width="29.5" style="1" customWidth="1"/>
    <col min="14339" max="14339" width="8.75" style="1" customWidth="1"/>
    <col min="14340" max="14340" width="1.5" style="1" customWidth="1"/>
    <col min="14341" max="14341" width="10.75" style="1" customWidth="1"/>
    <col min="14342" max="14342" width="6.375" style="1" customWidth="1"/>
    <col min="14343" max="14343" width="6.75" style="1" customWidth="1"/>
    <col min="14344" max="14344" width="8.75" style="1" customWidth="1"/>
    <col min="14345" max="14346" width="10.125" style="1"/>
    <col min="14347" max="14347" width="10.625" style="1" bestFit="1" customWidth="1"/>
    <col min="14348" max="14592" width="10.125" style="1"/>
    <col min="14593" max="14593" width="3.125" style="1" customWidth="1"/>
    <col min="14594" max="14594" width="29.5" style="1" customWidth="1"/>
    <col min="14595" max="14595" width="8.75" style="1" customWidth="1"/>
    <col min="14596" max="14596" width="1.5" style="1" customWidth="1"/>
    <col min="14597" max="14597" width="10.75" style="1" customWidth="1"/>
    <col min="14598" max="14598" width="6.375" style="1" customWidth="1"/>
    <col min="14599" max="14599" width="6.75" style="1" customWidth="1"/>
    <col min="14600" max="14600" width="8.75" style="1" customWidth="1"/>
    <col min="14601" max="14602" width="10.125" style="1"/>
    <col min="14603" max="14603" width="10.625" style="1" bestFit="1" customWidth="1"/>
    <col min="14604" max="14848" width="10.125" style="1"/>
    <col min="14849" max="14849" width="3.125" style="1" customWidth="1"/>
    <col min="14850" max="14850" width="29.5" style="1" customWidth="1"/>
    <col min="14851" max="14851" width="8.75" style="1" customWidth="1"/>
    <col min="14852" max="14852" width="1.5" style="1" customWidth="1"/>
    <col min="14853" max="14853" width="10.75" style="1" customWidth="1"/>
    <col min="14854" max="14854" width="6.375" style="1" customWidth="1"/>
    <col min="14855" max="14855" width="6.75" style="1" customWidth="1"/>
    <col min="14856" max="14856" width="8.75" style="1" customWidth="1"/>
    <col min="14857" max="14858" width="10.125" style="1"/>
    <col min="14859" max="14859" width="10.625" style="1" bestFit="1" customWidth="1"/>
    <col min="14860" max="15104" width="10.125" style="1"/>
    <col min="15105" max="15105" width="3.125" style="1" customWidth="1"/>
    <col min="15106" max="15106" width="29.5" style="1" customWidth="1"/>
    <col min="15107" max="15107" width="8.75" style="1" customWidth="1"/>
    <col min="15108" max="15108" width="1.5" style="1" customWidth="1"/>
    <col min="15109" max="15109" width="10.75" style="1" customWidth="1"/>
    <col min="15110" max="15110" width="6.375" style="1" customWidth="1"/>
    <col min="15111" max="15111" width="6.75" style="1" customWidth="1"/>
    <col min="15112" max="15112" width="8.75" style="1" customWidth="1"/>
    <col min="15113" max="15114" width="10.125" style="1"/>
    <col min="15115" max="15115" width="10.625" style="1" bestFit="1" customWidth="1"/>
    <col min="15116" max="15360" width="10.125" style="1"/>
    <col min="15361" max="15361" width="3.125" style="1" customWidth="1"/>
    <col min="15362" max="15362" width="29.5" style="1" customWidth="1"/>
    <col min="15363" max="15363" width="8.75" style="1" customWidth="1"/>
    <col min="15364" max="15364" width="1.5" style="1" customWidth="1"/>
    <col min="15365" max="15365" width="10.75" style="1" customWidth="1"/>
    <col min="15366" max="15366" width="6.375" style="1" customWidth="1"/>
    <col min="15367" max="15367" width="6.75" style="1" customWidth="1"/>
    <col min="15368" max="15368" width="8.75" style="1" customWidth="1"/>
    <col min="15369" max="15370" width="10.125" style="1"/>
    <col min="15371" max="15371" width="10.625" style="1" bestFit="1" customWidth="1"/>
    <col min="15372" max="15616" width="10.125" style="1"/>
    <col min="15617" max="15617" width="3.125" style="1" customWidth="1"/>
    <col min="15618" max="15618" width="29.5" style="1" customWidth="1"/>
    <col min="15619" max="15619" width="8.75" style="1" customWidth="1"/>
    <col min="15620" max="15620" width="1.5" style="1" customWidth="1"/>
    <col min="15621" max="15621" width="10.75" style="1" customWidth="1"/>
    <col min="15622" max="15622" width="6.375" style="1" customWidth="1"/>
    <col min="15623" max="15623" width="6.75" style="1" customWidth="1"/>
    <col min="15624" max="15624" width="8.75" style="1" customWidth="1"/>
    <col min="15625" max="15626" width="10.125" style="1"/>
    <col min="15627" max="15627" width="10.625" style="1" bestFit="1" customWidth="1"/>
    <col min="15628" max="15872" width="10.125" style="1"/>
    <col min="15873" max="15873" width="3.125" style="1" customWidth="1"/>
    <col min="15874" max="15874" width="29.5" style="1" customWidth="1"/>
    <col min="15875" max="15875" width="8.75" style="1" customWidth="1"/>
    <col min="15876" max="15876" width="1.5" style="1" customWidth="1"/>
    <col min="15877" max="15877" width="10.75" style="1" customWidth="1"/>
    <col min="15878" max="15878" width="6.375" style="1" customWidth="1"/>
    <col min="15879" max="15879" width="6.75" style="1" customWidth="1"/>
    <col min="15880" max="15880" width="8.75" style="1" customWidth="1"/>
    <col min="15881" max="15882" width="10.125" style="1"/>
    <col min="15883" max="15883" width="10.625" style="1" bestFit="1" customWidth="1"/>
    <col min="15884" max="16128" width="10.125" style="1"/>
    <col min="16129" max="16129" width="3.125" style="1" customWidth="1"/>
    <col min="16130" max="16130" width="29.5" style="1" customWidth="1"/>
    <col min="16131" max="16131" width="8.75" style="1" customWidth="1"/>
    <col min="16132" max="16132" width="1.5" style="1" customWidth="1"/>
    <col min="16133" max="16133" width="10.75" style="1" customWidth="1"/>
    <col min="16134" max="16134" width="6.375" style="1" customWidth="1"/>
    <col min="16135" max="16135" width="6.75" style="1" customWidth="1"/>
    <col min="16136" max="16136" width="8.75" style="1" customWidth="1"/>
    <col min="16137" max="16138" width="10.125" style="1"/>
    <col min="16139" max="16139" width="10.625" style="1" bestFit="1" customWidth="1"/>
    <col min="16140" max="16384" width="10.125" style="1"/>
  </cols>
  <sheetData>
    <row r="5" spans="1:12" x14ac:dyDescent="0.25">
      <c r="A5" s="4" t="s">
        <v>0</v>
      </c>
      <c r="B5" s="5"/>
      <c r="C5" s="5"/>
    </row>
    <row r="6" spans="1:12" ht="9" customHeight="1" x14ac:dyDescent="0.25">
      <c r="A6" s="4"/>
      <c r="B6" s="5"/>
      <c r="C6" s="5"/>
    </row>
    <row r="7" spans="1:12" s="7" customFormat="1" ht="15" x14ac:dyDescent="0.25">
      <c r="A7" s="7" t="s">
        <v>1</v>
      </c>
      <c r="B7" s="8"/>
      <c r="D7" s="9"/>
      <c r="E7" s="131" t="s">
        <v>2</v>
      </c>
      <c r="F7" s="132"/>
      <c r="G7" s="133">
        <v>45712</v>
      </c>
      <c r="H7" s="134"/>
      <c r="J7" s="55"/>
      <c r="K7" s="55"/>
    </row>
    <row r="8" spans="1:12" s="7" customFormat="1" ht="15" x14ac:dyDescent="0.25">
      <c r="A8" s="7" t="s">
        <v>53</v>
      </c>
      <c r="B8" s="8"/>
      <c r="D8" s="9"/>
      <c r="E8" s="135" t="s">
        <v>3</v>
      </c>
      <c r="F8" s="136"/>
      <c r="H8" s="11">
        <v>60431</v>
      </c>
      <c r="J8" s="55"/>
      <c r="K8" s="55"/>
      <c r="L8" s="55"/>
    </row>
    <row r="9" spans="1:12" s="7" customFormat="1" ht="15" x14ac:dyDescent="0.25">
      <c r="A9" s="7" t="s">
        <v>54</v>
      </c>
      <c r="B9" s="8"/>
      <c r="D9" s="9"/>
      <c r="E9" s="135" t="s">
        <v>4</v>
      </c>
      <c r="F9" s="136"/>
      <c r="G9" s="137" t="s">
        <v>109</v>
      </c>
      <c r="H9" s="138"/>
      <c r="J9" s="55"/>
      <c r="K9" s="55"/>
      <c r="L9" s="55"/>
    </row>
    <row r="10" spans="1:12" s="7" customFormat="1" ht="15" x14ac:dyDescent="0.25">
      <c r="B10" s="8"/>
      <c r="D10" s="9"/>
      <c r="E10" s="13" t="s">
        <v>5</v>
      </c>
      <c r="F10" s="14"/>
      <c r="G10" s="139" t="s">
        <v>32</v>
      </c>
      <c r="H10" s="140"/>
    </row>
    <row r="11" spans="1:12" s="7" customFormat="1" ht="15" x14ac:dyDescent="0.25">
      <c r="A11" s="15" t="s">
        <v>55</v>
      </c>
      <c r="B11" s="8"/>
      <c r="D11" s="9"/>
      <c r="E11" s="10" t="s">
        <v>6</v>
      </c>
      <c r="F11" s="125" t="s">
        <v>7</v>
      </c>
      <c r="G11" s="125"/>
      <c r="H11" s="126"/>
    </row>
    <row r="12" spans="1:12" s="7" customFormat="1" ht="15" x14ac:dyDescent="0.25">
      <c r="A12" s="15"/>
      <c r="B12" s="8"/>
      <c r="D12" s="9"/>
      <c r="E12" s="13" t="s">
        <v>8</v>
      </c>
      <c r="F12" s="127" t="s">
        <v>9</v>
      </c>
      <c r="G12" s="127"/>
      <c r="H12" s="128"/>
    </row>
    <row r="13" spans="1:12" s="7" customFormat="1" ht="15" x14ac:dyDescent="0.25">
      <c r="A13" s="15"/>
      <c r="B13" s="8"/>
      <c r="D13" s="9"/>
      <c r="E13" s="17"/>
      <c r="F13" s="51"/>
      <c r="G13" s="51"/>
      <c r="H13" s="51"/>
    </row>
    <row r="14" spans="1:12" s="7" customFormat="1" ht="15" x14ac:dyDescent="0.25">
      <c r="A14" s="15"/>
      <c r="B14" s="8"/>
      <c r="D14" s="9"/>
      <c r="E14" s="17"/>
      <c r="F14" s="51"/>
      <c r="G14" s="51"/>
      <c r="H14" s="51"/>
    </row>
    <row r="15" spans="1:12" s="7" customFormat="1" ht="15" x14ac:dyDescent="0.25">
      <c r="A15" s="15"/>
      <c r="B15" s="8"/>
      <c r="D15" s="9"/>
      <c r="E15" s="17"/>
      <c r="F15" s="51"/>
      <c r="G15" s="51"/>
      <c r="H15" s="51"/>
    </row>
    <row r="16" spans="1:12" s="15" customFormat="1" ht="14.25" x14ac:dyDescent="0.2">
      <c r="A16" s="129" t="s">
        <v>10</v>
      </c>
      <c r="B16" s="129"/>
      <c r="C16" s="129"/>
      <c r="D16" s="129"/>
      <c r="E16" s="129"/>
      <c r="F16" s="129"/>
      <c r="G16" s="129"/>
      <c r="H16" s="129"/>
    </row>
    <row r="17" spans="1:8" s="15" customFormat="1" ht="14.25" x14ac:dyDescent="0.2">
      <c r="A17" s="19"/>
      <c r="B17" s="19"/>
      <c r="C17" s="19"/>
      <c r="D17" s="19"/>
      <c r="E17" s="19"/>
      <c r="F17" s="19"/>
      <c r="G17" s="19"/>
      <c r="H17" s="19"/>
    </row>
    <row r="18" spans="1:8" s="15" customFormat="1" ht="14.25" x14ac:dyDescent="0.2">
      <c r="A18" s="19"/>
      <c r="B18" s="19"/>
      <c r="C18" s="19"/>
      <c r="D18" s="19"/>
      <c r="E18" s="19"/>
      <c r="F18" s="19"/>
      <c r="G18" s="19"/>
      <c r="H18" s="19"/>
    </row>
    <row r="19" spans="1:8" s="7" customFormat="1" ht="15" x14ac:dyDescent="0.25">
      <c r="A19" s="7" t="s">
        <v>38</v>
      </c>
      <c r="B19" s="8"/>
      <c r="D19" s="9"/>
      <c r="E19" s="17"/>
      <c r="F19" s="9"/>
      <c r="G19" s="18"/>
    </row>
    <row r="20" spans="1:8" s="7" customFormat="1" ht="15" x14ac:dyDescent="0.25">
      <c r="A20" s="7" t="s">
        <v>39</v>
      </c>
      <c r="B20" s="8"/>
      <c r="D20" s="9"/>
      <c r="E20" s="17"/>
      <c r="F20" s="9"/>
      <c r="G20" s="18"/>
    </row>
    <row r="21" spans="1:8" s="7" customFormat="1" ht="9" customHeight="1" x14ac:dyDescent="0.25">
      <c r="D21" s="9"/>
      <c r="E21" s="17"/>
      <c r="F21" s="18"/>
    </row>
    <row r="22" spans="1:8" s="7" customFormat="1" ht="15" x14ac:dyDescent="0.25">
      <c r="A22" s="20" t="s">
        <v>13</v>
      </c>
      <c r="B22" s="21"/>
      <c r="C22" s="20"/>
      <c r="D22" s="9"/>
      <c r="E22" s="9" t="s">
        <v>40</v>
      </c>
      <c r="F22" s="17" t="s">
        <v>15</v>
      </c>
      <c r="G22" s="9" t="s">
        <v>41</v>
      </c>
      <c r="H22" s="17" t="s">
        <v>17</v>
      </c>
    </row>
    <row r="23" spans="1:8" s="7" customFormat="1" ht="15" x14ac:dyDescent="0.25">
      <c r="A23" s="23" t="s">
        <v>18</v>
      </c>
      <c r="B23" s="23"/>
      <c r="C23" s="22" t="s">
        <v>49</v>
      </c>
      <c r="D23" s="24"/>
      <c r="E23" s="24" t="s">
        <v>50</v>
      </c>
      <c r="F23" s="16"/>
      <c r="G23" s="24" t="s">
        <v>44</v>
      </c>
      <c r="H23" s="14"/>
    </row>
    <row r="24" spans="1:8" s="7" customFormat="1" ht="15" x14ac:dyDescent="0.25">
      <c r="A24" s="7">
        <v>33</v>
      </c>
      <c r="B24" s="7" t="s">
        <v>51</v>
      </c>
      <c r="C24" s="45"/>
      <c r="D24" s="45"/>
      <c r="E24" s="26"/>
      <c r="F24" s="12"/>
      <c r="G24" s="17"/>
      <c r="H24" s="28"/>
    </row>
    <row r="25" spans="1:8" s="7" customFormat="1" ht="15" x14ac:dyDescent="0.25">
      <c r="A25" s="12"/>
      <c r="B25" s="55">
        <v>45566</v>
      </c>
      <c r="C25" s="44">
        <v>45629</v>
      </c>
      <c r="E25" s="26">
        <f>ROUNDDOWN((23974.96/2)/(128664.92/12)*128664.92/1000,)*1000</f>
        <v>143000</v>
      </c>
      <c r="F25" s="12" t="s">
        <v>52</v>
      </c>
      <c r="G25" s="17">
        <v>8</v>
      </c>
      <c r="H25" s="28">
        <f>G25/10*217</f>
        <v>173.60000000000002</v>
      </c>
    </row>
    <row r="26" spans="1:8" s="7" customFormat="1" ht="15" x14ac:dyDescent="0.25">
      <c r="A26" s="12"/>
      <c r="B26" s="55">
        <v>45597</v>
      </c>
      <c r="C26" s="44">
        <v>45659</v>
      </c>
      <c r="E26" s="26">
        <f>+E25</f>
        <v>143000</v>
      </c>
      <c r="F26" s="12" t="s">
        <v>52</v>
      </c>
      <c r="G26" s="17">
        <f>+G25</f>
        <v>8</v>
      </c>
      <c r="H26" s="28">
        <f>G26/10*217</f>
        <v>173.60000000000002</v>
      </c>
    </row>
    <row r="27" spans="1:8" s="7" customFormat="1" ht="15" x14ac:dyDescent="0.25">
      <c r="A27" s="12"/>
      <c r="B27" s="55">
        <v>45627</v>
      </c>
      <c r="C27" s="44">
        <v>45708</v>
      </c>
      <c r="E27" s="26">
        <f>+E26</f>
        <v>143000</v>
      </c>
      <c r="F27" s="12" t="s">
        <v>52</v>
      </c>
      <c r="G27" s="17">
        <f>+G26</f>
        <v>8</v>
      </c>
      <c r="H27" s="28">
        <f>G27/10*217</f>
        <v>173.60000000000002</v>
      </c>
    </row>
    <row r="28" spans="1:8" s="7" customFormat="1" ht="15" x14ac:dyDescent="0.25">
      <c r="A28" s="12"/>
      <c r="B28" s="53"/>
      <c r="C28" s="44"/>
      <c r="D28" s="45"/>
      <c r="E28" s="26"/>
      <c r="F28" s="12"/>
      <c r="G28" s="17"/>
      <c r="H28" s="28"/>
    </row>
    <row r="29" spans="1:8" s="7" customFormat="1" ht="5.25" customHeight="1" x14ac:dyDescent="0.25">
      <c r="A29" s="12"/>
      <c r="B29" s="53"/>
      <c r="C29" s="44"/>
      <c r="D29" s="45"/>
      <c r="E29" s="54"/>
      <c r="F29" s="28"/>
      <c r="G29" s="47"/>
      <c r="H29" s="28"/>
    </row>
    <row r="30" spans="1:8" s="7" customFormat="1" ht="15" x14ac:dyDescent="0.25">
      <c r="A30" s="7">
        <v>16</v>
      </c>
      <c r="B30" s="7" t="s">
        <v>23</v>
      </c>
      <c r="C30" s="62" t="s">
        <v>110</v>
      </c>
      <c r="E30" s="41"/>
      <c r="F30" s="26"/>
      <c r="G30" s="17"/>
      <c r="H30" s="41">
        <v>80</v>
      </c>
    </row>
    <row r="31" spans="1:8" s="7" customFormat="1" ht="15" x14ac:dyDescent="0.25">
      <c r="A31" s="23"/>
      <c r="B31" s="23" t="s">
        <v>24</v>
      </c>
      <c r="C31" s="23"/>
      <c r="D31" s="23"/>
      <c r="E31" s="24"/>
      <c r="F31" s="16"/>
      <c r="G31" s="57"/>
      <c r="H31" s="58"/>
    </row>
    <row r="32" spans="1:8" s="7" customFormat="1" ht="15.75" customHeight="1" x14ac:dyDescent="0.25">
      <c r="D32" s="9"/>
      <c r="E32" s="7" t="s">
        <v>25</v>
      </c>
      <c r="F32" s="9"/>
      <c r="G32" s="12"/>
      <c r="H32" s="41">
        <f>SUM(H24:H31)</f>
        <v>600.80000000000007</v>
      </c>
    </row>
    <row r="33" spans="1:8" s="7" customFormat="1" ht="15.75" customHeight="1" x14ac:dyDescent="0.25">
      <c r="D33" s="9"/>
      <c r="E33" s="7" t="s">
        <v>26</v>
      </c>
      <c r="F33" s="9"/>
      <c r="H33" s="41">
        <f>+H32*0.19</f>
        <v>114.15200000000002</v>
      </c>
    </row>
    <row r="34" spans="1:8" s="7" customFormat="1" thickBot="1" x14ac:dyDescent="0.3">
      <c r="D34" s="9"/>
      <c r="E34" s="34" t="s">
        <v>27</v>
      </c>
      <c r="F34" s="35"/>
      <c r="G34" s="60"/>
      <c r="H34" s="61">
        <f>SUM(H32:H33)</f>
        <v>714.95200000000011</v>
      </c>
    </row>
    <row r="35" spans="1:8" s="7" customFormat="1" ht="7.5" customHeight="1" thickTop="1" x14ac:dyDescent="0.25">
      <c r="D35" s="9"/>
      <c r="E35" s="38"/>
      <c r="F35" s="17"/>
      <c r="G35" s="9"/>
      <c r="H35" s="41"/>
    </row>
    <row r="36" spans="1:8" s="7" customFormat="1" ht="15" x14ac:dyDescent="0.25">
      <c r="A36" s="7" t="s">
        <v>48</v>
      </c>
      <c r="B36" s="8"/>
      <c r="D36" s="9"/>
      <c r="E36" s="17"/>
      <c r="F36" s="18"/>
    </row>
    <row r="37" spans="1:8" s="7" customFormat="1" ht="15" x14ac:dyDescent="0.25">
      <c r="D37" s="9"/>
      <c r="E37" s="17"/>
      <c r="F37" s="18"/>
    </row>
    <row r="38" spans="1:8" s="7" customFormat="1" ht="15" x14ac:dyDescent="0.25">
      <c r="D38" s="9"/>
      <c r="E38" s="17"/>
      <c r="F38" s="18"/>
    </row>
    <row r="39" spans="1:8" ht="14.25" customHeight="1" x14ac:dyDescent="0.25"/>
    <row r="40" spans="1:8" x14ac:dyDescent="0.25">
      <c r="B40" s="23"/>
    </row>
    <row r="43" spans="1:8" x14ac:dyDescent="0.25">
      <c r="D43" s="1"/>
      <c r="E43" s="1"/>
      <c r="F43" s="1"/>
    </row>
    <row r="44" spans="1:8" x14ac:dyDescent="0.25">
      <c r="D44" s="1"/>
      <c r="E44" s="1"/>
      <c r="F44" s="1"/>
    </row>
    <row r="45" spans="1:8" x14ac:dyDescent="0.25">
      <c r="D45" s="1"/>
      <c r="E45" s="1"/>
      <c r="F45" s="1"/>
    </row>
    <row r="46" spans="1:8" x14ac:dyDescent="0.25">
      <c r="D46" s="1"/>
      <c r="E46" s="1"/>
      <c r="F46" s="1"/>
    </row>
    <row r="47" spans="1:8" x14ac:dyDescent="0.25">
      <c r="D47" s="1"/>
      <c r="E47" s="1"/>
      <c r="F47" s="1"/>
    </row>
    <row r="48" spans="1:8" x14ac:dyDescent="0.25">
      <c r="D48" s="1"/>
      <c r="E48" s="1"/>
      <c r="F48" s="1"/>
    </row>
    <row r="49" spans="1:8" x14ac:dyDescent="0.25">
      <c r="A49" s="142" t="s">
        <v>98</v>
      </c>
      <c r="B49" s="142"/>
      <c r="C49" s="142"/>
      <c r="D49" s="142"/>
      <c r="E49" s="142"/>
      <c r="F49" s="142"/>
      <c r="G49" s="142"/>
      <c r="H49" s="142"/>
    </row>
  </sheetData>
  <mergeCells count="10">
    <mergeCell ref="F11:H11"/>
    <mergeCell ref="F12:H12"/>
    <mergeCell ref="A16:H16"/>
    <mergeCell ref="A49:H49"/>
    <mergeCell ref="E7:F7"/>
    <mergeCell ref="G7:H7"/>
    <mergeCell ref="E8:F8"/>
    <mergeCell ref="E9:F9"/>
    <mergeCell ref="G9:H9"/>
    <mergeCell ref="G10:H10"/>
  </mergeCells>
  <pageMargins left="0.78740157480314965" right="0.78740157480314965" top="0.98425196850393704" bottom="0.98425196850393704" header="0.51181102362204722" footer="0.51181102362204722"/>
  <pageSetup paperSize="9" orientation="portrait" horizontalDpi="300" verticalDpi="300" r:id="rId1"/>
  <headerFooter alignWithMargins="0">
    <oddHeader>&amp;C&amp;"Times New Roman,Standard"&amp;16Hartmut Ahting
Steuerberater
Diplom-Wirtschaftsingenieur</oddHeader>
    <oddFooter>&amp;L&amp;"Times New Roman,Standard"Heerstrasse 50
60488 Frankfurt
&amp;C&amp;"Times New Roman,Standard"Deutsche Bank
BLZ 500 700 24
Konto 409 28 62&amp;R&amp;"Times New Roman,Standard"Tel:      069 / 788 031-71
Fax:     069 / 788 031-72
Mobil: 0174 / 326 99 58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DC116-D335-494C-B01C-9E30B26AC3EA}">
  <dimension ref="A5:T49"/>
  <sheetViews>
    <sheetView workbookViewId="0">
      <selection activeCell="A50" sqref="A50"/>
    </sheetView>
  </sheetViews>
  <sheetFormatPr baseColWidth="10" defaultColWidth="10.125" defaultRowHeight="15.75" x14ac:dyDescent="0.25"/>
  <cols>
    <col min="1" max="1" width="3.125" style="1" customWidth="1"/>
    <col min="2" max="2" width="30.5" style="1" customWidth="1"/>
    <col min="3" max="3" width="8.75" style="1" customWidth="1"/>
    <col min="4" max="4" width="1.5" style="2" customWidth="1"/>
    <col min="5" max="5" width="10" style="3" customWidth="1"/>
    <col min="6" max="6" width="6.125" style="6" customWidth="1"/>
    <col min="7" max="7" width="7.25" style="1" customWidth="1"/>
    <col min="8" max="8" width="8.5" style="1" customWidth="1"/>
    <col min="9" max="9" width="1.125" style="1" customWidth="1"/>
    <col min="10" max="256" width="10.125" style="1"/>
    <col min="257" max="257" width="3.125" style="1" customWidth="1"/>
    <col min="258" max="258" width="30.5" style="1" customWidth="1"/>
    <col min="259" max="259" width="8.75" style="1" customWidth="1"/>
    <col min="260" max="260" width="1.5" style="1" customWidth="1"/>
    <col min="261" max="261" width="10" style="1" customWidth="1"/>
    <col min="262" max="262" width="6.125" style="1" customWidth="1"/>
    <col min="263" max="263" width="7.25" style="1" customWidth="1"/>
    <col min="264" max="264" width="8.5" style="1" customWidth="1"/>
    <col min="265" max="265" width="1.125" style="1" customWidth="1"/>
    <col min="266" max="512" width="10.125" style="1"/>
    <col min="513" max="513" width="3.125" style="1" customWidth="1"/>
    <col min="514" max="514" width="30.5" style="1" customWidth="1"/>
    <col min="515" max="515" width="8.75" style="1" customWidth="1"/>
    <col min="516" max="516" width="1.5" style="1" customWidth="1"/>
    <col min="517" max="517" width="10" style="1" customWidth="1"/>
    <col min="518" max="518" width="6.125" style="1" customWidth="1"/>
    <col min="519" max="519" width="7.25" style="1" customWidth="1"/>
    <col min="520" max="520" width="8.5" style="1" customWidth="1"/>
    <col min="521" max="521" width="1.125" style="1" customWidth="1"/>
    <col min="522" max="768" width="10.125" style="1"/>
    <col min="769" max="769" width="3.125" style="1" customWidth="1"/>
    <col min="770" max="770" width="30.5" style="1" customWidth="1"/>
    <col min="771" max="771" width="8.75" style="1" customWidth="1"/>
    <col min="772" max="772" width="1.5" style="1" customWidth="1"/>
    <col min="773" max="773" width="10" style="1" customWidth="1"/>
    <col min="774" max="774" width="6.125" style="1" customWidth="1"/>
    <col min="775" max="775" width="7.25" style="1" customWidth="1"/>
    <col min="776" max="776" width="8.5" style="1" customWidth="1"/>
    <col min="777" max="777" width="1.125" style="1" customWidth="1"/>
    <col min="778" max="1024" width="10.125" style="1"/>
    <col min="1025" max="1025" width="3.125" style="1" customWidth="1"/>
    <col min="1026" max="1026" width="30.5" style="1" customWidth="1"/>
    <col min="1027" max="1027" width="8.75" style="1" customWidth="1"/>
    <col min="1028" max="1028" width="1.5" style="1" customWidth="1"/>
    <col min="1029" max="1029" width="10" style="1" customWidth="1"/>
    <col min="1030" max="1030" width="6.125" style="1" customWidth="1"/>
    <col min="1031" max="1031" width="7.25" style="1" customWidth="1"/>
    <col min="1032" max="1032" width="8.5" style="1" customWidth="1"/>
    <col min="1033" max="1033" width="1.125" style="1" customWidth="1"/>
    <col min="1034" max="1280" width="10.125" style="1"/>
    <col min="1281" max="1281" width="3.125" style="1" customWidth="1"/>
    <col min="1282" max="1282" width="30.5" style="1" customWidth="1"/>
    <col min="1283" max="1283" width="8.75" style="1" customWidth="1"/>
    <col min="1284" max="1284" width="1.5" style="1" customWidth="1"/>
    <col min="1285" max="1285" width="10" style="1" customWidth="1"/>
    <col min="1286" max="1286" width="6.125" style="1" customWidth="1"/>
    <col min="1287" max="1287" width="7.25" style="1" customWidth="1"/>
    <col min="1288" max="1288" width="8.5" style="1" customWidth="1"/>
    <col min="1289" max="1289" width="1.125" style="1" customWidth="1"/>
    <col min="1290" max="1536" width="10.125" style="1"/>
    <col min="1537" max="1537" width="3.125" style="1" customWidth="1"/>
    <col min="1538" max="1538" width="30.5" style="1" customWidth="1"/>
    <col min="1539" max="1539" width="8.75" style="1" customWidth="1"/>
    <col min="1540" max="1540" width="1.5" style="1" customWidth="1"/>
    <col min="1541" max="1541" width="10" style="1" customWidth="1"/>
    <col min="1542" max="1542" width="6.125" style="1" customWidth="1"/>
    <col min="1543" max="1543" width="7.25" style="1" customWidth="1"/>
    <col min="1544" max="1544" width="8.5" style="1" customWidth="1"/>
    <col min="1545" max="1545" width="1.125" style="1" customWidth="1"/>
    <col min="1546" max="1792" width="10.125" style="1"/>
    <col min="1793" max="1793" width="3.125" style="1" customWidth="1"/>
    <col min="1794" max="1794" width="30.5" style="1" customWidth="1"/>
    <col min="1795" max="1795" width="8.75" style="1" customWidth="1"/>
    <col min="1796" max="1796" width="1.5" style="1" customWidth="1"/>
    <col min="1797" max="1797" width="10" style="1" customWidth="1"/>
    <col min="1798" max="1798" width="6.125" style="1" customWidth="1"/>
    <col min="1799" max="1799" width="7.25" style="1" customWidth="1"/>
    <col min="1800" max="1800" width="8.5" style="1" customWidth="1"/>
    <col min="1801" max="1801" width="1.125" style="1" customWidth="1"/>
    <col min="1802" max="2048" width="10.125" style="1"/>
    <col min="2049" max="2049" width="3.125" style="1" customWidth="1"/>
    <col min="2050" max="2050" width="30.5" style="1" customWidth="1"/>
    <col min="2051" max="2051" width="8.75" style="1" customWidth="1"/>
    <col min="2052" max="2052" width="1.5" style="1" customWidth="1"/>
    <col min="2053" max="2053" width="10" style="1" customWidth="1"/>
    <col min="2054" max="2054" width="6.125" style="1" customWidth="1"/>
    <col min="2055" max="2055" width="7.25" style="1" customWidth="1"/>
    <col min="2056" max="2056" width="8.5" style="1" customWidth="1"/>
    <col min="2057" max="2057" width="1.125" style="1" customWidth="1"/>
    <col min="2058" max="2304" width="10.125" style="1"/>
    <col min="2305" max="2305" width="3.125" style="1" customWidth="1"/>
    <col min="2306" max="2306" width="30.5" style="1" customWidth="1"/>
    <col min="2307" max="2307" width="8.75" style="1" customWidth="1"/>
    <col min="2308" max="2308" width="1.5" style="1" customWidth="1"/>
    <col min="2309" max="2309" width="10" style="1" customWidth="1"/>
    <col min="2310" max="2310" width="6.125" style="1" customWidth="1"/>
    <col min="2311" max="2311" width="7.25" style="1" customWidth="1"/>
    <col min="2312" max="2312" width="8.5" style="1" customWidth="1"/>
    <col min="2313" max="2313" width="1.125" style="1" customWidth="1"/>
    <col min="2314" max="2560" width="10.125" style="1"/>
    <col min="2561" max="2561" width="3.125" style="1" customWidth="1"/>
    <col min="2562" max="2562" width="30.5" style="1" customWidth="1"/>
    <col min="2563" max="2563" width="8.75" style="1" customWidth="1"/>
    <col min="2564" max="2564" width="1.5" style="1" customWidth="1"/>
    <col min="2565" max="2565" width="10" style="1" customWidth="1"/>
    <col min="2566" max="2566" width="6.125" style="1" customWidth="1"/>
    <col min="2567" max="2567" width="7.25" style="1" customWidth="1"/>
    <col min="2568" max="2568" width="8.5" style="1" customWidth="1"/>
    <col min="2569" max="2569" width="1.125" style="1" customWidth="1"/>
    <col min="2570" max="2816" width="10.125" style="1"/>
    <col min="2817" max="2817" width="3.125" style="1" customWidth="1"/>
    <col min="2818" max="2818" width="30.5" style="1" customWidth="1"/>
    <col min="2819" max="2819" width="8.75" style="1" customWidth="1"/>
    <col min="2820" max="2820" width="1.5" style="1" customWidth="1"/>
    <col min="2821" max="2821" width="10" style="1" customWidth="1"/>
    <col min="2822" max="2822" width="6.125" style="1" customWidth="1"/>
    <col min="2823" max="2823" width="7.25" style="1" customWidth="1"/>
    <col min="2824" max="2824" width="8.5" style="1" customWidth="1"/>
    <col min="2825" max="2825" width="1.125" style="1" customWidth="1"/>
    <col min="2826" max="3072" width="10.125" style="1"/>
    <col min="3073" max="3073" width="3.125" style="1" customWidth="1"/>
    <col min="3074" max="3074" width="30.5" style="1" customWidth="1"/>
    <col min="3075" max="3075" width="8.75" style="1" customWidth="1"/>
    <col min="3076" max="3076" width="1.5" style="1" customWidth="1"/>
    <col min="3077" max="3077" width="10" style="1" customWidth="1"/>
    <col min="3078" max="3078" width="6.125" style="1" customWidth="1"/>
    <col min="3079" max="3079" width="7.25" style="1" customWidth="1"/>
    <col min="3080" max="3080" width="8.5" style="1" customWidth="1"/>
    <col min="3081" max="3081" width="1.125" style="1" customWidth="1"/>
    <col min="3082" max="3328" width="10.125" style="1"/>
    <col min="3329" max="3329" width="3.125" style="1" customWidth="1"/>
    <col min="3330" max="3330" width="30.5" style="1" customWidth="1"/>
    <col min="3331" max="3331" width="8.75" style="1" customWidth="1"/>
    <col min="3332" max="3332" width="1.5" style="1" customWidth="1"/>
    <col min="3333" max="3333" width="10" style="1" customWidth="1"/>
    <col min="3334" max="3334" width="6.125" style="1" customWidth="1"/>
    <col min="3335" max="3335" width="7.25" style="1" customWidth="1"/>
    <col min="3336" max="3336" width="8.5" style="1" customWidth="1"/>
    <col min="3337" max="3337" width="1.125" style="1" customWidth="1"/>
    <col min="3338" max="3584" width="10.125" style="1"/>
    <col min="3585" max="3585" width="3.125" style="1" customWidth="1"/>
    <col min="3586" max="3586" width="30.5" style="1" customWidth="1"/>
    <col min="3587" max="3587" width="8.75" style="1" customWidth="1"/>
    <col min="3588" max="3588" width="1.5" style="1" customWidth="1"/>
    <col min="3589" max="3589" width="10" style="1" customWidth="1"/>
    <col min="3590" max="3590" width="6.125" style="1" customWidth="1"/>
    <col min="3591" max="3591" width="7.25" style="1" customWidth="1"/>
    <col min="3592" max="3592" width="8.5" style="1" customWidth="1"/>
    <col min="3593" max="3593" width="1.125" style="1" customWidth="1"/>
    <col min="3594" max="3840" width="10.125" style="1"/>
    <col min="3841" max="3841" width="3.125" style="1" customWidth="1"/>
    <col min="3842" max="3842" width="30.5" style="1" customWidth="1"/>
    <col min="3843" max="3843" width="8.75" style="1" customWidth="1"/>
    <col min="3844" max="3844" width="1.5" style="1" customWidth="1"/>
    <col min="3845" max="3845" width="10" style="1" customWidth="1"/>
    <col min="3846" max="3846" width="6.125" style="1" customWidth="1"/>
    <col min="3847" max="3847" width="7.25" style="1" customWidth="1"/>
    <col min="3848" max="3848" width="8.5" style="1" customWidth="1"/>
    <col min="3849" max="3849" width="1.125" style="1" customWidth="1"/>
    <col min="3850" max="4096" width="10.125" style="1"/>
    <col min="4097" max="4097" width="3.125" style="1" customWidth="1"/>
    <col min="4098" max="4098" width="30.5" style="1" customWidth="1"/>
    <col min="4099" max="4099" width="8.75" style="1" customWidth="1"/>
    <col min="4100" max="4100" width="1.5" style="1" customWidth="1"/>
    <col min="4101" max="4101" width="10" style="1" customWidth="1"/>
    <col min="4102" max="4102" width="6.125" style="1" customWidth="1"/>
    <col min="4103" max="4103" width="7.25" style="1" customWidth="1"/>
    <col min="4104" max="4104" width="8.5" style="1" customWidth="1"/>
    <col min="4105" max="4105" width="1.125" style="1" customWidth="1"/>
    <col min="4106" max="4352" width="10.125" style="1"/>
    <col min="4353" max="4353" width="3.125" style="1" customWidth="1"/>
    <col min="4354" max="4354" width="30.5" style="1" customWidth="1"/>
    <col min="4355" max="4355" width="8.75" style="1" customWidth="1"/>
    <col min="4356" max="4356" width="1.5" style="1" customWidth="1"/>
    <col min="4357" max="4357" width="10" style="1" customWidth="1"/>
    <col min="4358" max="4358" width="6.125" style="1" customWidth="1"/>
    <col min="4359" max="4359" width="7.25" style="1" customWidth="1"/>
    <col min="4360" max="4360" width="8.5" style="1" customWidth="1"/>
    <col min="4361" max="4361" width="1.125" style="1" customWidth="1"/>
    <col min="4362" max="4608" width="10.125" style="1"/>
    <col min="4609" max="4609" width="3.125" style="1" customWidth="1"/>
    <col min="4610" max="4610" width="30.5" style="1" customWidth="1"/>
    <col min="4611" max="4611" width="8.75" style="1" customWidth="1"/>
    <col min="4612" max="4612" width="1.5" style="1" customWidth="1"/>
    <col min="4613" max="4613" width="10" style="1" customWidth="1"/>
    <col min="4614" max="4614" width="6.125" style="1" customWidth="1"/>
    <col min="4615" max="4615" width="7.25" style="1" customWidth="1"/>
    <col min="4616" max="4616" width="8.5" style="1" customWidth="1"/>
    <col min="4617" max="4617" width="1.125" style="1" customWidth="1"/>
    <col min="4618" max="4864" width="10.125" style="1"/>
    <col min="4865" max="4865" width="3.125" style="1" customWidth="1"/>
    <col min="4866" max="4866" width="30.5" style="1" customWidth="1"/>
    <col min="4867" max="4867" width="8.75" style="1" customWidth="1"/>
    <col min="4868" max="4868" width="1.5" style="1" customWidth="1"/>
    <col min="4869" max="4869" width="10" style="1" customWidth="1"/>
    <col min="4870" max="4870" width="6.125" style="1" customWidth="1"/>
    <col min="4871" max="4871" width="7.25" style="1" customWidth="1"/>
    <col min="4872" max="4872" width="8.5" style="1" customWidth="1"/>
    <col min="4873" max="4873" width="1.125" style="1" customWidth="1"/>
    <col min="4874" max="5120" width="10.125" style="1"/>
    <col min="5121" max="5121" width="3.125" style="1" customWidth="1"/>
    <col min="5122" max="5122" width="30.5" style="1" customWidth="1"/>
    <col min="5123" max="5123" width="8.75" style="1" customWidth="1"/>
    <col min="5124" max="5124" width="1.5" style="1" customWidth="1"/>
    <col min="5125" max="5125" width="10" style="1" customWidth="1"/>
    <col min="5126" max="5126" width="6.125" style="1" customWidth="1"/>
    <col min="5127" max="5127" width="7.25" style="1" customWidth="1"/>
    <col min="5128" max="5128" width="8.5" style="1" customWidth="1"/>
    <col min="5129" max="5129" width="1.125" style="1" customWidth="1"/>
    <col min="5130" max="5376" width="10.125" style="1"/>
    <col min="5377" max="5377" width="3.125" style="1" customWidth="1"/>
    <col min="5378" max="5378" width="30.5" style="1" customWidth="1"/>
    <col min="5379" max="5379" width="8.75" style="1" customWidth="1"/>
    <col min="5380" max="5380" width="1.5" style="1" customWidth="1"/>
    <col min="5381" max="5381" width="10" style="1" customWidth="1"/>
    <col min="5382" max="5382" width="6.125" style="1" customWidth="1"/>
    <col min="5383" max="5383" width="7.25" style="1" customWidth="1"/>
    <col min="5384" max="5384" width="8.5" style="1" customWidth="1"/>
    <col min="5385" max="5385" width="1.125" style="1" customWidth="1"/>
    <col min="5386" max="5632" width="10.125" style="1"/>
    <col min="5633" max="5633" width="3.125" style="1" customWidth="1"/>
    <col min="5634" max="5634" width="30.5" style="1" customWidth="1"/>
    <col min="5635" max="5635" width="8.75" style="1" customWidth="1"/>
    <col min="5636" max="5636" width="1.5" style="1" customWidth="1"/>
    <col min="5637" max="5637" width="10" style="1" customWidth="1"/>
    <col min="5638" max="5638" width="6.125" style="1" customWidth="1"/>
    <col min="5639" max="5639" width="7.25" style="1" customWidth="1"/>
    <col min="5640" max="5640" width="8.5" style="1" customWidth="1"/>
    <col min="5641" max="5641" width="1.125" style="1" customWidth="1"/>
    <col min="5642" max="5888" width="10.125" style="1"/>
    <col min="5889" max="5889" width="3.125" style="1" customWidth="1"/>
    <col min="5890" max="5890" width="30.5" style="1" customWidth="1"/>
    <col min="5891" max="5891" width="8.75" style="1" customWidth="1"/>
    <col min="5892" max="5892" width="1.5" style="1" customWidth="1"/>
    <col min="5893" max="5893" width="10" style="1" customWidth="1"/>
    <col min="5894" max="5894" width="6.125" style="1" customWidth="1"/>
    <col min="5895" max="5895" width="7.25" style="1" customWidth="1"/>
    <col min="5896" max="5896" width="8.5" style="1" customWidth="1"/>
    <col min="5897" max="5897" width="1.125" style="1" customWidth="1"/>
    <col min="5898" max="6144" width="10.125" style="1"/>
    <col min="6145" max="6145" width="3.125" style="1" customWidth="1"/>
    <col min="6146" max="6146" width="30.5" style="1" customWidth="1"/>
    <col min="6147" max="6147" width="8.75" style="1" customWidth="1"/>
    <col min="6148" max="6148" width="1.5" style="1" customWidth="1"/>
    <col min="6149" max="6149" width="10" style="1" customWidth="1"/>
    <col min="6150" max="6150" width="6.125" style="1" customWidth="1"/>
    <col min="6151" max="6151" width="7.25" style="1" customWidth="1"/>
    <col min="6152" max="6152" width="8.5" style="1" customWidth="1"/>
    <col min="6153" max="6153" width="1.125" style="1" customWidth="1"/>
    <col min="6154" max="6400" width="10.125" style="1"/>
    <col min="6401" max="6401" width="3.125" style="1" customWidth="1"/>
    <col min="6402" max="6402" width="30.5" style="1" customWidth="1"/>
    <col min="6403" max="6403" width="8.75" style="1" customWidth="1"/>
    <col min="6404" max="6404" width="1.5" style="1" customWidth="1"/>
    <col min="6405" max="6405" width="10" style="1" customWidth="1"/>
    <col min="6406" max="6406" width="6.125" style="1" customWidth="1"/>
    <col min="6407" max="6407" width="7.25" style="1" customWidth="1"/>
    <col min="6408" max="6408" width="8.5" style="1" customWidth="1"/>
    <col min="6409" max="6409" width="1.125" style="1" customWidth="1"/>
    <col min="6410" max="6656" width="10.125" style="1"/>
    <col min="6657" max="6657" width="3.125" style="1" customWidth="1"/>
    <col min="6658" max="6658" width="30.5" style="1" customWidth="1"/>
    <col min="6659" max="6659" width="8.75" style="1" customWidth="1"/>
    <col min="6660" max="6660" width="1.5" style="1" customWidth="1"/>
    <col min="6661" max="6661" width="10" style="1" customWidth="1"/>
    <col min="6662" max="6662" width="6.125" style="1" customWidth="1"/>
    <col min="6663" max="6663" width="7.25" style="1" customWidth="1"/>
    <col min="6664" max="6664" width="8.5" style="1" customWidth="1"/>
    <col min="6665" max="6665" width="1.125" style="1" customWidth="1"/>
    <col min="6666" max="6912" width="10.125" style="1"/>
    <col min="6913" max="6913" width="3.125" style="1" customWidth="1"/>
    <col min="6914" max="6914" width="30.5" style="1" customWidth="1"/>
    <col min="6915" max="6915" width="8.75" style="1" customWidth="1"/>
    <col min="6916" max="6916" width="1.5" style="1" customWidth="1"/>
    <col min="6917" max="6917" width="10" style="1" customWidth="1"/>
    <col min="6918" max="6918" width="6.125" style="1" customWidth="1"/>
    <col min="6919" max="6919" width="7.25" style="1" customWidth="1"/>
    <col min="6920" max="6920" width="8.5" style="1" customWidth="1"/>
    <col min="6921" max="6921" width="1.125" style="1" customWidth="1"/>
    <col min="6922" max="7168" width="10.125" style="1"/>
    <col min="7169" max="7169" width="3.125" style="1" customWidth="1"/>
    <col min="7170" max="7170" width="30.5" style="1" customWidth="1"/>
    <col min="7171" max="7171" width="8.75" style="1" customWidth="1"/>
    <col min="7172" max="7172" width="1.5" style="1" customWidth="1"/>
    <col min="7173" max="7173" width="10" style="1" customWidth="1"/>
    <col min="7174" max="7174" width="6.125" style="1" customWidth="1"/>
    <col min="7175" max="7175" width="7.25" style="1" customWidth="1"/>
    <col min="7176" max="7176" width="8.5" style="1" customWidth="1"/>
    <col min="7177" max="7177" width="1.125" style="1" customWidth="1"/>
    <col min="7178" max="7424" width="10.125" style="1"/>
    <col min="7425" max="7425" width="3.125" style="1" customWidth="1"/>
    <col min="7426" max="7426" width="30.5" style="1" customWidth="1"/>
    <col min="7427" max="7427" width="8.75" style="1" customWidth="1"/>
    <col min="7428" max="7428" width="1.5" style="1" customWidth="1"/>
    <col min="7429" max="7429" width="10" style="1" customWidth="1"/>
    <col min="7430" max="7430" width="6.125" style="1" customWidth="1"/>
    <col min="7431" max="7431" width="7.25" style="1" customWidth="1"/>
    <col min="7432" max="7432" width="8.5" style="1" customWidth="1"/>
    <col min="7433" max="7433" width="1.125" style="1" customWidth="1"/>
    <col min="7434" max="7680" width="10.125" style="1"/>
    <col min="7681" max="7681" width="3.125" style="1" customWidth="1"/>
    <col min="7682" max="7682" width="30.5" style="1" customWidth="1"/>
    <col min="7683" max="7683" width="8.75" style="1" customWidth="1"/>
    <col min="7684" max="7684" width="1.5" style="1" customWidth="1"/>
    <col min="7685" max="7685" width="10" style="1" customWidth="1"/>
    <col min="7686" max="7686" width="6.125" style="1" customWidth="1"/>
    <col min="7687" max="7687" width="7.25" style="1" customWidth="1"/>
    <col min="7688" max="7688" width="8.5" style="1" customWidth="1"/>
    <col min="7689" max="7689" width="1.125" style="1" customWidth="1"/>
    <col min="7690" max="7936" width="10.125" style="1"/>
    <col min="7937" max="7937" width="3.125" style="1" customWidth="1"/>
    <col min="7938" max="7938" width="30.5" style="1" customWidth="1"/>
    <col min="7939" max="7939" width="8.75" style="1" customWidth="1"/>
    <col min="7940" max="7940" width="1.5" style="1" customWidth="1"/>
    <col min="7941" max="7941" width="10" style="1" customWidth="1"/>
    <col min="7942" max="7942" width="6.125" style="1" customWidth="1"/>
    <col min="7943" max="7943" width="7.25" style="1" customWidth="1"/>
    <col min="7944" max="7944" width="8.5" style="1" customWidth="1"/>
    <col min="7945" max="7945" width="1.125" style="1" customWidth="1"/>
    <col min="7946" max="8192" width="10.125" style="1"/>
    <col min="8193" max="8193" width="3.125" style="1" customWidth="1"/>
    <col min="8194" max="8194" width="30.5" style="1" customWidth="1"/>
    <col min="8195" max="8195" width="8.75" style="1" customWidth="1"/>
    <col min="8196" max="8196" width="1.5" style="1" customWidth="1"/>
    <col min="8197" max="8197" width="10" style="1" customWidth="1"/>
    <col min="8198" max="8198" width="6.125" style="1" customWidth="1"/>
    <col min="8199" max="8199" width="7.25" style="1" customWidth="1"/>
    <col min="8200" max="8200" width="8.5" style="1" customWidth="1"/>
    <col min="8201" max="8201" width="1.125" style="1" customWidth="1"/>
    <col min="8202" max="8448" width="10.125" style="1"/>
    <col min="8449" max="8449" width="3.125" style="1" customWidth="1"/>
    <col min="8450" max="8450" width="30.5" style="1" customWidth="1"/>
    <col min="8451" max="8451" width="8.75" style="1" customWidth="1"/>
    <col min="8452" max="8452" width="1.5" style="1" customWidth="1"/>
    <col min="8453" max="8453" width="10" style="1" customWidth="1"/>
    <col min="8454" max="8454" width="6.125" style="1" customWidth="1"/>
    <col min="8455" max="8455" width="7.25" style="1" customWidth="1"/>
    <col min="8456" max="8456" width="8.5" style="1" customWidth="1"/>
    <col min="8457" max="8457" width="1.125" style="1" customWidth="1"/>
    <col min="8458" max="8704" width="10.125" style="1"/>
    <col min="8705" max="8705" width="3.125" style="1" customWidth="1"/>
    <col min="8706" max="8706" width="30.5" style="1" customWidth="1"/>
    <col min="8707" max="8707" width="8.75" style="1" customWidth="1"/>
    <col min="8708" max="8708" width="1.5" style="1" customWidth="1"/>
    <col min="8709" max="8709" width="10" style="1" customWidth="1"/>
    <col min="8710" max="8710" width="6.125" style="1" customWidth="1"/>
    <col min="8711" max="8711" width="7.25" style="1" customWidth="1"/>
    <col min="8712" max="8712" width="8.5" style="1" customWidth="1"/>
    <col min="8713" max="8713" width="1.125" style="1" customWidth="1"/>
    <col min="8714" max="8960" width="10.125" style="1"/>
    <col min="8961" max="8961" width="3.125" style="1" customWidth="1"/>
    <col min="8962" max="8962" width="30.5" style="1" customWidth="1"/>
    <col min="8963" max="8963" width="8.75" style="1" customWidth="1"/>
    <col min="8964" max="8964" width="1.5" style="1" customWidth="1"/>
    <col min="8965" max="8965" width="10" style="1" customWidth="1"/>
    <col min="8966" max="8966" width="6.125" style="1" customWidth="1"/>
    <col min="8967" max="8967" width="7.25" style="1" customWidth="1"/>
    <col min="8968" max="8968" width="8.5" style="1" customWidth="1"/>
    <col min="8969" max="8969" width="1.125" style="1" customWidth="1"/>
    <col min="8970" max="9216" width="10.125" style="1"/>
    <col min="9217" max="9217" width="3.125" style="1" customWidth="1"/>
    <col min="9218" max="9218" width="30.5" style="1" customWidth="1"/>
    <col min="9219" max="9219" width="8.75" style="1" customWidth="1"/>
    <col min="9220" max="9220" width="1.5" style="1" customWidth="1"/>
    <col min="9221" max="9221" width="10" style="1" customWidth="1"/>
    <col min="9222" max="9222" width="6.125" style="1" customWidth="1"/>
    <col min="9223" max="9223" width="7.25" style="1" customWidth="1"/>
    <col min="9224" max="9224" width="8.5" style="1" customWidth="1"/>
    <col min="9225" max="9225" width="1.125" style="1" customWidth="1"/>
    <col min="9226" max="9472" width="10.125" style="1"/>
    <col min="9473" max="9473" width="3.125" style="1" customWidth="1"/>
    <col min="9474" max="9474" width="30.5" style="1" customWidth="1"/>
    <col min="9475" max="9475" width="8.75" style="1" customWidth="1"/>
    <col min="9476" max="9476" width="1.5" style="1" customWidth="1"/>
    <col min="9477" max="9477" width="10" style="1" customWidth="1"/>
    <col min="9478" max="9478" width="6.125" style="1" customWidth="1"/>
    <col min="9479" max="9479" width="7.25" style="1" customWidth="1"/>
    <col min="9480" max="9480" width="8.5" style="1" customWidth="1"/>
    <col min="9481" max="9481" width="1.125" style="1" customWidth="1"/>
    <col min="9482" max="9728" width="10.125" style="1"/>
    <col min="9729" max="9729" width="3.125" style="1" customWidth="1"/>
    <col min="9730" max="9730" width="30.5" style="1" customWidth="1"/>
    <col min="9731" max="9731" width="8.75" style="1" customWidth="1"/>
    <col min="9732" max="9732" width="1.5" style="1" customWidth="1"/>
    <col min="9733" max="9733" width="10" style="1" customWidth="1"/>
    <col min="9734" max="9734" width="6.125" style="1" customWidth="1"/>
    <col min="9735" max="9735" width="7.25" style="1" customWidth="1"/>
    <col min="9736" max="9736" width="8.5" style="1" customWidth="1"/>
    <col min="9737" max="9737" width="1.125" style="1" customWidth="1"/>
    <col min="9738" max="9984" width="10.125" style="1"/>
    <col min="9985" max="9985" width="3.125" style="1" customWidth="1"/>
    <col min="9986" max="9986" width="30.5" style="1" customWidth="1"/>
    <col min="9987" max="9987" width="8.75" style="1" customWidth="1"/>
    <col min="9988" max="9988" width="1.5" style="1" customWidth="1"/>
    <col min="9989" max="9989" width="10" style="1" customWidth="1"/>
    <col min="9990" max="9990" width="6.125" style="1" customWidth="1"/>
    <col min="9991" max="9991" width="7.25" style="1" customWidth="1"/>
    <col min="9992" max="9992" width="8.5" style="1" customWidth="1"/>
    <col min="9993" max="9993" width="1.125" style="1" customWidth="1"/>
    <col min="9994" max="10240" width="10.125" style="1"/>
    <col min="10241" max="10241" width="3.125" style="1" customWidth="1"/>
    <col min="10242" max="10242" width="30.5" style="1" customWidth="1"/>
    <col min="10243" max="10243" width="8.75" style="1" customWidth="1"/>
    <col min="10244" max="10244" width="1.5" style="1" customWidth="1"/>
    <col min="10245" max="10245" width="10" style="1" customWidth="1"/>
    <col min="10246" max="10246" width="6.125" style="1" customWidth="1"/>
    <col min="10247" max="10247" width="7.25" style="1" customWidth="1"/>
    <col min="10248" max="10248" width="8.5" style="1" customWidth="1"/>
    <col min="10249" max="10249" width="1.125" style="1" customWidth="1"/>
    <col min="10250" max="10496" width="10.125" style="1"/>
    <col min="10497" max="10497" width="3.125" style="1" customWidth="1"/>
    <col min="10498" max="10498" width="30.5" style="1" customWidth="1"/>
    <col min="10499" max="10499" width="8.75" style="1" customWidth="1"/>
    <col min="10500" max="10500" width="1.5" style="1" customWidth="1"/>
    <col min="10501" max="10501" width="10" style="1" customWidth="1"/>
    <col min="10502" max="10502" width="6.125" style="1" customWidth="1"/>
    <col min="10503" max="10503" width="7.25" style="1" customWidth="1"/>
    <col min="10504" max="10504" width="8.5" style="1" customWidth="1"/>
    <col min="10505" max="10505" width="1.125" style="1" customWidth="1"/>
    <col min="10506" max="10752" width="10.125" style="1"/>
    <col min="10753" max="10753" width="3.125" style="1" customWidth="1"/>
    <col min="10754" max="10754" width="30.5" style="1" customWidth="1"/>
    <col min="10755" max="10755" width="8.75" style="1" customWidth="1"/>
    <col min="10756" max="10756" width="1.5" style="1" customWidth="1"/>
    <col min="10757" max="10757" width="10" style="1" customWidth="1"/>
    <col min="10758" max="10758" width="6.125" style="1" customWidth="1"/>
    <col min="10759" max="10759" width="7.25" style="1" customWidth="1"/>
    <col min="10760" max="10760" width="8.5" style="1" customWidth="1"/>
    <col min="10761" max="10761" width="1.125" style="1" customWidth="1"/>
    <col min="10762" max="11008" width="10.125" style="1"/>
    <col min="11009" max="11009" width="3.125" style="1" customWidth="1"/>
    <col min="11010" max="11010" width="30.5" style="1" customWidth="1"/>
    <col min="11011" max="11011" width="8.75" style="1" customWidth="1"/>
    <col min="11012" max="11012" width="1.5" style="1" customWidth="1"/>
    <col min="11013" max="11013" width="10" style="1" customWidth="1"/>
    <col min="11014" max="11014" width="6.125" style="1" customWidth="1"/>
    <col min="11015" max="11015" width="7.25" style="1" customWidth="1"/>
    <col min="11016" max="11016" width="8.5" style="1" customWidth="1"/>
    <col min="11017" max="11017" width="1.125" style="1" customWidth="1"/>
    <col min="11018" max="11264" width="10.125" style="1"/>
    <col min="11265" max="11265" width="3.125" style="1" customWidth="1"/>
    <col min="11266" max="11266" width="30.5" style="1" customWidth="1"/>
    <col min="11267" max="11267" width="8.75" style="1" customWidth="1"/>
    <col min="11268" max="11268" width="1.5" style="1" customWidth="1"/>
    <col min="11269" max="11269" width="10" style="1" customWidth="1"/>
    <col min="11270" max="11270" width="6.125" style="1" customWidth="1"/>
    <col min="11271" max="11271" width="7.25" style="1" customWidth="1"/>
    <col min="11272" max="11272" width="8.5" style="1" customWidth="1"/>
    <col min="11273" max="11273" width="1.125" style="1" customWidth="1"/>
    <col min="11274" max="11520" width="10.125" style="1"/>
    <col min="11521" max="11521" width="3.125" style="1" customWidth="1"/>
    <col min="11522" max="11522" width="30.5" style="1" customWidth="1"/>
    <col min="11523" max="11523" width="8.75" style="1" customWidth="1"/>
    <col min="11524" max="11524" width="1.5" style="1" customWidth="1"/>
    <col min="11525" max="11525" width="10" style="1" customWidth="1"/>
    <col min="11526" max="11526" width="6.125" style="1" customWidth="1"/>
    <col min="11527" max="11527" width="7.25" style="1" customWidth="1"/>
    <col min="11528" max="11528" width="8.5" style="1" customWidth="1"/>
    <col min="11529" max="11529" width="1.125" style="1" customWidth="1"/>
    <col min="11530" max="11776" width="10.125" style="1"/>
    <col min="11777" max="11777" width="3.125" style="1" customWidth="1"/>
    <col min="11778" max="11778" width="30.5" style="1" customWidth="1"/>
    <col min="11779" max="11779" width="8.75" style="1" customWidth="1"/>
    <col min="11780" max="11780" width="1.5" style="1" customWidth="1"/>
    <col min="11781" max="11781" width="10" style="1" customWidth="1"/>
    <col min="11782" max="11782" width="6.125" style="1" customWidth="1"/>
    <col min="11783" max="11783" width="7.25" style="1" customWidth="1"/>
    <col min="11784" max="11784" width="8.5" style="1" customWidth="1"/>
    <col min="11785" max="11785" width="1.125" style="1" customWidth="1"/>
    <col min="11786" max="12032" width="10.125" style="1"/>
    <col min="12033" max="12033" width="3.125" style="1" customWidth="1"/>
    <col min="12034" max="12034" width="30.5" style="1" customWidth="1"/>
    <col min="12035" max="12035" width="8.75" style="1" customWidth="1"/>
    <col min="12036" max="12036" width="1.5" style="1" customWidth="1"/>
    <col min="12037" max="12037" width="10" style="1" customWidth="1"/>
    <col min="12038" max="12038" width="6.125" style="1" customWidth="1"/>
    <col min="12039" max="12039" width="7.25" style="1" customWidth="1"/>
    <col min="12040" max="12040" width="8.5" style="1" customWidth="1"/>
    <col min="12041" max="12041" width="1.125" style="1" customWidth="1"/>
    <col min="12042" max="12288" width="10.125" style="1"/>
    <col min="12289" max="12289" width="3.125" style="1" customWidth="1"/>
    <col min="12290" max="12290" width="30.5" style="1" customWidth="1"/>
    <col min="12291" max="12291" width="8.75" style="1" customWidth="1"/>
    <col min="12292" max="12292" width="1.5" style="1" customWidth="1"/>
    <col min="12293" max="12293" width="10" style="1" customWidth="1"/>
    <col min="12294" max="12294" width="6.125" style="1" customWidth="1"/>
    <col min="12295" max="12295" width="7.25" style="1" customWidth="1"/>
    <col min="12296" max="12296" width="8.5" style="1" customWidth="1"/>
    <col min="12297" max="12297" width="1.125" style="1" customWidth="1"/>
    <col min="12298" max="12544" width="10.125" style="1"/>
    <col min="12545" max="12545" width="3.125" style="1" customWidth="1"/>
    <col min="12546" max="12546" width="30.5" style="1" customWidth="1"/>
    <col min="12547" max="12547" width="8.75" style="1" customWidth="1"/>
    <col min="12548" max="12548" width="1.5" style="1" customWidth="1"/>
    <col min="12549" max="12549" width="10" style="1" customWidth="1"/>
    <col min="12550" max="12550" width="6.125" style="1" customWidth="1"/>
    <col min="12551" max="12551" width="7.25" style="1" customWidth="1"/>
    <col min="12552" max="12552" width="8.5" style="1" customWidth="1"/>
    <col min="12553" max="12553" width="1.125" style="1" customWidth="1"/>
    <col min="12554" max="12800" width="10.125" style="1"/>
    <col min="12801" max="12801" width="3.125" style="1" customWidth="1"/>
    <col min="12802" max="12802" width="30.5" style="1" customWidth="1"/>
    <col min="12803" max="12803" width="8.75" style="1" customWidth="1"/>
    <col min="12804" max="12804" width="1.5" style="1" customWidth="1"/>
    <col min="12805" max="12805" width="10" style="1" customWidth="1"/>
    <col min="12806" max="12806" width="6.125" style="1" customWidth="1"/>
    <col min="12807" max="12807" width="7.25" style="1" customWidth="1"/>
    <col min="12808" max="12808" width="8.5" style="1" customWidth="1"/>
    <col min="12809" max="12809" width="1.125" style="1" customWidth="1"/>
    <col min="12810" max="13056" width="10.125" style="1"/>
    <col min="13057" max="13057" width="3.125" style="1" customWidth="1"/>
    <col min="13058" max="13058" width="30.5" style="1" customWidth="1"/>
    <col min="13059" max="13059" width="8.75" style="1" customWidth="1"/>
    <col min="13060" max="13060" width="1.5" style="1" customWidth="1"/>
    <col min="13061" max="13061" width="10" style="1" customWidth="1"/>
    <col min="13062" max="13062" width="6.125" style="1" customWidth="1"/>
    <col min="13063" max="13063" width="7.25" style="1" customWidth="1"/>
    <col min="13064" max="13064" width="8.5" style="1" customWidth="1"/>
    <col min="13065" max="13065" width="1.125" style="1" customWidth="1"/>
    <col min="13066" max="13312" width="10.125" style="1"/>
    <col min="13313" max="13313" width="3.125" style="1" customWidth="1"/>
    <col min="13314" max="13314" width="30.5" style="1" customWidth="1"/>
    <col min="13315" max="13315" width="8.75" style="1" customWidth="1"/>
    <col min="13316" max="13316" width="1.5" style="1" customWidth="1"/>
    <col min="13317" max="13317" width="10" style="1" customWidth="1"/>
    <col min="13318" max="13318" width="6.125" style="1" customWidth="1"/>
    <col min="13319" max="13319" width="7.25" style="1" customWidth="1"/>
    <col min="13320" max="13320" width="8.5" style="1" customWidth="1"/>
    <col min="13321" max="13321" width="1.125" style="1" customWidth="1"/>
    <col min="13322" max="13568" width="10.125" style="1"/>
    <col min="13569" max="13569" width="3.125" style="1" customWidth="1"/>
    <col min="13570" max="13570" width="30.5" style="1" customWidth="1"/>
    <col min="13571" max="13571" width="8.75" style="1" customWidth="1"/>
    <col min="13572" max="13572" width="1.5" style="1" customWidth="1"/>
    <col min="13573" max="13573" width="10" style="1" customWidth="1"/>
    <col min="13574" max="13574" width="6.125" style="1" customWidth="1"/>
    <col min="13575" max="13575" width="7.25" style="1" customWidth="1"/>
    <col min="13576" max="13576" width="8.5" style="1" customWidth="1"/>
    <col min="13577" max="13577" width="1.125" style="1" customWidth="1"/>
    <col min="13578" max="13824" width="10.125" style="1"/>
    <col min="13825" max="13825" width="3.125" style="1" customWidth="1"/>
    <col min="13826" max="13826" width="30.5" style="1" customWidth="1"/>
    <col min="13827" max="13827" width="8.75" style="1" customWidth="1"/>
    <col min="13828" max="13828" width="1.5" style="1" customWidth="1"/>
    <col min="13829" max="13829" width="10" style="1" customWidth="1"/>
    <col min="13830" max="13830" width="6.125" style="1" customWidth="1"/>
    <col min="13831" max="13831" width="7.25" style="1" customWidth="1"/>
    <col min="13832" max="13832" width="8.5" style="1" customWidth="1"/>
    <col min="13833" max="13833" width="1.125" style="1" customWidth="1"/>
    <col min="13834" max="14080" width="10.125" style="1"/>
    <col min="14081" max="14081" width="3.125" style="1" customWidth="1"/>
    <col min="14082" max="14082" width="30.5" style="1" customWidth="1"/>
    <col min="14083" max="14083" width="8.75" style="1" customWidth="1"/>
    <col min="14084" max="14084" width="1.5" style="1" customWidth="1"/>
    <col min="14085" max="14085" width="10" style="1" customWidth="1"/>
    <col min="14086" max="14086" width="6.125" style="1" customWidth="1"/>
    <col min="14087" max="14087" width="7.25" style="1" customWidth="1"/>
    <col min="14088" max="14088" width="8.5" style="1" customWidth="1"/>
    <col min="14089" max="14089" width="1.125" style="1" customWidth="1"/>
    <col min="14090" max="14336" width="10.125" style="1"/>
    <col min="14337" max="14337" width="3.125" style="1" customWidth="1"/>
    <col min="14338" max="14338" width="30.5" style="1" customWidth="1"/>
    <col min="14339" max="14339" width="8.75" style="1" customWidth="1"/>
    <col min="14340" max="14340" width="1.5" style="1" customWidth="1"/>
    <col min="14341" max="14341" width="10" style="1" customWidth="1"/>
    <col min="14342" max="14342" width="6.125" style="1" customWidth="1"/>
    <col min="14343" max="14343" width="7.25" style="1" customWidth="1"/>
    <col min="14344" max="14344" width="8.5" style="1" customWidth="1"/>
    <col min="14345" max="14345" width="1.125" style="1" customWidth="1"/>
    <col min="14346" max="14592" width="10.125" style="1"/>
    <col min="14593" max="14593" width="3.125" style="1" customWidth="1"/>
    <col min="14594" max="14594" width="30.5" style="1" customWidth="1"/>
    <col min="14595" max="14595" width="8.75" style="1" customWidth="1"/>
    <col min="14596" max="14596" width="1.5" style="1" customWidth="1"/>
    <col min="14597" max="14597" width="10" style="1" customWidth="1"/>
    <col min="14598" max="14598" width="6.125" style="1" customWidth="1"/>
    <col min="14599" max="14599" width="7.25" style="1" customWidth="1"/>
    <col min="14600" max="14600" width="8.5" style="1" customWidth="1"/>
    <col min="14601" max="14601" width="1.125" style="1" customWidth="1"/>
    <col min="14602" max="14848" width="10.125" style="1"/>
    <col min="14849" max="14849" width="3.125" style="1" customWidth="1"/>
    <col min="14850" max="14850" width="30.5" style="1" customWidth="1"/>
    <col min="14851" max="14851" width="8.75" style="1" customWidth="1"/>
    <col min="14852" max="14852" width="1.5" style="1" customWidth="1"/>
    <col min="14853" max="14853" width="10" style="1" customWidth="1"/>
    <col min="14854" max="14854" width="6.125" style="1" customWidth="1"/>
    <col min="14855" max="14855" width="7.25" style="1" customWidth="1"/>
    <col min="14856" max="14856" width="8.5" style="1" customWidth="1"/>
    <col min="14857" max="14857" width="1.125" style="1" customWidth="1"/>
    <col min="14858" max="15104" width="10.125" style="1"/>
    <col min="15105" max="15105" width="3.125" style="1" customWidth="1"/>
    <col min="15106" max="15106" width="30.5" style="1" customWidth="1"/>
    <col min="15107" max="15107" width="8.75" style="1" customWidth="1"/>
    <col min="15108" max="15108" width="1.5" style="1" customWidth="1"/>
    <col min="15109" max="15109" width="10" style="1" customWidth="1"/>
    <col min="15110" max="15110" width="6.125" style="1" customWidth="1"/>
    <col min="15111" max="15111" width="7.25" style="1" customWidth="1"/>
    <col min="15112" max="15112" width="8.5" style="1" customWidth="1"/>
    <col min="15113" max="15113" width="1.125" style="1" customWidth="1"/>
    <col min="15114" max="15360" width="10.125" style="1"/>
    <col min="15361" max="15361" width="3.125" style="1" customWidth="1"/>
    <col min="15362" max="15362" width="30.5" style="1" customWidth="1"/>
    <col min="15363" max="15363" width="8.75" style="1" customWidth="1"/>
    <col min="15364" max="15364" width="1.5" style="1" customWidth="1"/>
    <col min="15365" max="15365" width="10" style="1" customWidth="1"/>
    <col min="15366" max="15366" width="6.125" style="1" customWidth="1"/>
    <col min="15367" max="15367" width="7.25" style="1" customWidth="1"/>
    <col min="15368" max="15368" width="8.5" style="1" customWidth="1"/>
    <col min="15369" max="15369" width="1.125" style="1" customWidth="1"/>
    <col min="15370" max="15616" width="10.125" style="1"/>
    <col min="15617" max="15617" width="3.125" style="1" customWidth="1"/>
    <col min="15618" max="15618" width="30.5" style="1" customWidth="1"/>
    <col min="15619" max="15619" width="8.75" style="1" customWidth="1"/>
    <col min="15620" max="15620" width="1.5" style="1" customWidth="1"/>
    <col min="15621" max="15621" width="10" style="1" customWidth="1"/>
    <col min="15622" max="15622" width="6.125" style="1" customWidth="1"/>
    <col min="15623" max="15623" width="7.25" style="1" customWidth="1"/>
    <col min="15624" max="15624" width="8.5" style="1" customWidth="1"/>
    <col min="15625" max="15625" width="1.125" style="1" customWidth="1"/>
    <col min="15626" max="15872" width="10.125" style="1"/>
    <col min="15873" max="15873" width="3.125" style="1" customWidth="1"/>
    <col min="15874" max="15874" width="30.5" style="1" customWidth="1"/>
    <col min="15875" max="15875" width="8.75" style="1" customWidth="1"/>
    <col min="15876" max="15876" width="1.5" style="1" customWidth="1"/>
    <col min="15877" max="15877" width="10" style="1" customWidth="1"/>
    <col min="15878" max="15878" width="6.125" style="1" customWidth="1"/>
    <col min="15879" max="15879" width="7.25" style="1" customWidth="1"/>
    <col min="15880" max="15880" width="8.5" style="1" customWidth="1"/>
    <col min="15881" max="15881" width="1.125" style="1" customWidth="1"/>
    <col min="15882" max="16128" width="10.125" style="1"/>
    <col min="16129" max="16129" width="3.125" style="1" customWidth="1"/>
    <col min="16130" max="16130" width="30.5" style="1" customWidth="1"/>
    <col min="16131" max="16131" width="8.75" style="1" customWidth="1"/>
    <col min="16132" max="16132" width="1.5" style="1" customWidth="1"/>
    <col min="16133" max="16133" width="10" style="1" customWidth="1"/>
    <col min="16134" max="16134" width="6.125" style="1" customWidth="1"/>
    <col min="16135" max="16135" width="7.25" style="1" customWidth="1"/>
    <col min="16136" max="16136" width="8.5" style="1" customWidth="1"/>
    <col min="16137" max="16137" width="1.125" style="1" customWidth="1"/>
    <col min="16138" max="16384" width="10.125" style="1"/>
  </cols>
  <sheetData>
    <row r="5" spans="1:20" x14ac:dyDescent="0.25">
      <c r="A5" s="4" t="s">
        <v>0</v>
      </c>
      <c r="B5" s="5"/>
      <c r="C5" s="5"/>
    </row>
    <row r="6" spans="1:20" ht="9" customHeight="1" x14ac:dyDescent="0.25">
      <c r="A6" s="4"/>
      <c r="B6" s="5"/>
      <c r="C6" s="5"/>
    </row>
    <row r="7" spans="1:20" s="7" customFormat="1" ht="15" x14ac:dyDescent="0.25">
      <c r="A7" s="7" t="s">
        <v>1</v>
      </c>
      <c r="B7" s="8"/>
      <c r="D7" s="9"/>
      <c r="E7" s="131" t="s">
        <v>2</v>
      </c>
      <c r="F7" s="132"/>
      <c r="G7" s="133">
        <v>45875</v>
      </c>
      <c r="H7" s="134"/>
    </row>
    <row r="8" spans="1:20" s="7" customFormat="1" ht="15" x14ac:dyDescent="0.25">
      <c r="A8" s="7" t="s">
        <v>53</v>
      </c>
      <c r="B8" s="8"/>
      <c r="D8" s="9"/>
      <c r="E8" s="135" t="s">
        <v>3</v>
      </c>
      <c r="F8" s="136"/>
      <c r="H8" s="11">
        <v>60431</v>
      </c>
    </row>
    <row r="9" spans="1:20" s="7" customFormat="1" ht="15" x14ac:dyDescent="0.25">
      <c r="A9" s="7" t="s">
        <v>54</v>
      </c>
      <c r="B9" s="8"/>
      <c r="D9" s="9"/>
      <c r="E9" s="135" t="s">
        <v>4</v>
      </c>
      <c r="F9" s="136"/>
      <c r="G9" s="137" t="s">
        <v>124</v>
      </c>
      <c r="H9" s="138"/>
    </row>
    <row r="10" spans="1:20" s="7" customFormat="1" ht="15" x14ac:dyDescent="0.25">
      <c r="B10" s="8"/>
      <c r="D10" s="9"/>
      <c r="E10" s="13" t="s">
        <v>5</v>
      </c>
      <c r="F10" s="14"/>
      <c r="G10" s="139" t="s">
        <v>32</v>
      </c>
      <c r="H10" s="140"/>
      <c r="L10" s="7">
        <v>34</v>
      </c>
      <c r="M10" s="7" t="s">
        <v>33</v>
      </c>
      <c r="N10" s="44"/>
      <c r="O10" s="45"/>
      <c r="P10" s="46"/>
      <c r="R10" s="47"/>
      <c r="S10" s="28"/>
    </row>
    <row r="11" spans="1:20" s="7" customFormat="1" ht="15" x14ac:dyDescent="0.25">
      <c r="A11" s="15" t="s">
        <v>55</v>
      </c>
      <c r="B11" s="8"/>
      <c r="D11" s="9"/>
      <c r="E11" s="10" t="s">
        <v>6</v>
      </c>
      <c r="F11" s="125" t="s">
        <v>7</v>
      </c>
      <c r="G11" s="125"/>
      <c r="H11" s="126"/>
      <c r="M11" s="7" t="s">
        <v>34</v>
      </c>
      <c r="O11" s="45"/>
    </row>
    <row r="12" spans="1:20" s="7" customFormat="1" ht="15" x14ac:dyDescent="0.25">
      <c r="A12" s="15"/>
      <c r="B12" s="8"/>
      <c r="D12" s="9"/>
      <c r="E12" s="13" t="s">
        <v>8</v>
      </c>
      <c r="F12" s="127" t="s">
        <v>9</v>
      </c>
      <c r="G12" s="127"/>
      <c r="H12" s="128"/>
      <c r="M12" s="48" t="s">
        <v>35</v>
      </c>
      <c r="P12" s="49">
        <v>50</v>
      </c>
      <c r="Q12" s="47" t="s">
        <v>36</v>
      </c>
      <c r="R12" s="50">
        <v>0.5</v>
      </c>
      <c r="S12" s="28">
        <f>+R12*P12</f>
        <v>25</v>
      </c>
    </row>
    <row r="13" spans="1:20" s="7" customFormat="1" ht="15" x14ac:dyDescent="0.25">
      <c r="A13" s="15"/>
      <c r="B13" s="8"/>
      <c r="D13" s="9"/>
      <c r="E13" s="17"/>
      <c r="F13" s="51"/>
      <c r="G13" s="51"/>
      <c r="H13" s="51"/>
      <c r="M13" s="7" t="s">
        <v>37</v>
      </c>
      <c r="P13" s="49"/>
      <c r="Q13" s="47"/>
      <c r="R13" s="50"/>
      <c r="S13" s="28"/>
    </row>
    <row r="14" spans="1:20" s="7" customFormat="1" ht="15" x14ac:dyDescent="0.25">
      <c r="A14" s="15"/>
      <c r="B14" s="8"/>
      <c r="D14" s="9"/>
      <c r="E14" s="17"/>
      <c r="F14" s="51"/>
      <c r="G14" s="51"/>
      <c r="H14" s="51"/>
    </row>
    <row r="15" spans="1:20" s="7" customFormat="1" ht="15" x14ac:dyDescent="0.25">
      <c r="A15" s="15"/>
      <c r="B15" s="8"/>
      <c r="D15" s="9"/>
      <c r="E15" s="17"/>
      <c r="F15" s="51"/>
      <c r="G15" s="51"/>
      <c r="H15" s="51"/>
      <c r="M15" s="52" t="s">
        <v>45</v>
      </c>
      <c r="N15" s="53" t="s">
        <v>46</v>
      </c>
      <c r="O15" s="44"/>
      <c r="P15" s="45"/>
      <c r="Q15" s="54">
        <v>18</v>
      </c>
      <c r="R15" s="28"/>
      <c r="S15" s="47">
        <v>2</v>
      </c>
      <c r="T15" s="28">
        <f>+S15*Q15</f>
        <v>36</v>
      </c>
    </row>
    <row r="16" spans="1:20" s="15" customFormat="1" ht="14.25" x14ac:dyDescent="0.2">
      <c r="A16" s="129" t="s">
        <v>10</v>
      </c>
      <c r="B16" s="129"/>
      <c r="C16" s="129"/>
      <c r="D16" s="129"/>
      <c r="E16" s="129"/>
      <c r="F16" s="129"/>
      <c r="G16" s="129"/>
      <c r="H16" s="129"/>
    </row>
    <row r="17" spans="1:8" s="15" customFormat="1" ht="14.25" x14ac:dyDescent="0.2">
      <c r="A17" s="19"/>
      <c r="B17" s="19"/>
      <c r="C17" s="19"/>
      <c r="D17" s="19"/>
      <c r="E17" s="19"/>
      <c r="F17" s="19"/>
      <c r="G17" s="19"/>
      <c r="H17" s="19"/>
    </row>
    <row r="18" spans="1:8" s="15" customFormat="1" ht="14.25" x14ac:dyDescent="0.2">
      <c r="A18" s="19"/>
      <c r="B18" s="19"/>
      <c r="C18" s="19"/>
      <c r="D18" s="19"/>
      <c r="E18" s="19"/>
      <c r="F18" s="19"/>
      <c r="G18" s="19"/>
      <c r="H18" s="19"/>
    </row>
    <row r="19" spans="1:8" s="7" customFormat="1" ht="15" x14ac:dyDescent="0.25">
      <c r="A19" s="7" t="s">
        <v>38</v>
      </c>
      <c r="B19" s="8"/>
      <c r="D19" s="9"/>
      <c r="E19" s="17"/>
      <c r="F19" s="9"/>
      <c r="G19" s="18"/>
    </row>
    <row r="20" spans="1:8" s="7" customFormat="1" ht="15" x14ac:dyDescent="0.25">
      <c r="A20" s="7" t="s">
        <v>39</v>
      </c>
      <c r="B20" s="8"/>
      <c r="D20" s="9"/>
      <c r="E20" s="17"/>
      <c r="F20" s="9"/>
      <c r="G20" s="18"/>
    </row>
    <row r="21" spans="1:8" s="7" customFormat="1" ht="9" customHeight="1" x14ac:dyDescent="0.25">
      <c r="D21" s="9"/>
      <c r="E21" s="17"/>
      <c r="F21" s="18"/>
    </row>
    <row r="22" spans="1:8" s="7" customFormat="1" ht="15" x14ac:dyDescent="0.25">
      <c r="A22" s="20" t="s">
        <v>13</v>
      </c>
      <c r="B22" s="21"/>
      <c r="C22" s="20"/>
      <c r="D22" s="9"/>
      <c r="E22" s="9" t="s">
        <v>40</v>
      </c>
      <c r="F22" s="17" t="s">
        <v>15</v>
      </c>
      <c r="G22" s="9" t="s">
        <v>41</v>
      </c>
      <c r="H22" s="17" t="s">
        <v>17</v>
      </c>
    </row>
    <row r="23" spans="1:8" s="7" customFormat="1" ht="15" x14ac:dyDescent="0.25">
      <c r="A23" s="23" t="s">
        <v>18</v>
      </c>
      <c r="B23" s="23"/>
      <c r="C23" s="22" t="s">
        <v>42</v>
      </c>
      <c r="D23" s="24"/>
      <c r="E23" s="24" t="s">
        <v>43</v>
      </c>
      <c r="F23" s="16"/>
      <c r="G23" s="24" t="s">
        <v>44</v>
      </c>
      <c r="H23" s="14"/>
    </row>
    <row r="24" spans="1:8" s="7" customFormat="1" ht="15" x14ac:dyDescent="0.25">
      <c r="A24" s="7">
        <v>34</v>
      </c>
      <c r="B24" s="7" t="s">
        <v>125</v>
      </c>
      <c r="D24" s="45"/>
      <c r="E24" s="26"/>
      <c r="F24" s="28"/>
      <c r="G24" s="47"/>
      <c r="H24" s="28"/>
    </row>
    <row r="25" spans="1:8" s="7" customFormat="1" ht="15" x14ac:dyDescent="0.25">
      <c r="A25" s="12" t="s">
        <v>45</v>
      </c>
      <c r="B25" s="53" t="s">
        <v>126</v>
      </c>
      <c r="C25" s="44"/>
      <c r="D25" s="45"/>
    </row>
    <row r="26" spans="1:8" x14ac:dyDescent="0.25">
      <c r="B26" s="108">
        <v>45658</v>
      </c>
      <c r="C26" s="44">
        <v>45681</v>
      </c>
      <c r="E26" s="54">
        <v>28</v>
      </c>
      <c r="F26" s="28"/>
      <c r="G26" s="47">
        <v>2</v>
      </c>
      <c r="H26" s="28">
        <f>+G26*E26</f>
        <v>56</v>
      </c>
    </row>
    <row r="27" spans="1:8" s="7" customFormat="1" x14ac:dyDescent="0.25">
      <c r="B27" s="108">
        <v>45689</v>
      </c>
      <c r="C27" s="44">
        <v>45712</v>
      </c>
      <c r="E27" s="54">
        <v>28</v>
      </c>
      <c r="F27" s="28"/>
      <c r="G27" s="47">
        <v>2</v>
      </c>
      <c r="H27" s="28">
        <f t="shared" ref="H27:H31" si="0">+G27*E27</f>
        <v>56</v>
      </c>
    </row>
    <row r="28" spans="1:8" s="7" customFormat="1" x14ac:dyDescent="0.25">
      <c r="B28" s="108">
        <v>45717</v>
      </c>
      <c r="C28" s="44">
        <v>45735</v>
      </c>
      <c r="D28" s="45"/>
      <c r="E28" s="54">
        <v>28</v>
      </c>
      <c r="F28" s="28"/>
      <c r="G28" s="47">
        <v>2</v>
      </c>
      <c r="H28" s="28">
        <f t="shared" si="0"/>
        <v>56</v>
      </c>
    </row>
    <row r="29" spans="1:8" s="7" customFormat="1" x14ac:dyDescent="0.25">
      <c r="A29" s="12"/>
      <c r="B29" s="108">
        <v>45748</v>
      </c>
      <c r="C29" s="44">
        <v>45770</v>
      </c>
      <c r="D29" s="45"/>
      <c r="E29" s="54">
        <v>28</v>
      </c>
      <c r="F29" s="28"/>
      <c r="G29" s="47">
        <v>2</v>
      </c>
      <c r="H29" s="28">
        <f t="shared" si="0"/>
        <v>56</v>
      </c>
    </row>
    <row r="30" spans="1:8" s="7" customFormat="1" x14ac:dyDescent="0.25">
      <c r="A30" s="12"/>
      <c r="B30" s="108">
        <v>45778</v>
      </c>
      <c r="C30" s="44">
        <v>45798</v>
      </c>
      <c r="D30" s="45"/>
      <c r="E30" s="54">
        <v>28</v>
      </c>
      <c r="F30" s="28"/>
      <c r="G30" s="47">
        <v>2</v>
      </c>
      <c r="H30" s="28">
        <f t="shared" si="0"/>
        <v>56</v>
      </c>
    </row>
    <row r="31" spans="1:8" s="7" customFormat="1" x14ac:dyDescent="0.25">
      <c r="B31" s="108">
        <v>45809</v>
      </c>
      <c r="C31" s="44">
        <v>45826</v>
      </c>
      <c r="D31" s="45"/>
      <c r="E31" s="54">
        <v>28</v>
      </c>
      <c r="F31" s="28"/>
      <c r="G31" s="47">
        <v>2</v>
      </c>
      <c r="H31" s="28">
        <f t="shared" si="0"/>
        <v>56</v>
      </c>
    </row>
    <row r="32" spans="1:8" s="7" customFormat="1" ht="15" x14ac:dyDescent="0.25">
      <c r="A32" s="12"/>
      <c r="B32" s="53"/>
      <c r="C32" s="44"/>
      <c r="D32" s="45"/>
      <c r="E32" s="54"/>
      <c r="F32" s="28"/>
      <c r="G32" s="47"/>
      <c r="H32" s="28"/>
    </row>
    <row r="33" spans="1:10" s="7" customFormat="1" ht="15" x14ac:dyDescent="0.25">
      <c r="A33" s="12"/>
      <c r="B33" s="53"/>
      <c r="C33" s="44"/>
      <c r="D33" s="45"/>
      <c r="E33" s="54"/>
      <c r="F33" s="28"/>
      <c r="G33" s="47"/>
      <c r="H33" s="28"/>
    </row>
    <row r="34" spans="1:10" s="7" customFormat="1" ht="9" customHeight="1" x14ac:dyDescent="0.25">
      <c r="A34" s="12"/>
      <c r="B34" s="53"/>
      <c r="C34" s="44"/>
      <c r="D34" s="45"/>
      <c r="E34" s="54"/>
      <c r="F34" s="28"/>
      <c r="G34" s="47"/>
      <c r="H34" s="28"/>
    </row>
    <row r="35" spans="1:10" s="7" customFormat="1" ht="15" x14ac:dyDescent="0.25">
      <c r="A35" s="7">
        <v>16</v>
      </c>
      <c r="B35" s="7" t="s">
        <v>23</v>
      </c>
      <c r="C35" s="56" t="s">
        <v>123</v>
      </c>
      <c r="E35" s="41">
        <f>SUM(H24:H34)</f>
        <v>336</v>
      </c>
      <c r="F35" s="26"/>
      <c r="G35" s="17">
        <f>+E35*0.2</f>
        <v>67.2</v>
      </c>
      <c r="H35" s="41">
        <f>+G35</f>
        <v>67.2</v>
      </c>
    </row>
    <row r="36" spans="1:10" s="7" customFormat="1" ht="15" x14ac:dyDescent="0.25">
      <c r="A36" s="23"/>
      <c r="B36" s="23" t="s">
        <v>24</v>
      </c>
      <c r="C36" s="23"/>
      <c r="D36" s="23"/>
      <c r="E36" s="24"/>
      <c r="F36" s="16"/>
      <c r="G36" s="57"/>
      <c r="H36" s="58"/>
    </row>
    <row r="37" spans="1:10" s="7" customFormat="1" ht="15.75" customHeight="1" x14ac:dyDescent="0.25">
      <c r="D37" s="9"/>
      <c r="E37" s="7" t="s">
        <v>25</v>
      </c>
      <c r="F37" s="9"/>
      <c r="G37" s="12"/>
      <c r="H37" s="41">
        <f>SUM(H24:H36)</f>
        <v>403.2</v>
      </c>
      <c r="J37" s="59"/>
    </row>
    <row r="38" spans="1:10" s="7" customFormat="1" ht="15.75" customHeight="1" x14ac:dyDescent="0.25">
      <c r="D38" s="9"/>
      <c r="E38" s="7" t="s">
        <v>26</v>
      </c>
      <c r="F38" s="9"/>
      <c r="H38" s="41">
        <f>+H37*0.19</f>
        <v>76.608000000000004</v>
      </c>
    </row>
    <row r="39" spans="1:10" s="7" customFormat="1" thickBot="1" x14ac:dyDescent="0.3">
      <c r="D39" s="9"/>
      <c r="E39" s="34" t="s">
        <v>27</v>
      </c>
      <c r="F39" s="35"/>
      <c r="G39" s="60"/>
      <c r="H39" s="61">
        <f>SUM(H37:H38)</f>
        <v>479.80799999999999</v>
      </c>
    </row>
    <row r="40" spans="1:10" s="7" customFormat="1" ht="7.5" customHeight="1" thickTop="1" x14ac:dyDescent="0.25">
      <c r="D40" s="9"/>
      <c r="E40" s="38"/>
      <c r="F40" s="17"/>
      <c r="G40" s="9"/>
      <c r="H40" s="41"/>
    </row>
    <row r="41" spans="1:10" s="7" customFormat="1" ht="15" x14ac:dyDescent="0.25">
      <c r="A41" s="7" t="s">
        <v>48</v>
      </c>
      <c r="B41" s="8"/>
      <c r="D41" s="9"/>
      <c r="E41" s="17"/>
      <c r="F41" s="18"/>
    </row>
    <row r="42" spans="1:10" s="7" customFormat="1" ht="15" x14ac:dyDescent="0.25">
      <c r="D42" s="9"/>
      <c r="E42" s="17"/>
      <c r="F42" s="18"/>
    </row>
    <row r="43" spans="1:10" s="7" customFormat="1" ht="15" x14ac:dyDescent="0.25">
      <c r="D43" s="9"/>
      <c r="E43" s="17"/>
      <c r="F43" s="18"/>
    </row>
    <row r="44" spans="1:10" ht="14.25" customHeight="1" x14ac:dyDescent="0.25"/>
    <row r="45" spans="1:10" x14ac:dyDescent="0.25">
      <c r="B45" s="23"/>
    </row>
    <row r="47" spans="1:10" x14ac:dyDescent="0.25">
      <c r="D47" s="1"/>
      <c r="E47" s="1"/>
      <c r="F47" s="1"/>
    </row>
    <row r="48" spans="1:10" x14ac:dyDescent="0.25">
      <c r="D48" s="1"/>
      <c r="E48" s="1"/>
      <c r="F48" s="1"/>
    </row>
    <row r="49" spans="1:8" x14ac:dyDescent="0.25">
      <c r="A49" s="142" t="s">
        <v>127</v>
      </c>
      <c r="B49" s="142"/>
      <c r="C49" s="142"/>
      <c r="D49" s="142"/>
      <c r="E49" s="142"/>
      <c r="F49" s="142"/>
      <c r="G49" s="142"/>
      <c r="H49" s="142"/>
    </row>
  </sheetData>
  <mergeCells count="10">
    <mergeCell ref="F11:H11"/>
    <mergeCell ref="F12:H12"/>
    <mergeCell ref="A16:H16"/>
    <mergeCell ref="A49:H49"/>
    <mergeCell ref="E7:F7"/>
    <mergeCell ref="G7:H7"/>
    <mergeCell ref="E8:F8"/>
    <mergeCell ref="E9:F9"/>
    <mergeCell ref="G9:H9"/>
    <mergeCell ref="G10:H10"/>
  </mergeCells>
  <pageMargins left="0.78740157480314965" right="0.78740157480314965" top="0.98425196850393704" bottom="0.98425196850393704" header="0.51181102362204722" footer="0.51181102362204722"/>
  <pageSetup paperSize="9" orientation="portrait" horizontalDpi="300" verticalDpi="300" r:id="rId1"/>
  <headerFooter alignWithMargins="0">
    <oddHeader>&amp;C&amp;"Times New Roman,Standard"&amp;16Hartmut Ahting
Steuerberater
Diplom-Wirtschaftsingenieur</oddHeader>
    <oddFooter>&amp;L&amp;"Times New Roman,Standard"Heerstrasse 50
60488 Frankfurt
&amp;C&amp;"Times New Roman,Standard"Deutsche Bank
BLZ 500 700 24
Konto 409 28 62&amp;R&amp;"Times New Roman,Standard"Tel:      069 / 788 031-71
Fax:     069 / 788 031-72
Mobil: 0174 / 326 99 58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97167-75AC-451B-B3BF-3C00A45482E1}">
  <dimension ref="A5:T52"/>
  <sheetViews>
    <sheetView topLeftCell="A16" workbookViewId="0">
      <selection activeCell="A52" sqref="A52:H52"/>
    </sheetView>
  </sheetViews>
  <sheetFormatPr baseColWidth="10" defaultColWidth="10.125" defaultRowHeight="15.75" x14ac:dyDescent="0.25"/>
  <cols>
    <col min="1" max="1" width="3.125" style="1" customWidth="1"/>
    <col min="2" max="2" width="30.5" style="1" customWidth="1"/>
    <col min="3" max="3" width="8.75" style="1" customWidth="1"/>
    <col min="4" max="4" width="1.5" style="2" customWidth="1"/>
    <col min="5" max="5" width="10" style="3" customWidth="1"/>
    <col min="6" max="6" width="6.125" style="6" customWidth="1"/>
    <col min="7" max="7" width="7.25" style="1" customWidth="1"/>
    <col min="8" max="8" width="8.5" style="1" customWidth="1"/>
    <col min="9" max="9" width="1.125" style="1" customWidth="1"/>
    <col min="10" max="256" width="10.125" style="1"/>
    <col min="257" max="257" width="3.125" style="1" customWidth="1"/>
    <col min="258" max="258" width="30.5" style="1" customWidth="1"/>
    <col min="259" max="259" width="8.75" style="1" customWidth="1"/>
    <col min="260" max="260" width="1.5" style="1" customWidth="1"/>
    <col min="261" max="261" width="10" style="1" customWidth="1"/>
    <col min="262" max="262" width="6.125" style="1" customWidth="1"/>
    <col min="263" max="263" width="7.25" style="1" customWidth="1"/>
    <col min="264" max="264" width="8.5" style="1" customWidth="1"/>
    <col min="265" max="265" width="1.125" style="1" customWidth="1"/>
    <col min="266" max="512" width="10.125" style="1"/>
    <col min="513" max="513" width="3.125" style="1" customWidth="1"/>
    <col min="514" max="514" width="30.5" style="1" customWidth="1"/>
    <col min="515" max="515" width="8.75" style="1" customWidth="1"/>
    <col min="516" max="516" width="1.5" style="1" customWidth="1"/>
    <col min="517" max="517" width="10" style="1" customWidth="1"/>
    <col min="518" max="518" width="6.125" style="1" customWidth="1"/>
    <col min="519" max="519" width="7.25" style="1" customWidth="1"/>
    <col min="520" max="520" width="8.5" style="1" customWidth="1"/>
    <col min="521" max="521" width="1.125" style="1" customWidth="1"/>
    <col min="522" max="768" width="10.125" style="1"/>
    <col min="769" max="769" width="3.125" style="1" customWidth="1"/>
    <col min="770" max="770" width="30.5" style="1" customWidth="1"/>
    <col min="771" max="771" width="8.75" style="1" customWidth="1"/>
    <col min="772" max="772" width="1.5" style="1" customWidth="1"/>
    <col min="773" max="773" width="10" style="1" customWidth="1"/>
    <col min="774" max="774" width="6.125" style="1" customWidth="1"/>
    <col min="775" max="775" width="7.25" style="1" customWidth="1"/>
    <col min="776" max="776" width="8.5" style="1" customWidth="1"/>
    <col min="777" max="777" width="1.125" style="1" customWidth="1"/>
    <col min="778" max="1024" width="10.125" style="1"/>
    <col min="1025" max="1025" width="3.125" style="1" customWidth="1"/>
    <col min="1026" max="1026" width="30.5" style="1" customWidth="1"/>
    <col min="1027" max="1027" width="8.75" style="1" customWidth="1"/>
    <col min="1028" max="1028" width="1.5" style="1" customWidth="1"/>
    <col min="1029" max="1029" width="10" style="1" customWidth="1"/>
    <col min="1030" max="1030" width="6.125" style="1" customWidth="1"/>
    <col min="1031" max="1031" width="7.25" style="1" customWidth="1"/>
    <col min="1032" max="1032" width="8.5" style="1" customWidth="1"/>
    <col min="1033" max="1033" width="1.125" style="1" customWidth="1"/>
    <col min="1034" max="1280" width="10.125" style="1"/>
    <col min="1281" max="1281" width="3.125" style="1" customWidth="1"/>
    <col min="1282" max="1282" width="30.5" style="1" customWidth="1"/>
    <col min="1283" max="1283" width="8.75" style="1" customWidth="1"/>
    <col min="1284" max="1284" width="1.5" style="1" customWidth="1"/>
    <col min="1285" max="1285" width="10" style="1" customWidth="1"/>
    <col min="1286" max="1286" width="6.125" style="1" customWidth="1"/>
    <col min="1287" max="1287" width="7.25" style="1" customWidth="1"/>
    <col min="1288" max="1288" width="8.5" style="1" customWidth="1"/>
    <col min="1289" max="1289" width="1.125" style="1" customWidth="1"/>
    <col min="1290" max="1536" width="10.125" style="1"/>
    <col min="1537" max="1537" width="3.125" style="1" customWidth="1"/>
    <col min="1538" max="1538" width="30.5" style="1" customWidth="1"/>
    <col min="1539" max="1539" width="8.75" style="1" customWidth="1"/>
    <col min="1540" max="1540" width="1.5" style="1" customWidth="1"/>
    <col min="1541" max="1541" width="10" style="1" customWidth="1"/>
    <col min="1542" max="1542" width="6.125" style="1" customWidth="1"/>
    <col min="1543" max="1543" width="7.25" style="1" customWidth="1"/>
    <col min="1544" max="1544" width="8.5" style="1" customWidth="1"/>
    <col min="1545" max="1545" width="1.125" style="1" customWidth="1"/>
    <col min="1546" max="1792" width="10.125" style="1"/>
    <col min="1793" max="1793" width="3.125" style="1" customWidth="1"/>
    <col min="1794" max="1794" width="30.5" style="1" customWidth="1"/>
    <col min="1795" max="1795" width="8.75" style="1" customWidth="1"/>
    <col min="1796" max="1796" width="1.5" style="1" customWidth="1"/>
    <col min="1797" max="1797" width="10" style="1" customWidth="1"/>
    <col min="1798" max="1798" width="6.125" style="1" customWidth="1"/>
    <col min="1799" max="1799" width="7.25" style="1" customWidth="1"/>
    <col min="1800" max="1800" width="8.5" style="1" customWidth="1"/>
    <col min="1801" max="1801" width="1.125" style="1" customWidth="1"/>
    <col min="1802" max="2048" width="10.125" style="1"/>
    <col min="2049" max="2049" width="3.125" style="1" customWidth="1"/>
    <col min="2050" max="2050" width="30.5" style="1" customWidth="1"/>
    <col min="2051" max="2051" width="8.75" style="1" customWidth="1"/>
    <col min="2052" max="2052" width="1.5" style="1" customWidth="1"/>
    <col min="2053" max="2053" width="10" style="1" customWidth="1"/>
    <col min="2054" max="2054" width="6.125" style="1" customWidth="1"/>
    <col min="2055" max="2055" width="7.25" style="1" customWidth="1"/>
    <col min="2056" max="2056" width="8.5" style="1" customWidth="1"/>
    <col min="2057" max="2057" width="1.125" style="1" customWidth="1"/>
    <col min="2058" max="2304" width="10.125" style="1"/>
    <col min="2305" max="2305" width="3.125" style="1" customWidth="1"/>
    <col min="2306" max="2306" width="30.5" style="1" customWidth="1"/>
    <col min="2307" max="2307" width="8.75" style="1" customWidth="1"/>
    <col min="2308" max="2308" width="1.5" style="1" customWidth="1"/>
    <col min="2309" max="2309" width="10" style="1" customWidth="1"/>
    <col min="2310" max="2310" width="6.125" style="1" customWidth="1"/>
    <col min="2311" max="2311" width="7.25" style="1" customWidth="1"/>
    <col min="2312" max="2312" width="8.5" style="1" customWidth="1"/>
    <col min="2313" max="2313" width="1.125" style="1" customWidth="1"/>
    <col min="2314" max="2560" width="10.125" style="1"/>
    <col min="2561" max="2561" width="3.125" style="1" customWidth="1"/>
    <col min="2562" max="2562" width="30.5" style="1" customWidth="1"/>
    <col min="2563" max="2563" width="8.75" style="1" customWidth="1"/>
    <col min="2564" max="2564" width="1.5" style="1" customWidth="1"/>
    <col min="2565" max="2565" width="10" style="1" customWidth="1"/>
    <col min="2566" max="2566" width="6.125" style="1" customWidth="1"/>
    <col min="2567" max="2567" width="7.25" style="1" customWidth="1"/>
    <col min="2568" max="2568" width="8.5" style="1" customWidth="1"/>
    <col min="2569" max="2569" width="1.125" style="1" customWidth="1"/>
    <col min="2570" max="2816" width="10.125" style="1"/>
    <col min="2817" max="2817" width="3.125" style="1" customWidth="1"/>
    <col min="2818" max="2818" width="30.5" style="1" customWidth="1"/>
    <col min="2819" max="2819" width="8.75" style="1" customWidth="1"/>
    <col min="2820" max="2820" width="1.5" style="1" customWidth="1"/>
    <col min="2821" max="2821" width="10" style="1" customWidth="1"/>
    <col min="2822" max="2822" width="6.125" style="1" customWidth="1"/>
    <col min="2823" max="2823" width="7.25" style="1" customWidth="1"/>
    <col min="2824" max="2824" width="8.5" style="1" customWidth="1"/>
    <col min="2825" max="2825" width="1.125" style="1" customWidth="1"/>
    <col min="2826" max="3072" width="10.125" style="1"/>
    <col min="3073" max="3073" width="3.125" style="1" customWidth="1"/>
    <col min="3074" max="3074" width="30.5" style="1" customWidth="1"/>
    <col min="3075" max="3075" width="8.75" style="1" customWidth="1"/>
    <col min="3076" max="3076" width="1.5" style="1" customWidth="1"/>
    <col min="3077" max="3077" width="10" style="1" customWidth="1"/>
    <col min="3078" max="3078" width="6.125" style="1" customWidth="1"/>
    <col min="3079" max="3079" width="7.25" style="1" customWidth="1"/>
    <col min="3080" max="3080" width="8.5" style="1" customWidth="1"/>
    <col min="3081" max="3081" width="1.125" style="1" customWidth="1"/>
    <col min="3082" max="3328" width="10.125" style="1"/>
    <col min="3329" max="3329" width="3.125" style="1" customWidth="1"/>
    <col min="3330" max="3330" width="30.5" style="1" customWidth="1"/>
    <col min="3331" max="3331" width="8.75" style="1" customWidth="1"/>
    <col min="3332" max="3332" width="1.5" style="1" customWidth="1"/>
    <col min="3333" max="3333" width="10" style="1" customWidth="1"/>
    <col min="3334" max="3334" width="6.125" style="1" customWidth="1"/>
    <col min="3335" max="3335" width="7.25" style="1" customWidth="1"/>
    <col min="3336" max="3336" width="8.5" style="1" customWidth="1"/>
    <col min="3337" max="3337" width="1.125" style="1" customWidth="1"/>
    <col min="3338" max="3584" width="10.125" style="1"/>
    <col min="3585" max="3585" width="3.125" style="1" customWidth="1"/>
    <col min="3586" max="3586" width="30.5" style="1" customWidth="1"/>
    <col min="3587" max="3587" width="8.75" style="1" customWidth="1"/>
    <col min="3588" max="3588" width="1.5" style="1" customWidth="1"/>
    <col min="3589" max="3589" width="10" style="1" customWidth="1"/>
    <col min="3590" max="3590" width="6.125" style="1" customWidth="1"/>
    <col min="3591" max="3591" width="7.25" style="1" customWidth="1"/>
    <col min="3592" max="3592" width="8.5" style="1" customWidth="1"/>
    <col min="3593" max="3593" width="1.125" style="1" customWidth="1"/>
    <col min="3594" max="3840" width="10.125" style="1"/>
    <col min="3841" max="3841" width="3.125" style="1" customWidth="1"/>
    <col min="3842" max="3842" width="30.5" style="1" customWidth="1"/>
    <col min="3843" max="3843" width="8.75" style="1" customWidth="1"/>
    <col min="3844" max="3844" width="1.5" style="1" customWidth="1"/>
    <col min="3845" max="3845" width="10" style="1" customWidth="1"/>
    <col min="3846" max="3846" width="6.125" style="1" customWidth="1"/>
    <col min="3847" max="3847" width="7.25" style="1" customWidth="1"/>
    <col min="3848" max="3848" width="8.5" style="1" customWidth="1"/>
    <col min="3849" max="3849" width="1.125" style="1" customWidth="1"/>
    <col min="3850" max="4096" width="10.125" style="1"/>
    <col min="4097" max="4097" width="3.125" style="1" customWidth="1"/>
    <col min="4098" max="4098" width="30.5" style="1" customWidth="1"/>
    <col min="4099" max="4099" width="8.75" style="1" customWidth="1"/>
    <col min="4100" max="4100" width="1.5" style="1" customWidth="1"/>
    <col min="4101" max="4101" width="10" style="1" customWidth="1"/>
    <col min="4102" max="4102" width="6.125" style="1" customWidth="1"/>
    <col min="4103" max="4103" width="7.25" style="1" customWidth="1"/>
    <col min="4104" max="4104" width="8.5" style="1" customWidth="1"/>
    <col min="4105" max="4105" width="1.125" style="1" customWidth="1"/>
    <col min="4106" max="4352" width="10.125" style="1"/>
    <col min="4353" max="4353" width="3.125" style="1" customWidth="1"/>
    <col min="4354" max="4354" width="30.5" style="1" customWidth="1"/>
    <col min="4355" max="4355" width="8.75" style="1" customWidth="1"/>
    <col min="4356" max="4356" width="1.5" style="1" customWidth="1"/>
    <col min="4357" max="4357" width="10" style="1" customWidth="1"/>
    <col min="4358" max="4358" width="6.125" style="1" customWidth="1"/>
    <col min="4359" max="4359" width="7.25" style="1" customWidth="1"/>
    <col min="4360" max="4360" width="8.5" style="1" customWidth="1"/>
    <col min="4361" max="4361" width="1.125" style="1" customWidth="1"/>
    <col min="4362" max="4608" width="10.125" style="1"/>
    <col min="4609" max="4609" width="3.125" style="1" customWidth="1"/>
    <col min="4610" max="4610" width="30.5" style="1" customWidth="1"/>
    <col min="4611" max="4611" width="8.75" style="1" customWidth="1"/>
    <col min="4612" max="4612" width="1.5" style="1" customWidth="1"/>
    <col min="4613" max="4613" width="10" style="1" customWidth="1"/>
    <col min="4614" max="4614" width="6.125" style="1" customWidth="1"/>
    <col min="4615" max="4615" width="7.25" style="1" customWidth="1"/>
    <col min="4616" max="4616" width="8.5" style="1" customWidth="1"/>
    <col min="4617" max="4617" width="1.125" style="1" customWidth="1"/>
    <col min="4618" max="4864" width="10.125" style="1"/>
    <col min="4865" max="4865" width="3.125" style="1" customWidth="1"/>
    <col min="4866" max="4866" width="30.5" style="1" customWidth="1"/>
    <col min="4867" max="4867" width="8.75" style="1" customWidth="1"/>
    <col min="4868" max="4868" width="1.5" style="1" customWidth="1"/>
    <col min="4869" max="4869" width="10" style="1" customWidth="1"/>
    <col min="4870" max="4870" width="6.125" style="1" customWidth="1"/>
    <col min="4871" max="4871" width="7.25" style="1" customWidth="1"/>
    <col min="4872" max="4872" width="8.5" style="1" customWidth="1"/>
    <col min="4873" max="4873" width="1.125" style="1" customWidth="1"/>
    <col min="4874" max="5120" width="10.125" style="1"/>
    <col min="5121" max="5121" width="3.125" style="1" customWidth="1"/>
    <col min="5122" max="5122" width="30.5" style="1" customWidth="1"/>
    <col min="5123" max="5123" width="8.75" style="1" customWidth="1"/>
    <col min="5124" max="5124" width="1.5" style="1" customWidth="1"/>
    <col min="5125" max="5125" width="10" style="1" customWidth="1"/>
    <col min="5126" max="5126" width="6.125" style="1" customWidth="1"/>
    <col min="5127" max="5127" width="7.25" style="1" customWidth="1"/>
    <col min="5128" max="5128" width="8.5" style="1" customWidth="1"/>
    <col min="5129" max="5129" width="1.125" style="1" customWidth="1"/>
    <col min="5130" max="5376" width="10.125" style="1"/>
    <col min="5377" max="5377" width="3.125" style="1" customWidth="1"/>
    <col min="5378" max="5378" width="30.5" style="1" customWidth="1"/>
    <col min="5379" max="5379" width="8.75" style="1" customWidth="1"/>
    <col min="5380" max="5380" width="1.5" style="1" customWidth="1"/>
    <col min="5381" max="5381" width="10" style="1" customWidth="1"/>
    <col min="5382" max="5382" width="6.125" style="1" customWidth="1"/>
    <col min="5383" max="5383" width="7.25" style="1" customWidth="1"/>
    <col min="5384" max="5384" width="8.5" style="1" customWidth="1"/>
    <col min="5385" max="5385" width="1.125" style="1" customWidth="1"/>
    <col min="5386" max="5632" width="10.125" style="1"/>
    <col min="5633" max="5633" width="3.125" style="1" customWidth="1"/>
    <col min="5634" max="5634" width="30.5" style="1" customWidth="1"/>
    <col min="5635" max="5635" width="8.75" style="1" customWidth="1"/>
    <col min="5636" max="5636" width="1.5" style="1" customWidth="1"/>
    <col min="5637" max="5637" width="10" style="1" customWidth="1"/>
    <col min="5638" max="5638" width="6.125" style="1" customWidth="1"/>
    <col min="5639" max="5639" width="7.25" style="1" customWidth="1"/>
    <col min="5640" max="5640" width="8.5" style="1" customWidth="1"/>
    <col min="5641" max="5641" width="1.125" style="1" customWidth="1"/>
    <col min="5642" max="5888" width="10.125" style="1"/>
    <col min="5889" max="5889" width="3.125" style="1" customWidth="1"/>
    <col min="5890" max="5890" width="30.5" style="1" customWidth="1"/>
    <col min="5891" max="5891" width="8.75" style="1" customWidth="1"/>
    <col min="5892" max="5892" width="1.5" style="1" customWidth="1"/>
    <col min="5893" max="5893" width="10" style="1" customWidth="1"/>
    <col min="5894" max="5894" width="6.125" style="1" customWidth="1"/>
    <col min="5895" max="5895" width="7.25" style="1" customWidth="1"/>
    <col min="5896" max="5896" width="8.5" style="1" customWidth="1"/>
    <col min="5897" max="5897" width="1.125" style="1" customWidth="1"/>
    <col min="5898" max="6144" width="10.125" style="1"/>
    <col min="6145" max="6145" width="3.125" style="1" customWidth="1"/>
    <col min="6146" max="6146" width="30.5" style="1" customWidth="1"/>
    <col min="6147" max="6147" width="8.75" style="1" customWidth="1"/>
    <col min="6148" max="6148" width="1.5" style="1" customWidth="1"/>
    <col min="6149" max="6149" width="10" style="1" customWidth="1"/>
    <col min="6150" max="6150" width="6.125" style="1" customWidth="1"/>
    <col min="6151" max="6151" width="7.25" style="1" customWidth="1"/>
    <col min="6152" max="6152" width="8.5" style="1" customWidth="1"/>
    <col min="6153" max="6153" width="1.125" style="1" customWidth="1"/>
    <col min="6154" max="6400" width="10.125" style="1"/>
    <col min="6401" max="6401" width="3.125" style="1" customWidth="1"/>
    <col min="6402" max="6402" width="30.5" style="1" customWidth="1"/>
    <col min="6403" max="6403" width="8.75" style="1" customWidth="1"/>
    <col min="6404" max="6404" width="1.5" style="1" customWidth="1"/>
    <col min="6405" max="6405" width="10" style="1" customWidth="1"/>
    <col min="6406" max="6406" width="6.125" style="1" customWidth="1"/>
    <col min="6407" max="6407" width="7.25" style="1" customWidth="1"/>
    <col min="6408" max="6408" width="8.5" style="1" customWidth="1"/>
    <col min="6409" max="6409" width="1.125" style="1" customWidth="1"/>
    <col min="6410" max="6656" width="10.125" style="1"/>
    <col min="6657" max="6657" width="3.125" style="1" customWidth="1"/>
    <col min="6658" max="6658" width="30.5" style="1" customWidth="1"/>
    <col min="6659" max="6659" width="8.75" style="1" customWidth="1"/>
    <col min="6660" max="6660" width="1.5" style="1" customWidth="1"/>
    <col min="6661" max="6661" width="10" style="1" customWidth="1"/>
    <col min="6662" max="6662" width="6.125" style="1" customWidth="1"/>
    <col min="6663" max="6663" width="7.25" style="1" customWidth="1"/>
    <col min="6664" max="6664" width="8.5" style="1" customWidth="1"/>
    <col min="6665" max="6665" width="1.125" style="1" customWidth="1"/>
    <col min="6666" max="6912" width="10.125" style="1"/>
    <col min="6913" max="6913" width="3.125" style="1" customWidth="1"/>
    <col min="6914" max="6914" width="30.5" style="1" customWidth="1"/>
    <col min="6915" max="6915" width="8.75" style="1" customWidth="1"/>
    <col min="6916" max="6916" width="1.5" style="1" customWidth="1"/>
    <col min="6917" max="6917" width="10" style="1" customWidth="1"/>
    <col min="6918" max="6918" width="6.125" style="1" customWidth="1"/>
    <col min="6919" max="6919" width="7.25" style="1" customWidth="1"/>
    <col min="6920" max="6920" width="8.5" style="1" customWidth="1"/>
    <col min="6921" max="6921" width="1.125" style="1" customWidth="1"/>
    <col min="6922" max="7168" width="10.125" style="1"/>
    <col min="7169" max="7169" width="3.125" style="1" customWidth="1"/>
    <col min="7170" max="7170" width="30.5" style="1" customWidth="1"/>
    <col min="7171" max="7171" width="8.75" style="1" customWidth="1"/>
    <col min="7172" max="7172" width="1.5" style="1" customWidth="1"/>
    <col min="7173" max="7173" width="10" style="1" customWidth="1"/>
    <col min="7174" max="7174" width="6.125" style="1" customWidth="1"/>
    <col min="7175" max="7175" width="7.25" style="1" customWidth="1"/>
    <col min="7176" max="7176" width="8.5" style="1" customWidth="1"/>
    <col min="7177" max="7177" width="1.125" style="1" customWidth="1"/>
    <col min="7178" max="7424" width="10.125" style="1"/>
    <col min="7425" max="7425" width="3.125" style="1" customWidth="1"/>
    <col min="7426" max="7426" width="30.5" style="1" customWidth="1"/>
    <col min="7427" max="7427" width="8.75" style="1" customWidth="1"/>
    <col min="7428" max="7428" width="1.5" style="1" customWidth="1"/>
    <col min="7429" max="7429" width="10" style="1" customWidth="1"/>
    <col min="7430" max="7430" width="6.125" style="1" customWidth="1"/>
    <col min="7431" max="7431" width="7.25" style="1" customWidth="1"/>
    <col min="7432" max="7432" width="8.5" style="1" customWidth="1"/>
    <col min="7433" max="7433" width="1.125" style="1" customWidth="1"/>
    <col min="7434" max="7680" width="10.125" style="1"/>
    <col min="7681" max="7681" width="3.125" style="1" customWidth="1"/>
    <col min="7682" max="7682" width="30.5" style="1" customWidth="1"/>
    <col min="7683" max="7683" width="8.75" style="1" customWidth="1"/>
    <col min="7684" max="7684" width="1.5" style="1" customWidth="1"/>
    <col min="7685" max="7685" width="10" style="1" customWidth="1"/>
    <col min="7686" max="7686" width="6.125" style="1" customWidth="1"/>
    <col min="7687" max="7687" width="7.25" style="1" customWidth="1"/>
    <col min="7688" max="7688" width="8.5" style="1" customWidth="1"/>
    <col min="7689" max="7689" width="1.125" style="1" customWidth="1"/>
    <col min="7690" max="7936" width="10.125" style="1"/>
    <col min="7937" max="7937" width="3.125" style="1" customWidth="1"/>
    <col min="7938" max="7938" width="30.5" style="1" customWidth="1"/>
    <col min="7939" max="7939" width="8.75" style="1" customWidth="1"/>
    <col min="7940" max="7940" width="1.5" style="1" customWidth="1"/>
    <col min="7941" max="7941" width="10" style="1" customWidth="1"/>
    <col min="7942" max="7942" width="6.125" style="1" customWidth="1"/>
    <col min="7943" max="7943" width="7.25" style="1" customWidth="1"/>
    <col min="7944" max="7944" width="8.5" style="1" customWidth="1"/>
    <col min="7945" max="7945" width="1.125" style="1" customWidth="1"/>
    <col min="7946" max="8192" width="10.125" style="1"/>
    <col min="8193" max="8193" width="3.125" style="1" customWidth="1"/>
    <col min="8194" max="8194" width="30.5" style="1" customWidth="1"/>
    <col min="8195" max="8195" width="8.75" style="1" customWidth="1"/>
    <col min="8196" max="8196" width="1.5" style="1" customWidth="1"/>
    <col min="8197" max="8197" width="10" style="1" customWidth="1"/>
    <col min="8198" max="8198" width="6.125" style="1" customWidth="1"/>
    <col min="8199" max="8199" width="7.25" style="1" customWidth="1"/>
    <col min="8200" max="8200" width="8.5" style="1" customWidth="1"/>
    <col min="8201" max="8201" width="1.125" style="1" customWidth="1"/>
    <col min="8202" max="8448" width="10.125" style="1"/>
    <col min="8449" max="8449" width="3.125" style="1" customWidth="1"/>
    <col min="8450" max="8450" width="30.5" style="1" customWidth="1"/>
    <col min="8451" max="8451" width="8.75" style="1" customWidth="1"/>
    <col min="8452" max="8452" width="1.5" style="1" customWidth="1"/>
    <col min="8453" max="8453" width="10" style="1" customWidth="1"/>
    <col min="8454" max="8454" width="6.125" style="1" customWidth="1"/>
    <col min="8455" max="8455" width="7.25" style="1" customWidth="1"/>
    <col min="8456" max="8456" width="8.5" style="1" customWidth="1"/>
    <col min="8457" max="8457" width="1.125" style="1" customWidth="1"/>
    <col min="8458" max="8704" width="10.125" style="1"/>
    <col min="8705" max="8705" width="3.125" style="1" customWidth="1"/>
    <col min="8706" max="8706" width="30.5" style="1" customWidth="1"/>
    <col min="8707" max="8707" width="8.75" style="1" customWidth="1"/>
    <col min="8708" max="8708" width="1.5" style="1" customWidth="1"/>
    <col min="8709" max="8709" width="10" style="1" customWidth="1"/>
    <col min="8710" max="8710" width="6.125" style="1" customWidth="1"/>
    <col min="8711" max="8711" width="7.25" style="1" customWidth="1"/>
    <col min="8712" max="8712" width="8.5" style="1" customWidth="1"/>
    <col min="8713" max="8713" width="1.125" style="1" customWidth="1"/>
    <col min="8714" max="8960" width="10.125" style="1"/>
    <col min="8961" max="8961" width="3.125" style="1" customWidth="1"/>
    <col min="8962" max="8962" width="30.5" style="1" customWidth="1"/>
    <col min="8963" max="8963" width="8.75" style="1" customWidth="1"/>
    <col min="8964" max="8964" width="1.5" style="1" customWidth="1"/>
    <col min="8965" max="8965" width="10" style="1" customWidth="1"/>
    <col min="8966" max="8966" width="6.125" style="1" customWidth="1"/>
    <col min="8967" max="8967" width="7.25" style="1" customWidth="1"/>
    <col min="8968" max="8968" width="8.5" style="1" customWidth="1"/>
    <col min="8969" max="8969" width="1.125" style="1" customWidth="1"/>
    <col min="8970" max="9216" width="10.125" style="1"/>
    <col min="9217" max="9217" width="3.125" style="1" customWidth="1"/>
    <col min="9218" max="9218" width="30.5" style="1" customWidth="1"/>
    <col min="9219" max="9219" width="8.75" style="1" customWidth="1"/>
    <col min="9220" max="9220" width="1.5" style="1" customWidth="1"/>
    <col min="9221" max="9221" width="10" style="1" customWidth="1"/>
    <col min="9222" max="9222" width="6.125" style="1" customWidth="1"/>
    <col min="9223" max="9223" width="7.25" style="1" customWidth="1"/>
    <col min="9224" max="9224" width="8.5" style="1" customWidth="1"/>
    <col min="9225" max="9225" width="1.125" style="1" customWidth="1"/>
    <col min="9226" max="9472" width="10.125" style="1"/>
    <col min="9473" max="9473" width="3.125" style="1" customWidth="1"/>
    <col min="9474" max="9474" width="30.5" style="1" customWidth="1"/>
    <col min="9475" max="9475" width="8.75" style="1" customWidth="1"/>
    <col min="9476" max="9476" width="1.5" style="1" customWidth="1"/>
    <col min="9477" max="9477" width="10" style="1" customWidth="1"/>
    <col min="9478" max="9478" width="6.125" style="1" customWidth="1"/>
    <col min="9479" max="9479" width="7.25" style="1" customWidth="1"/>
    <col min="9480" max="9480" width="8.5" style="1" customWidth="1"/>
    <col min="9481" max="9481" width="1.125" style="1" customWidth="1"/>
    <col min="9482" max="9728" width="10.125" style="1"/>
    <col min="9729" max="9729" width="3.125" style="1" customWidth="1"/>
    <col min="9730" max="9730" width="30.5" style="1" customWidth="1"/>
    <col min="9731" max="9731" width="8.75" style="1" customWidth="1"/>
    <col min="9732" max="9732" width="1.5" style="1" customWidth="1"/>
    <col min="9733" max="9733" width="10" style="1" customWidth="1"/>
    <col min="9734" max="9734" width="6.125" style="1" customWidth="1"/>
    <col min="9735" max="9735" width="7.25" style="1" customWidth="1"/>
    <col min="9736" max="9736" width="8.5" style="1" customWidth="1"/>
    <col min="9737" max="9737" width="1.125" style="1" customWidth="1"/>
    <col min="9738" max="9984" width="10.125" style="1"/>
    <col min="9985" max="9985" width="3.125" style="1" customWidth="1"/>
    <col min="9986" max="9986" width="30.5" style="1" customWidth="1"/>
    <col min="9987" max="9987" width="8.75" style="1" customWidth="1"/>
    <col min="9988" max="9988" width="1.5" style="1" customWidth="1"/>
    <col min="9989" max="9989" width="10" style="1" customWidth="1"/>
    <col min="9990" max="9990" width="6.125" style="1" customWidth="1"/>
    <col min="9991" max="9991" width="7.25" style="1" customWidth="1"/>
    <col min="9992" max="9992" width="8.5" style="1" customWidth="1"/>
    <col min="9993" max="9993" width="1.125" style="1" customWidth="1"/>
    <col min="9994" max="10240" width="10.125" style="1"/>
    <col min="10241" max="10241" width="3.125" style="1" customWidth="1"/>
    <col min="10242" max="10242" width="30.5" style="1" customWidth="1"/>
    <col min="10243" max="10243" width="8.75" style="1" customWidth="1"/>
    <col min="10244" max="10244" width="1.5" style="1" customWidth="1"/>
    <col min="10245" max="10245" width="10" style="1" customWidth="1"/>
    <col min="10246" max="10246" width="6.125" style="1" customWidth="1"/>
    <col min="10247" max="10247" width="7.25" style="1" customWidth="1"/>
    <col min="10248" max="10248" width="8.5" style="1" customWidth="1"/>
    <col min="10249" max="10249" width="1.125" style="1" customWidth="1"/>
    <col min="10250" max="10496" width="10.125" style="1"/>
    <col min="10497" max="10497" width="3.125" style="1" customWidth="1"/>
    <col min="10498" max="10498" width="30.5" style="1" customWidth="1"/>
    <col min="10499" max="10499" width="8.75" style="1" customWidth="1"/>
    <col min="10500" max="10500" width="1.5" style="1" customWidth="1"/>
    <col min="10501" max="10501" width="10" style="1" customWidth="1"/>
    <col min="10502" max="10502" width="6.125" style="1" customWidth="1"/>
    <col min="10503" max="10503" width="7.25" style="1" customWidth="1"/>
    <col min="10504" max="10504" width="8.5" style="1" customWidth="1"/>
    <col min="10505" max="10505" width="1.125" style="1" customWidth="1"/>
    <col min="10506" max="10752" width="10.125" style="1"/>
    <col min="10753" max="10753" width="3.125" style="1" customWidth="1"/>
    <col min="10754" max="10754" width="30.5" style="1" customWidth="1"/>
    <col min="10755" max="10755" width="8.75" style="1" customWidth="1"/>
    <col min="10756" max="10756" width="1.5" style="1" customWidth="1"/>
    <col min="10757" max="10757" width="10" style="1" customWidth="1"/>
    <col min="10758" max="10758" width="6.125" style="1" customWidth="1"/>
    <col min="10759" max="10759" width="7.25" style="1" customWidth="1"/>
    <col min="10760" max="10760" width="8.5" style="1" customWidth="1"/>
    <col min="10761" max="10761" width="1.125" style="1" customWidth="1"/>
    <col min="10762" max="11008" width="10.125" style="1"/>
    <col min="11009" max="11009" width="3.125" style="1" customWidth="1"/>
    <col min="11010" max="11010" width="30.5" style="1" customWidth="1"/>
    <col min="11011" max="11011" width="8.75" style="1" customWidth="1"/>
    <col min="11012" max="11012" width="1.5" style="1" customWidth="1"/>
    <col min="11013" max="11013" width="10" style="1" customWidth="1"/>
    <col min="11014" max="11014" width="6.125" style="1" customWidth="1"/>
    <col min="11015" max="11015" width="7.25" style="1" customWidth="1"/>
    <col min="11016" max="11016" width="8.5" style="1" customWidth="1"/>
    <col min="11017" max="11017" width="1.125" style="1" customWidth="1"/>
    <col min="11018" max="11264" width="10.125" style="1"/>
    <col min="11265" max="11265" width="3.125" style="1" customWidth="1"/>
    <col min="11266" max="11266" width="30.5" style="1" customWidth="1"/>
    <col min="11267" max="11267" width="8.75" style="1" customWidth="1"/>
    <col min="11268" max="11268" width="1.5" style="1" customWidth="1"/>
    <col min="11269" max="11269" width="10" style="1" customWidth="1"/>
    <col min="11270" max="11270" width="6.125" style="1" customWidth="1"/>
    <col min="11271" max="11271" width="7.25" style="1" customWidth="1"/>
    <col min="11272" max="11272" width="8.5" style="1" customWidth="1"/>
    <col min="11273" max="11273" width="1.125" style="1" customWidth="1"/>
    <col min="11274" max="11520" width="10.125" style="1"/>
    <col min="11521" max="11521" width="3.125" style="1" customWidth="1"/>
    <col min="11522" max="11522" width="30.5" style="1" customWidth="1"/>
    <col min="11523" max="11523" width="8.75" style="1" customWidth="1"/>
    <col min="11524" max="11524" width="1.5" style="1" customWidth="1"/>
    <col min="11525" max="11525" width="10" style="1" customWidth="1"/>
    <col min="11526" max="11526" width="6.125" style="1" customWidth="1"/>
    <col min="11527" max="11527" width="7.25" style="1" customWidth="1"/>
    <col min="11528" max="11528" width="8.5" style="1" customWidth="1"/>
    <col min="11529" max="11529" width="1.125" style="1" customWidth="1"/>
    <col min="11530" max="11776" width="10.125" style="1"/>
    <col min="11777" max="11777" width="3.125" style="1" customWidth="1"/>
    <col min="11778" max="11778" width="30.5" style="1" customWidth="1"/>
    <col min="11779" max="11779" width="8.75" style="1" customWidth="1"/>
    <col min="11780" max="11780" width="1.5" style="1" customWidth="1"/>
    <col min="11781" max="11781" width="10" style="1" customWidth="1"/>
    <col min="11782" max="11782" width="6.125" style="1" customWidth="1"/>
    <col min="11783" max="11783" width="7.25" style="1" customWidth="1"/>
    <col min="11784" max="11784" width="8.5" style="1" customWidth="1"/>
    <col min="11785" max="11785" width="1.125" style="1" customWidth="1"/>
    <col min="11786" max="12032" width="10.125" style="1"/>
    <col min="12033" max="12033" width="3.125" style="1" customWidth="1"/>
    <col min="12034" max="12034" width="30.5" style="1" customWidth="1"/>
    <col min="12035" max="12035" width="8.75" style="1" customWidth="1"/>
    <col min="12036" max="12036" width="1.5" style="1" customWidth="1"/>
    <col min="12037" max="12037" width="10" style="1" customWidth="1"/>
    <col min="12038" max="12038" width="6.125" style="1" customWidth="1"/>
    <col min="12039" max="12039" width="7.25" style="1" customWidth="1"/>
    <col min="12040" max="12040" width="8.5" style="1" customWidth="1"/>
    <col min="12041" max="12041" width="1.125" style="1" customWidth="1"/>
    <col min="12042" max="12288" width="10.125" style="1"/>
    <col min="12289" max="12289" width="3.125" style="1" customWidth="1"/>
    <col min="12290" max="12290" width="30.5" style="1" customWidth="1"/>
    <col min="12291" max="12291" width="8.75" style="1" customWidth="1"/>
    <col min="12292" max="12292" width="1.5" style="1" customWidth="1"/>
    <col min="12293" max="12293" width="10" style="1" customWidth="1"/>
    <col min="12294" max="12294" width="6.125" style="1" customWidth="1"/>
    <col min="12295" max="12295" width="7.25" style="1" customWidth="1"/>
    <col min="12296" max="12296" width="8.5" style="1" customWidth="1"/>
    <col min="12297" max="12297" width="1.125" style="1" customWidth="1"/>
    <col min="12298" max="12544" width="10.125" style="1"/>
    <col min="12545" max="12545" width="3.125" style="1" customWidth="1"/>
    <col min="12546" max="12546" width="30.5" style="1" customWidth="1"/>
    <col min="12547" max="12547" width="8.75" style="1" customWidth="1"/>
    <col min="12548" max="12548" width="1.5" style="1" customWidth="1"/>
    <col min="12549" max="12549" width="10" style="1" customWidth="1"/>
    <col min="12550" max="12550" width="6.125" style="1" customWidth="1"/>
    <col min="12551" max="12551" width="7.25" style="1" customWidth="1"/>
    <col min="12552" max="12552" width="8.5" style="1" customWidth="1"/>
    <col min="12553" max="12553" width="1.125" style="1" customWidth="1"/>
    <col min="12554" max="12800" width="10.125" style="1"/>
    <col min="12801" max="12801" width="3.125" style="1" customWidth="1"/>
    <col min="12802" max="12802" width="30.5" style="1" customWidth="1"/>
    <col min="12803" max="12803" width="8.75" style="1" customWidth="1"/>
    <col min="12804" max="12804" width="1.5" style="1" customWidth="1"/>
    <col min="12805" max="12805" width="10" style="1" customWidth="1"/>
    <col min="12806" max="12806" width="6.125" style="1" customWidth="1"/>
    <col min="12807" max="12807" width="7.25" style="1" customWidth="1"/>
    <col min="12808" max="12808" width="8.5" style="1" customWidth="1"/>
    <col min="12809" max="12809" width="1.125" style="1" customWidth="1"/>
    <col min="12810" max="13056" width="10.125" style="1"/>
    <col min="13057" max="13057" width="3.125" style="1" customWidth="1"/>
    <col min="13058" max="13058" width="30.5" style="1" customWidth="1"/>
    <col min="13059" max="13059" width="8.75" style="1" customWidth="1"/>
    <col min="13060" max="13060" width="1.5" style="1" customWidth="1"/>
    <col min="13061" max="13061" width="10" style="1" customWidth="1"/>
    <col min="13062" max="13062" width="6.125" style="1" customWidth="1"/>
    <col min="13063" max="13063" width="7.25" style="1" customWidth="1"/>
    <col min="13064" max="13064" width="8.5" style="1" customWidth="1"/>
    <col min="13065" max="13065" width="1.125" style="1" customWidth="1"/>
    <col min="13066" max="13312" width="10.125" style="1"/>
    <col min="13313" max="13313" width="3.125" style="1" customWidth="1"/>
    <col min="13314" max="13314" width="30.5" style="1" customWidth="1"/>
    <col min="13315" max="13315" width="8.75" style="1" customWidth="1"/>
    <col min="13316" max="13316" width="1.5" style="1" customWidth="1"/>
    <col min="13317" max="13317" width="10" style="1" customWidth="1"/>
    <col min="13318" max="13318" width="6.125" style="1" customWidth="1"/>
    <col min="13319" max="13319" width="7.25" style="1" customWidth="1"/>
    <col min="13320" max="13320" width="8.5" style="1" customWidth="1"/>
    <col min="13321" max="13321" width="1.125" style="1" customWidth="1"/>
    <col min="13322" max="13568" width="10.125" style="1"/>
    <col min="13569" max="13569" width="3.125" style="1" customWidth="1"/>
    <col min="13570" max="13570" width="30.5" style="1" customWidth="1"/>
    <col min="13571" max="13571" width="8.75" style="1" customWidth="1"/>
    <col min="13572" max="13572" width="1.5" style="1" customWidth="1"/>
    <col min="13573" max="13573" width="10" style="1" customWidth="1"/>
    <col min="13574" max="13574" width="6.125" style="1" customWidth="1"/>
    <col min="13575" max="13575" width="7.25" style="1" customWidth="1"/>
    <col min="13576" max="13576" width="8.5" style="1" customWidth="1"/>
    <col min="13577" max="13577" width="1.125" style="1" customWidth="1"/>
    <col min="13578" max="13824" width="10.125" style="1"/>
    <col min="13825" max="13825" width="3.125" style="1" customWidth="1"/>
    <col min="13826" max="13826" width="30.5" style="1" customWidth="1"/>
    <col min="13827" max="13827" width="8.75" style="1" customWidth="1"/>
    <col min="13828" max="13828" width="1.5" style="1" customWidth="1"/>
    <col min="13829" max="13829" width="10" style="1" customWidth="1"/>
    <col min="13830" max="13830" width="6.125" style="1" customWidth="1"/>
    <col min="13831" max="13831" width="7.25" style="1" customWidth="1"/>
    <col min="13832" max="13832" width="8.5" style="1" customWidth="1"/>
    <col min="13833" max="13833" width="1.125" style="1" customWidth="1"/>
    <col min="13834" max="14080" width="10.125" style="1"/>
    <col min="14081" max="14081" width="3.125" style="1" customWidth="1"/>
    <col min="14082" max="14082" width="30.5" style="1" customWidth="1"/>
    <col min="14083" max="14083" width="8.75" style="1" customWidth="1"/>
    <col min="14084" max="14084" width="1.5" style="1" customWidth="1"/>
    <col min="14085" max="14085" width="10" style="1" customWidth="1"/>
    <col min="14086" max="14086" width="6.125" style="1" customWidth="1"/>
    <col min="14087" max="14087" width="7.25" style="1" customWidth="1"/>
    <col min="14088" max="14088" width="8.5" style="1" customWidth="1"/>
    <col min="14089" max="14089" width="1.125" style="1" customWidth="1"/>
    <col min="14090" max="14336" width="10.125" style="1"/>
    <col min="14337" max="14337" width="3.125" style="1" customWidth="1"/>
    <col min="14338" max="14338" width="30.5" style="1" customWidth="1"/>
    <col min="14339" max="14339" width="8.75" style="1" customWidth="1"/>
    <col min="14340" max="14340" width="1.5" style="1" customWidth="1"/>
    <col min="14341" max="14341" width="10" style="1" customWidth="1"/>
    <col min="14342" max="14342" width="6.125" style="1" customWidth="1"/>
    <col min="14343" max="14343" width="7.25" style="1" customWidth="1"/>
    <col min="14344" max="14344" width="8.5" style="1" customWidth="1"/>
    <col min="14345" max="14345" width="1.125" style="1" customWidth="1"/>
    <col min="14346" max="14592" width="10.125" style="1"/>
    <col min="14593" max="14593" width="3.125" style="1" customWidth="1"/>
    <col min="14594" max="14594" width="30.5" style="1" customWidth="1"/>
    <col min="14595" max="14595" width="8.75" style="1" customWidth="1"/>
    <col min="14596" max="14596" width="1.5" style="1" customWidth="1"/>
    <col min="14597" max="14597" width="10" style="1" customWidth="1"/>
    <col min="14598" max="14598" width="6.125" style="1" customWidth="1"/>
    <col min="14599" max="14599" width="7.25" style="1" customWidth="1"/>
    <col min="14600" max="14600" width="8.5" style="1" customWidth="1"/>
    <col min="14601" max="14601" width="1.125" style="1" customWidth="1"/>
    <col min="14602" max="14848" width="10.125" style="1"/>
    <col min="14849" max="14849" width="3.125" style="1" customWidth="1"/>
    <col min="14850" max="14850" width="30.5" style="1" customWidth="1"/>
    <col min="14851" max="14851" width="8.75" style="1" customWidth="1"/>
    <col min="14852" max="14852" width="1.5" style="1" customWidth="1"/>
    <col min="14853" max="14853" width="10" style="1" customWidth="1"/>
    <col min="14854" max="14854" width="6.125" style="1" customWidth="1"/>
    <col min="14855" max="14855" width="7.25" style="1" customWidth="1"/>
    <col min="14856" max="14856" width="8.5" style="1" customWidth="1"/>
    <col min="14857" max="14857" width="1.125" style="1" customWidth="1"/>
    <col min="14858" max="15104" width="10.125" style="1"/>
    <col min="15105" max="15105" width="3.125" style="1" customWidth="1"/>
    <col min="15106" max="15106" width="30.5" style="1" customWidth="1"/>
    <col min="15107" max="15107" width="8.75" style="1" customWidth="1"/>
    <col min="15108" max="15108" width="1.5" style="1" customWidth="1"/>
    <col min="15109" max="15109" width="10" style="1" customWidth="1"/>
    <col min="15110" max="15110" width="6.125" style="1" customWidth="1"/>
    <col min="15111" max="15111" width="7.25" style="1" customWidth="1"/>
    <col min="15112" max="15112" width="8.5" style="1" customWidth="1"/>
    <col min="15113" max="15113" width="1.125" style="1" customWidth="1"/>
    <col min="15114" max="15360" width="10.125" style="1"/>
    <col min="15361" max="15361" width="3.125" style="1" customWidth="1"/>
    <col min="15362" max="15362" width="30.5" style="1" customWidth="1"/>
    <col min="15363" max="15363" width="8.75" style="1" customWidth="1"/>
    <col min="15364" max="15364" width="1.5" style="1" customWidth="1"/>
    <col min="15365" max="15365" width="10" style="1" customWidth="1"/>
    <col min="15366" max="15366" width="6.125" style="1" customWidth="1"/>
    <col min="15367" max="15367" width="7.25" style="1" customWidth="1"/>
    <col min="15368" max="15368" width="8.5" style="1" customWidth="1"/>
    <col min="15369" max="15369" width="1.125" style="1" customWidth="1"/>
    <col min="15370" max="15616" width="10.125" style="1"/>
    <col min="15617" max="15617" width="3.125" style="1" customWidth="1"/>
    <col min="15618" max="15618" width="30.5" style="1" customWidth="1"/>
    <col min="15619" max="15619" width="8.75" style="1" customWidth="1"/>
    <col min="15620" max="15620" width="1.5" style="1" customWidth="1"/>
    <col min="15621" max="15621" width="10" style="1" customWidth="1"/>
    <col min="15622" max="15622" width="6.125" style="1" customWidth="1"/>
    <col min="15623" max="15623" width="7.25" style="1" customWidth="1"/>
    <col min="15624" max="15624" width="8.5" style="1" customWidth="1"/>
    <col min="15625" max="15625" width="1.125" style="1" customWidth="1"/>
    <col min="15626" max="15872" width="10.125" style="1"/>
    <col min="15873" max="15873" width="3.125" style="1" customWidth="1"/>
    <col min="15874" max="15874" width="30.5" style="1" customWidth="1"/>
    <col min="15875" max="15875" width="8.75" style="1" customWidth="1"/>
    <col min="15876" max="15876" width="1.5" style="1" customWidth="1"/>
    <col min="15877" max="15877" width="10" style="1" customWidth="1"/>
    <col min="15878" max="15878" width="6.125" style="1" customWidth="1"/>
    <col min="15879" max="15879" width="7.25" style="1" customWidth="1"/>
    <col min="15880" max="15880" width="8.5" style="1" customWidth="1"/>
    <col min="15881" max="15881" width="1.125" style="1" customWidth="1"/>
    <col min="15882" max="16128" width="10.125" style="1"/>
    <col min="16129" max="16129" width="3.125" style="1" customWidth="1"/>
    <col min="16130" max="16130" width="30.5" style="1" customWidth="1"/>
    <col min="16131" max="16131" width="8.75" style="1" customWidth="1"/>
    <col min="16132" max="16132" width="1.5" style="1" customWidth="1"/>
    <col min="16133" max="16133" width="10" style="1" customWidth="1"/>
    <col min="16134" max="16134" width="6.125" style="1" customWidth="1"/>
    <col min="16135" max="16135" width="7.25" style="1" customWidth="1"/>
    <col min="16136" max="16136" width="8.5" style="1" customWidth="1"/>
    <col min="16137" max="16137" width="1.125" style="1" customWidth="1"/>
    <col min="16138" max="16384" width="10.125" style="1"/>
  </cols>
  <sheetData>
    <row r="5" spans="1:20" x14ac:dyDescent="0.25">
      <c r="A5" s="4" t="s">
        <v>0</v>
      </c>
      <c r="B5" s="5"/>
      <c r="C5" s="5"/>
    </row>
    <row r="6" spans="1:20" ht="9" customHeight="1" x14ac:dyDescent="0.25">
      <c r="A6" s="4"/>
      <c r="B6" s="5"/>
      <c r="C6" s="5"/>
    </row>
    <row r="7" spans="1:20" s="7" customFormat="1" ht="15" x14ac:dyDescent="0.25">
      <c r="A7" s="7" t="s">
        <v>1</v>
      </c>
      <c r="B7" s="8"/>
      <c r="D7" s="9"/>
      <c r="E7" s="131" t="s">
        <v>2</v>
      </c>
      <c r="F7" s="132"/>
      <c r="G7" s="133">
        <v>45712</v>
      </c>
      <c r="H7" s="134"/>
    </row>
    <row r="8" spans="1:20" s="7" customFormat="1" ht="15" x14ac:dyDescent="0.25">
      <c r="A8" s="7" t="s">
        <v>53</v>
      </c>
      <c r="B8" s="8"/>
      <c r="D8" s="9"/>
      <c r="E8" s="135" t="s">
        <v>3</v>
      </c>
      <c r="F8" s="136"/>
      <c r="H8" s="11">
        <v>60431</v>
      </c>
    </row>
    <row r="9" spans="1:20" s="7" customFormat="1" ht="15" x14ac:dyDescent="0.25">
      <c r="A9" s="7" t="s">
        <v>54</v>
      </c>
      <c r="B9" s="8"/>
      <c r="D9" s="9"/>
      <c r="E9" s="135" t="s">
        <v>4</v>
      </c>
      <c r="F9" s="136"/>
      <c r="G9" s="137" t="s">
        <v>115</v>
      </c>
      <c r="H9" s="138"/>
    </row>
    <row r="10" spans="1:20" s="7" customFormat="1" ht="15" x14ac:dyDescent="0.25">
      <c r="B10" s="8"/>
      <c r="D10" s="9"/>
      <c r="E10" s="13" t="s">
        <v>5</v>
      </c>
      <c r="F10" s="14"/>
      <c r="G10" s="139" t="s">
        <v>32</v>
      </c>
      <c r="H10" s="140"/>
      <c r="N10" s="44"/>
      <c r="O10" s="45"/>
      <c r="P10" s="46"/>
      <c r="R10" s="47"/>
      <c r="S10" s="28"/>
    </row>
    <row r="11" spans="1:20" s="7" customFormat="1" ht="15" x14ac:dyDescent="0.25">
      <c r="A11" s="15" t="s">
        <v>55</v>
      </c>
      <c r="B11" s="8"/>
      <c r="D11" s="9"/>
      <c r="E11" s="10" t="s">
        <v>6</v>
      </c>
      <c r="F11" s="125" t="s">
        <v>7</v>
      </c>
      <c r="G11" s="125"/>
      <c r="H11" s="126"/>
      <c r="O11" s="45"/>
    </row>
    <row r="12" spans="1:20" s="7" customFormat="1" ht="15" x14ac:dyDescent="0.25">
      <c r="A12" s="15"/>
      <c r="B12" s="8"/>
      <c r="D12" s="9"/>
      <c r="E12" s="13" t="s">
        <v>8</v>
      </c>
      <c r="F12" s="127" t="s">
        <v>9</v>
      </c>
      <c r="G12" s="127"/>
      <c r="H12" s="128"/>
      <c r="M12" s="48"/>
      <c r="P12" s="49"/>
      <c r="Q12" s="47"/>
      <c r="R12" s="50"/>
      <c r="S12" s="28"/>
    </row>
    <row r="13" spans="1:20" s="7" customFormat="1" ht="15" x14ac:dyDescent="0.25">
      <c r="A13" s="15"/>
      <c r="B13" s="8"/>
      <c r="D13" s="9"/>
      <c r="E13" s="17"/>
      <c r="F13" s="51"/>
      <c r="G13" s="51"/>
      <c r="H13" s="51"/>
      <c r="P13" s="49"/>
      <c r="Q13" s="47"/>
      <c r="R13" s="50"/>
      <c r="S13" s="28"/>
    </row>
    <row r="14" spans="1:20" s="7" customFormat="1" ht="15" x14ac:dyDescent="0.25">
      <c r="A14" s="15"/>
      <c r="B14" s="8"/>
      <c r="D14" s="9"/>
      <c r="E14" s="17"/>
      <c r="F14" s="51"/>
      <c r="G14" s="51"/>
      <c r="H14" s="51"/>
    </row>
    <row r="15" spans="1:20" s="7" customFormat="1" ht="15" x14ac:dyDescent="0.25">
      <c r="A15" s="15"/>
      <c r="B15" s="8"/>
      <c r="D15" s="9"/>
      <c r="E15" s="17"/>
      <c r="F15" s="51"/>
      <c r="G15" s="51"/>
      <c r="H15" s="51"/>
    </row>
    <row r="16" spans="1:20" s="7" customFormat="1" ht="15" x14ac:dyDescent="0.25">
      <c r="A16" s="15"/>
      <c r="B16" s="8"/>
      <c r="D16" s="9"/>
      <c r="E16" s="17"/>
      <c r="F16" s="51"/>
      <c r="G16" s="51"/>
      <c r="H16" s="51"/>
      <c r="M16" s="52"/>
      <c r="N16" s="53"/>
      <c r="O16" s="44"/>
      <c r="P16" s="45"/>
      <c r="Q16" s="54"/>
      <c r="R16" s="28"/>
      <c r="S16" s="47"/>
      <c r="T16" s="28"/>
    </row>
    <row r="17" spans="1:8" s="15" customFormat="1" ht="14.25" x14ac:dyDescent="0.2">
      <c r="A17" s="129" t="s">
        <v>10</v>
      </c>
      <c r="B17" s="129"/>
      <c r="C17" s="129"/>
      <c r="D17" s="129"/>
      <c r="E17" s="129"/>
      <c r="F17" s="129"/>
      <c r="G17" s="129"/>
      <c r="H17" s="129"/>
    </row>
    <row r="18" spans="1:8" s="15" customFormat="1" ht="14.25" x14ac:dyDescent="0.2">
      <c r="A18" s="19"/>
      <c r="B18" s="19"/>
      <c r="C18" s="19"/>
      <c r="D18" s="19"/>
      <c r="E18" s="19"/>
      <c r="F18" s="19"/>
      <c r="G18" s="19"/>
      <c r="H18" s="19"/>
    </row>
    <row r="19" spans="1:8" s="15" customFormat="1" ht="14.25" x14ac:dyDescent="0.2">
      <c r="A19" s="19"/>
      <c r="B19" s="19"/>
      <c r="C19" s="19"/>
      <c r="D19" s="19"/>
      <c r="E19" s="19"/>
      <c r="F19" s="19"/>
      <c r="G19" s="19"/>
      <c r="H19" s="19"/>
    </row>
    <row r="20" spans="1:8" s="7" customFormat="1" ht="15" x14ac:dyDescent="0.25">
      <c r="A20" s="7" t="s">
        <v>38</v>
      </c>
      <c r="B20" s="8"/>
      <c r="D20" s="9"/>
      <c r="E20" s="17"/>
      <c r="F20" s="9"/>
      <c r="G20" s="18"/>
    </row>
    <row r="21" spans="1:8" s="7" customFormat="1" ht="15" x14ac:dyDescent="0.25">
      <c r="A21" s="7" t="s">
        <v>39</v>
      </c>
      <c r="B21" s="8"/>
      <c r="D21" s="9"/>
      <c r="E21" s="17"/>
      <c r="F21" s="9"/>
      <c r="G21" s="18"/>
    </row>
    <row r="22" spans="1:8" s="7" customFormat="1" ht="9" customHeight="1" x14ac:dyDescent="0.25">
      <c r="D22" s="9"/>
      <c r="E22" s="17"/>
      <c r="F22" s="18"/>
    </row>
    <row r="23" spans="1:8" s="7" customFormat="1" ht="15" x14ac:dyDescent="0.25">
      <c r="A23" s="20" t="s">
        <v>13</v>
      </c>
      <c r="B23" s="21"/>
      <c r="C23" s="20"/>
      <c r="D23" s="9"/>
      <c r="E23" s="9" t="s">
        <v>40</v>
      </c>
      <c r="F23" s="17" t="s">
        <v>15</v>
      </c>
      <c r="G23" s="9" t="s">
        <v>41</v>
      </c>
      <c r="H23" s="17" t="s">
        <v>17</v>
      </c>
    </row>
    <row r="24" spans="1:8" s="7" customFormat="1" ht="15" x14ac:dyDescent="0.25">
      <c r="A24" s="23" t="s">
        <v>18</v>
      </c>
      <c r="B24" s="23"/>
      <c r="C24" s="22" t="s">
        <v>42</v>
      </c>
      <c r="D24" s="24"/>
      <c r="E24" s="24" t="s">
        <v>43</v>
      </c>
      <c r="F24" s="16"/>
      <c r="G24" s="24" t="s">
        <v>44</v>
      </c>
      <c r="H24" s="14"/>
    </row>
    <row r="25" spans="1:8" s="7" customFormat="1" ht="15" x14ac:dyDescent="0.25">
      <c r="A25" s="7">
        <v>34</v>
      </c>
      <c r="B25" s="7" t="s">
        <v>111</v>
      </c>
      <c r="C25" s="44">
        <v>45588</v>
      </c>
      <c r="D25" s="45"/>
      <c r="E25" s="26"/>
      <c r="F25" s="28"/>
      <c r="G25" s="47"/>
      <c r="H25" s="28"/>
    </row>
    <row r="26" spans="1:8" s="7" customFormat="1" ht="15" x14ac:dyDescent="0.25">
      <c r="A26" s="12" t="s">
        <v>45</v>
      </c>
      <c r="B26" s="53" t="s">
        <v>47</v>
      </c>
      <c r="C26" s="44"/>
      <c r="D26" s="45"/>
      <c r="E26" s="54">
        <v>28</v>
      </c>
      <c r="F26" s="28"/>
      <c r="G26" s="47">
        <v>2</v>
      </c>
      <c r="H26" s="28">
        <f>+G26*E26</f>
        <v>56</v>
      </c>
    </row>
    <row r="27" spans="1:8" s="7" customFormat="1" ht="5.25" customHeight="1" x14ac:dyDescent="0.25">
      <c r="B27" s="55"/>
      <c r="C27" s="44"/>
      <c r="E27" s="40"/>
      <c r="F27" s="26"/>
      <c r="G27" s="17"/>
      <c r="H27" s="41"/>
    </row>
    <row r="28" spans="1:8" s="7" customFormat="1" ht="15" x14ac:dyDescent="0.25">
      <c r="A28" s="7">
        <v>34</v>
      </c>
      <c r="B28" s="7" t="s">
        <v>112</v>
      </c>
      <c r="C28" s="44">
        <v>45618</v>
      </c>
      <c r="D28" s="45"/>
      <c r="E28" s="26"/>
      <c r="F28" s="28"/>
      <c r="G28" s="47"/>
      <c r="H28" s="28"/>
    </row>
    <row r="29" spans="1:8" s="7" customFormat="1" ht="15" x14ac:dyDescent="0.25">
      <c r="A29" s="12" t="s">
        <v>45</v>
      </c>
      <c r="B29" s="53" t="s">
        <v>47</v>
      </c>
      <c r="C29" s="44"/>
      <c r="D29" s="45"/>
      <c r="E29" s="54">
        <v>28</v>
      </c>
      <c r="F29" s="28"/>
      <c r="G29" s="47">
        <v>2</v>
      </c>
      <c r="H29" s="28">
        <f>+G29*E29</f>
        <v>56</v>
      </c>
    </row>
    <row r="30" spans="1:8" s="7" customFormat="1" ht="5.25" customHeight="1" x14ac:dyDescent="0.25">
      <c r="A30" s="12"/>
      <c r="B30" s="53"/>
      <c r="C30" s="44"/>
      <c r="D30" s="45"/>
      <c r="E30" s="54"/>
      <c r="F30" s="28"/>
      <c r="G30" s="47"/>
      <c r="H30" s="28"/>
    </row>
    <row r="31" spans="1:8" s="7" customFormat="1" ht="15" x14ac:dyDescent="0.25">
      <c r="A31" s="7">
        <v>34</v>
      </c>
      <c r="B31" s="7" t="s">
        <v>113</v>
      </c>
      <c r="C31" s="44">
        <v>45644</v>
      </c>
      <c r="D31" s="45"/>
      <c r="E31" s="26"/>
      <c r="F31" s="28"/>
      <c r="G31" s="47"/>
      <c r="H31" s="28"/>
    </row>
    <row r="32" spans="1:8" s="7" customFormat="1" ht="15" x14ac:dyDescent="0.25">
      <c r="A32" s="12" t="s">
        <v>45</v>
      </c>
      <c r="B32" s="53" t="s">
        <v>47</v>
      </c>
      <c r="C32" s="44"/>
      <c r="D32" s="45"/>
      <c r="E32" s="54">
        <v>28</v>
      </c>
      <c r="F32" s="28"/>
      <c r="G32" s="47">
        <v>2</v>
      </c>
      <c r="H32" s="28">
        <f>+G32*E32</f>
        <v>56</v>
      </c>
    </row>
    <row r="33" spans="1:10" s="7" customFormat="1" ht="5.25" customHeight="1" x14ac:dyDescent="0.25">
      <c r="A33" s="12"/>
      <c r="B33" s="53"/>
      <c r="C33" s="44"/>
      <c r="D33" s="45"/>
      <c r="E33" s="54"/>
      <c r="F33" s="28"/>
      <c r="G33" s="47"/>
      <c r="H33" s="28"/>
    </row>
    <row r="34" spans="1:10" s="7" customFormat="1" ht="15" x14ac:dyDescent="0.25">
      <c r="C34" s="44"/>
      <c r="D34" s="45"/>
      <c r="E34" s="26"/>
      <c r="F34" s="28"/>
      <c r="G34" s="47"/>
      <c r="H34" s="28"/>
    </row>
    <row r="35" spans="1:10" s="7" customFormat="1" ht="15" x14ac:dyDescent="0.25">
      <c r="A35" s="12"/>
      <c r="B35" s="53"/>
      <c r="C35" s="44"/>
      <c r="D35" s="45"/>
      <c r="E35" s="54"/>
      <c r="F35" s="28"/>
      <c r="G35" s="47"/>
      <c r="H35" s="28"/>
    </row>
    <row r="36" spans="1:10" s="7" customFormat="1" ht="5.25" customHeight="1" x14ac:dyDescent="0.25">
      <c r="A36" s="12"/>
      <c r="B36" s="53"/>
      <c r="C36" s="44"/>
      <c r="D36" s="45"/>
      <c r="E36" s="54"/>
      <c r="F36" s="28"/>
      <c r="G36" s="47"/>
      <c r="H36" s="28"/>
    </row>
    <row r="37" spans="1:10" s="7" customFormat="1" ht="5.25" customHeight="1" x14ac:dyDescent="0.25">
      <c r="A37" s="12"/>
      <c r="B37" s="53"/>
      <c r="C37" s="44"/>
      <c r="D37" s="45"/>
      <c r="E37" s="54"/>
      <c r="F37" s="28"/>
      <c r="G37" s="47"/>
      <c r="H37" s="28"/>
    </row>
    <row r="38" spans="1:10" s="7" customFormat="1" ht="15" x14ac:dyDescent="0.25">
      <c r="A38" s="7">
        <v>16</v>
      </c>
      <c r="B38" s="7" t="s">
        <v>23</v>
      </c>
      <c r="C38" s="56" t="s">
        <v>114</v>
      </c>
      <c r="E38" s="41">
        <f>SUM(H25:H37)</f>
        <v>168</v>
      </c>
      <c r="F38" s="26"/>
      <c r="G38" s="17">
        <f>+E38*0.2</f>
        <v>33.6</v>
      </c>
      <c r="H38" s="41">
        <f>+G38</f>
        <v>33.6</v>
      </c>
    </row>
    <row r="39" spans="1:10" s="7" customFormat="1" ht="15" x14ac:dyDescent="0.25">
      <c r="A39" s="23"/>
      <c r="B39" s="23" t="s">
        <v>24</v>
      </c>
      <c r="C39" s="23"/>
      <c r="D39" s="23"/>
      <c r="E39" s="24"/>
      <c r="F39" s="16"/>
      <c r="G39" s="57"/>
      <c r="H39" s="58"/>
    </row>
    <row r="40" spans="1:10" s="7" customFormat="1" ht="15.75" customHeight="1" x14ac:dyDescent="0.25">
      <c r="D40" s="9"/>
      <c r="E40" s="7" t="s">
        <v>25</v>
      </c>
      <c r="F40" s="9"/>
      <c r="G40" s="12"/>
      <c r="H40" s="41">
        <f>SUM(H25:H39)</f>
        <v>201.6</v>
      </c>
      <c r="J40" s="59"/>
    </row>
    <row r="41" spans="1:10" s="7" customFormat="1" ht="15.75" customHeight="1" x14ac:dyDescent="0.25">
      <c r="D41" s="9"/>
      <c r="E41" s="7" t="s">
        <v>26</v>
      </c>
      <c r="F41" s="9"/>
      <c r="H41" s="41">
        <f>+H40*0.19</f>
        <v>38.304000000000002</v>
      </c>
    </row>
    <row r="42" spans="1:10" s="7" customFormat="1" thickBot="1" x14ac:dyDescent="0.3">
      <c r="D42" s="9"/>
      <c r="E42" s="34" t="s">
        <v>27</v>
      </c>
      <c r="F42" s="35"/>
      <c r="G42" s="60"/>
      <c r="H42" s="61">
        <f>SUM(H40:H41)</f>
        <v>239.904</v>
      </c>
    </row>
    <row r="43" spans="1:10" s="7" customFormat="1" ht="7.5" customHeight="1" thickTop="1" x14ac:dyDescent="0.25">
      <c r="D43" s="9"/>
      <c r="E43" s="38"/>
      <c r="F43" s="17"/>
      <c r="G43" s="9"/>
      <c r="H43" s="41"/>
    </row>
    <row r="44" spans="1:10" s="7" customFormat="1" ht="15" x14ac:dyDescent="0.25">
      <c r="A44" s="7" t="s">
        <v>48</v>
      </c>
      <c r="B44" s="8"/>
      <c r="D44" s="9"/>
      <c r="E44" s="17"/>
      <c r="F44" s="18"/>
    </row>
    <row r="45" spans="1:10" s="7" customFormat="1" ht="15" x14ac:dyDescent="0.25">
      <c r="D45" s="9"/>
      <c r="E45" s="17"/>
      <c r="F45" s="18"/>
    </row>
    <row r="46" spans="1:10" s="7" customFormat="1" ht="15" x14ac:dyDescent="0.25">
      <c r="D46" s="9"/>
      <c r="E46" s="17"/>
      <c r="F46" s="18"/>
    </row>
    <row r="47" spans="1:10" ht="14.25" customHeight="1" x14ac:dyDescent="0.25"/>
    <row r="48" spans="1:10" x14ac:dyDescent="0.25">
      <c r="B48" s="23"/>
    </row>
    <row r="50" spans="1:8" x14ac:dyDescent="0.25">
      <c r="D50" s="1"/>
      <c r="E50" s="1"/>
      <c r="F50" s="1"/>
    </row>
    <row r="51" spans="1:8" x14ac:dyDescent="0.25">
      <c r="D51" s="1"/>
      <c r="E51" s="1"/>
      <c r="F51" s="1"/>
    </row>
    <row r="52" spans="1:8" x14ac:dyDescent="0.25">
      <c r="A52" s="142" t="s">
        <v>116</v>
      </c>
      <c r="B52" s="142"/>
      <c r="C52" s="142"/>
      <c r="D52" s="142"/>
      <c r="E52" s="142"/>
      <c r="F52" s="142"/>
      <c r="G52" s="142"/>
      <c r="H52" s="142"/>
    </row>
  </sheetData>
  <mergeCells count="10">
    <mergeCell ref="F11:H11"/>
    <mergeCell ref="F12:H12"/>
    <mergeCell ref="A17:H17"/>
    <mergeCell ref="A52:H52"/>
    <mergeCell ref="E7:F7"/>
    <mergeCell ref="G7:H7"/>
    <mergeCell ref="E8:F8"/>
    <mergeCell ref="E9:F9"/>
    <mergeCell ref="G9:H9"/>
    <mergeCell ref="G10:H10"/>
  </mergeCells>
  <pageMargins left="0.78740157480314965" right="0.78740157480314965" top="0.98425196850393704" bottom="0.98425196850393704" header="0.51181102362204722" footer="0.51181102362204722"/>
  <pageSetup paperSize="9" orientation="portrait" horizontalDpi="300" verticalDpi="300" r:id="rId1"/>
  <headerFooter alignWithMargins="0">
    <oddHeader>&amp;C&amp;"Times New Roman,Standard"&amp;16Hartmut Ahting
Steuerberater
Diplom-Wirtschaftsingenieur</oddHeader>
    <oddFooter>&amp;L&amp;"Times New Roman,Standard"Heerstrasse 50
60488 Frankfurt
&amp;C&amp;"Times New Roman,Standard"Deutsche Bank
BLZ 500 700 24
Konto 409 28 62&amp;R&amp;"Times New Roman,Standard"Tel:      069 / 788 031-71
Fax:     069 / 788 031-72
Mobil: 0174 / 326 99 58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4B568-BE84-4061-9A3F-4FD598FD34B7}">
  <dimension ref="A1:L49"/>
  <sheetViews>
    <sheetView topLeftCell="A10" workbookViewId="0">
      <selection activeCell="L26" sqref="L26"/>
    </sheetView>
  </sheetViews>
  <sheetFormatPr baseColWidth="10" defaultColWidth="10.125" defaultRowHeight="15.75" x14ac:dyDescent="0.25"/>
  <cols>
    <col min="1" max="1" width="3.125" style="1" customWidth="1"/>
    <col min="2" max="2" width="32.875" style="1" customWidth="1"/>
    <col min="3" max="3" width="5" style="1" customWidth="1"/>
    <col min="4" max="4" width="1.75" style="2" customWidth="1"/>
    <col min="5" max="5" width="10.375" style="3" customWidth="1"/>
    <col min="6" max="6" width="7" style="6" bestFit="1" customWidth="1"/>
    <col min="7" max="7" width="8.125" style="1" bestFit="1" customWidth="1"/>
    <col min="8" max="8" width="9.375" style="1" customWidth="1"/>
    <col min="9" max="9" width="4.375" style="1" customWidth="1"/>
    <col min="10" max="12" width="10.125" style="1" customWidth="1"/>
    <col min="13" max="13" width="72.75" style="1" customWidth="1"/>
    <col min="14" max="256" width="10.125" style="1"/>
    <col min="257" max="257" width="3.125" style="1" customWidth="1"/>
    <col min="258" max="258" width="30.875" style="1" customWidth="1"/>
    <col min="259" max="259" width="5.75" style="1" customWidth="1"/>
    <col min="260" max="260" width="1.75" style="1" customWidth="1"/>
    <col min="261" max="261" width="10" style="1" customWidth="1"/>
    <col min="262" max="262" width="7" style="1" bestFit="1" customWidth="1"/>
    <col min="263" max="263" width="8.125" style="1" bestFit="1" customWidth="1"/>
    <col min="264" max="264" width="9.375" style="1" customWidth="1"/>
    <col min="265" max="265" width="4.375" style="1" customWidth="1"/>
    <col min="266" max="268" width="10.125" style="1"/>
    <col min="269" max="269" width="72.75" style="1" customWidth="1"/>
    <col min="270" max="512" width="10.125" style="1"/>
    <col min="513" max="513" width="3.125" style="1" customWidth="1"/>
    <col min="514" max="514" width="30.875" style="1" customWidth="1"/>
    <col min="515" max="515" width="5.75" style="1" customWidth="1"/>
    <col min="516" max="516" width="1.75" style="1" customWidth="1"/>
    <col min="517" max="517" width="10" style="1" customWidth="1"/>
    <col min="518" max="518" width="7" style="1" bestFit="1" customWidth="1"/>
    <col min="519" max="519" width="8.125" style="1" bestFit="1" customWidth="1"/>
    <col min="520" max="520" width="9.375" style="1" customWidth="1"/>
    <col min="521" max="521" width="4.375" style="1" customWidth="1"/>
    <col min="522" max="524" width="10.125" style="1"/>
    <col min="525" max="525" width="72.75" style="1" customWidth="1"/>
    <col min="526" max="768" width="10.125" style="1"/>
    <col min="769" max="769" width="3.125" style="1" customWidth="1"/>
    <col min="770" max="770" width="30.875" style="1" customWidth="1"/>
    <col min="771" max="771" width="5.75" style="1" customWidth="1"/>
    <col min="772" max="772" width="1.75" style="1" customWidth="1"/>
    <col min="773" max="773" width="10" style="1" customWidth="1"/>
    <col min="774" max="774" width="7" style="1" bestFit="1" customWidth="1"/>
    <col min="775" max="775" width="8.125" style="1" bestFit="1" customWidth="1"/>
    <col min="776" max="776" width="9.375" style="1" customWidth="1"/>
    <col min="777" max="777" width="4.375" style="1" customWidth="1"/>
    <col min="778" max="780" width="10.125" style="1"/>
    <col min="781" max="781" width="72.75" style="1" customWidth="1"/>
    <col min="782" max="1024" width="10.125" style="1"/>
    <col min="1025" max="1025" width="3.125" style="1" customWidth="1"/>
    <col min="1026" max="1026" width="30.875" style="1" customWidth="1"/>
    <col min="1027" max="1027" width="5.75" style="1" customWidth="1"/>
    <col min="1028" max="1028" width="1.75" style="1" customWidth="1"/>
    <col min="1029" max="1029" width="10" style="1" customWidth="1"/>
    <col min="1030" max="1030" width="7" style="1" bestFit="1" customWidth="1"/>
    <col min="1031" max="1031" width="8.125" style="1" bestFit="1" customWidth="1"/>
    <col min="1032" max="1032" width="9.375" style="1" customWidth="1"/>
    <col min="1033" max="1033" width="4.375" style="1" customWidth="1"/>
    <col min="1034" max="1036" width="10.125" style="1"/>
    <col min="1037" max="1037" width="72.75" style="1" customWidth="1"/>
    <col min="1038" max="1280" width="10.125" style="1"/>
    <col min="1281" max="1281" width="3.125" style="1" customWidth="1"/>
    <col min="1282" max="1282" width="30.875" style="1" customWidth="1"/>
    <col min="1283" max="1283" width="5.75" style="1" customWidth="1"/>
    <col min="1284" max="1284" width="1.75" style="1" customWidth="1"/>
    <col min="1285" max="1285" width="10" style="1" customWidth="1"/>
    <col min="1286" max="1286" width="7" style="1" bestFit="1" customWidth="1"/>
    <col min="1287" max="1287" width="8.125" style="1" bestFit="1" customWidth="1"/>
    <col min="1288" max="1288" width="9.375" style="1" customWidth="1"/>
    <col min="1289" max="1289" width="4.375" style="1" customWidth="1"/>
    <col min="1290" max="1292" width="10.125" style="1"/>
    <col min="1293" max="1293" width="72.75" style="1" customWidth="1"/>
    <col min="1294" max="1536" width="10.125" style="1"/>
    <col min="1537" max="1537" width="3.125" style="1" customWidth="1"/>
    <col min="1538" max="1538" width="30.875" style="1" customWidth="1"/>
    <col min="1539" max="1539" width="5.75" style="1" customWidth="1"/>
    <col min="1540" max="1540" width="1.75" style="1" customWidth="1"/>
    <col min="1541" max="1541" width="10" style="1" customWidth="1"/>
    <col min="1542" max="1542" width="7" style="1" bestFit="1" customWidth="1"/>
    <col min="1543" max="1543" width="8.125" style="1" bestFit="1" customWidth="1"/>
    <col min="1544" max="1544" width="9.375" style="1" customWidth="1"/>
    <col min="1545" max="1545" width="4.375" style="1" customWidth="1"/>
    <col min="1546" max="1548" width="10.125" style="1"/>
    <col min="1549" max="1549" width="72.75" style="1" customWidth="1"/>
    <col min="1550" max="1792" width="10.125" style="1"/>
    <col min="1793" max="1793" width="3.125" style="1" customWidth="1"/>
    <col min="1794" max="1794" width="30.875" style="1" customWidth="1"/>
    <col min="1795" max="1795" width="5.75" style="1" customWidth="1"/>
    <col min="1796" max="1796" width="1.75" style="1" customWidth="1"/>
    <col min="1797" max="1797" width="10" style="1" customWidth="1"/>
    <col min="1798" max="1798" width="7" style="1" bestFit="1" customWidth="1"/>
    <col min="1799" max="1799" width="8.125" style="1" bestFit="1" customWidth="1"/>
    <col min="1800" max="1800" width="9.375" style="1" customWidth="1"/>
    <col min="1801" max="1801" width="4.375" style="1" customWidth="1"/>
    <col min="1802" max="1804" width="10.125" style="1"/>
    <col min="1805" max="1805" width="72.75" style="1" customWidth="1"/>
    <col min="1806" max="2048" width="10.125" style="1"/>
    <col min="2049" max="2049" width="3.125" style="1" customWidth="1"/>
    <col min="2050" max="2050" width="30.875" style="1" customWidth="1"/>
    <col min="2051" max="2051" width="5.75" style="1" customWidth="1"/>
    <col min="2052" max="2052" width="1.75" style="1" customWidth="1"/>
    <col min="2053" max="2053" width="10" style="1" customWidth="1"/>
    <col min="2054" max="2054" width="7" style="1" bestFit="1" customWidth="1"/>
    <col min="2055" max="2055" width="8.125" style="1" bestFit="1" customWidth="1"/>
    <col min="2056" max="2056" width="9.375" style="1" customWidth="1"/>
    <col min="2057" max="2057" width="4.375" style="1" customWidth="1"/>
    <col min="2058" max="2060" width="10.125" style="1"/>
    <col min="2061" max="2061" width="72.75" style="1" customWidth="1"/>
    <col min="2062" max="2304" width="10.125" style="1"/>
    <col min="2305" max="2305" width="3.125" style="1" customWidth="1"/>
    <col min="2306" max="2306" width="30.875" style="1" customWidth="1"/>
    <col min="2307" max="2307" width="5.75" style="1" customWidth="1"/>
    <col min="2308" max="2308" width="1.75" style="1" customWidth="1"/>
    <col min="2309" max="2309" width="10" style="1" customWidth="1"/>
    <col min="2310" max="2310" width="7" style="1" bestFit="1" customWidth="1"/>
    <col min="2311" max="2311" width="8.125" style="1" bestFit="1" customWidth="1"/>
    <col min="2312" max="2312" width="9.375" style="1" customWidth="1"/>
    <col min="2313" max="2313" width="4.375" style="1" customWidth="1"/>
    <col min="2314" max="2316" width="10.125" style="1"/>
    <col min="2317" max="2317" width="72.75" style="1" customWidth="1"/>
    <col min="2318" max="2560" width="10.125" style="1"/>
    <col min="2561" max="2561" width="3.125" style="1" customWidth="1"/>
    <col min="2562" max="2562" width="30.875" style="1" customWidth="1"/>
    <col min="2563" max="2563" width="5.75" style="1" customWidth="1"/>
    <col min="2564" max="2564" width="1.75" style="1" customWidth="1"/>
    <col min="2565" max="2565" width="10" style="1" customWidth="1"/>
    <col min="2566" max="2566" width="7" style="1" bestFit="1" customWidth="1"/>
    <col min="2567" max="2567" width="8.125" style="1" bestFit="1" customWidth="1"/>
    <col min="2568" max="2568" width="9.375" style="1" customWidth="1"/>
    <col min="2569" max="2569" width="4.375" style="1" customWidth="1"/>
    <col min="2570" max="2572" width="10.125" style="1"/>
    <col min="2573" max="2573" width="72.75" style="1" customWidth="1"/>
    <col min="2574" max="2816" width="10.125" style="1"/>
    <col min="2817" max="2817" width="3.125" style="1" customWidth="1"/>
    <col min="2818" max="2818" width="30.875" style="1" customWidth="1"/>
    <col min="2819" max="2819" width="5.75" style="1" customWidth="1"/>
    <col min="2820" max="2820" width="1.75" style="1" customWidth="1"/>
    <col min="2821" max="2821" width="10" style="1" customWidth="1"/>
    <col min="2822" max="2822" width="7" style="1" bestFit="1" customWidth="1"/>
    <col min="2823" max="2823" width="8.125" style="1" bestFit="1" customWidth="1"/>
    <col min="2824" max="2824" width="9.375" style="1" customWidth="1"/>
    <col min="2825" max="2825" width="4.375" style="1" customWidth="1"/>
    <col min="2826" max="2828" width="10.125" style="1"/>
    <col min="2829" max="2829" width="72.75" style="1" customWidth="1"/>
    <col min="2830" max="3072" width="10.125" style="1"/>
    <col min="3073" max="3073" width="3.125" style="1" customWidth="1"/>
    <col min="3074" max="3074" width="30.875" style="1" customWidth="1"/>
    <col min="3075" max="3075" width="5.75" style="1" customWidth="1"/>
    <col min="3076" max="3076" width="1.75" style="1" customWidth="1"/>
    <col min="3077" max="3077" width="10" style="1" customWidth="1"/>
    <col min="3078" max="3078" width="7" style="1" bestFit="1" customWidth="1"/>
    <col min="3079" max="3079" width="8.125" style="1" bestFit="1" customWidth="1"/>
    <col min="3080" max="3080" width="9.375" style="1" customWidth="1"/>
    <col min="3081" max="3081" width="4.375" style="1" customWidth="1"/>
    <col min="3082" max="3084" width="10.125" style="1"/>
    <col min="3085" max="3085" width="72.75" style="1" customWidth="1"/>
    <col min="3086" max="3328" width="10.125" style="1"/>
    <col min="3329" max="3329" width="3.125" style="1" customWidth="1"/>
    <col min="3330" max="3330" width="30.875" style="1" customWidth="1"/>
    <col min="3331" max="3331" width="5.75" style="1" customWidth="1"/>
    <col min="3332" max="3332" width="1.75" style="1" customWidth="1"/>
    <col min="3333" max="3333" width="10" style="1" customWidth="1"/>
    <col min="3334" max="3334" width="7" style="1" bestFit="1" customWidth="1"/>
    <col min="3335" max="3335" width="8.125" style="1" bestFit="1" customWidth="1"/>
    <col min="3336" max="3336" width="9.375" style="1" customWidth="1"/>
    <col min="3337" max="3337" width="4.375" style="1" customWidth="1"/>
    <col min="3338" max="3340" width="10.125" style="1"/>
    <col min="3341" max="3341" width="72.75" style="1" customWidth="1"/>
    <col min="3342" max="3584" width="10.125" style="1"/>
    <col min="3585" max="3585" width="3.125" style="1" customWidth="1"/>
    <col min="3586" max="3586" width="30.875" style="1" customWidth="1"/>
    <col min="3587" max="3587" width="5.75" style="1" customWidth="1"/>
    <col min="3588" max="3588" width="1.75" style="1" customWidth="1"/>
    <col min="3589" max="3589" width="10" style="1" customWidth="1"/>
    <col min="3590" max="3590" width="7" style="1" bestFit="1" customWidth="1"/>
    <col min="3591" max="3591" width="8.125" style="1" bestFit="1" customWidth="1"/>
    <col min="3592" max="3592" width="9.375" style="1" customWidth="1"/>
    <col min="3593" max="3593" width="4.375" style="1" customWidth="1"/>
    <col min="3594" max="3596" width="10.125" style="1"/>
    <col min="3597" max="3597" width="72.75" style="1" customWidth="1"/>
    <col min="3598" max="3840" width="10.125" style="1"/>
    <col min="3841" max="3841" width="3.125" style="1" customWidth="1"/>
    <col min="3842" max="3842" width="30.875" style="1" customWidth="1"/>
    <col min="3843" max="3843" width="5.75" style="1" customWidth="1"/>
    <col min="3844" max="3844" width="1.75" style="1" customWidth="1"/>
    <col min="3845" max="3845" width="10" style="1" customWidth="1"/>
    <col min="3846" max="3846" width="7" style="1" bestFit="1" customWidth="1"/>
    <col min="3847" max="3847" width="8.125" style="1" bestFit="1" customWidth="1"/>
    <col min="3848" max="3848" width="9.375" style="1" customWidth="1"/>
    <col min="3849" max="3849" width="4.375" style="1" customWidth="1"/>
    <col min="3850" max="3852" width="10.125" style="1"/>
    <col min="3853" max="3853" width="72.75" style="1" customWidth="1"/>
    <col min="3854" max="4096" width="10.125" style="1"/>
    <col min="4097" max="4097" width="3.125" style="1" customWidth="1"/>
    <col min="4098" max="4098" width="30.875" style="1" customWidth="1"/>
    <col min="4099" max="4099" width="5.75" style="1" customWidth="1"/>
    <col min="4100" max="4100" width="1.75" style="1" customWidth="1"/>
    <col min="4101" max="4101" width="10" style="1" customWidth="1"/>
    <col min="4102" max="4102" width="7" style="1" bestFit="1" customWidth="1"/>
    <col min="4103" max="4103" width="8.125" style="1" bestFit="1" customWidth="1"/>
    <col min="4104" max="4104" width="9.375" style="1" customWidth="1"/>
    <col min="4105" max="4105" width="4.375" style="1" customWidth="1"/>
    <col min="4106" max="4108" width="10.125" style="1"/>
    <col min="4109" max="4109" width="72.75" style="1" customWidth="1"/>
    <col min="4110" max="4352" width="10.125" style="1"/>
    <col min="4353" max="4353" width="3.125" style="1" customWidth="1"/>
    <col min="4354" max="4354" width="30.875" style="1" customWidth="1"/>
    <col min="4355" max="4355" width="5.75" style="1" customWidth="1"/>
    <col min="4356" max="4356" width="1.75" style="1" customWidth="1"/>
    <col min="4357" max="4357" width="10" style="1" customWidth="1"/>
    <col min="4358" max="4358" width="7" style="1" bestFit="1" customWidth="1"/>
    <col min="4359" max="4359" width="8.125" style="1" bestFit="1" customWidth="1"/>
    <col min="4360" max="4360" width="9.375" style="1" customWidth="1"/>
    <col min="4361" max="4361" width="4.375" style="1" customWidth="1"/>
    <col min="4362" max="4364" width="10.125" style="1"/>
    <col min="4365" max="4365" width="72.75" style="1" customWidth="1"/>
    <col min="4366" max="4608" width="10.125" style="1"/>
    <col min="4609" max="4609" width="3.125" style="1" customWidth="1"/>
    <col min="4610" max="4610" width="30.875" style="1" customWidth="1"/>
    <col min="4611" max="4611" width="5.75" style="1" customWidth="1"/>
    <col min="4612" max="4612" width="1.75" style="1" customWidth="1"/>
    <col min="4613" max="4613" width="10" style="1" customWidth="1"/>
    <col min="4614" max="4614" width="7" style="1" bestFit="1" customWidth="1"/>
    <col min="4615" max="4615" width="8.125" style="1" bestFit="1" customWidth="1"/>
    <col min="4616" max="4616" width="9.375" style="1" customWidth="1"/>
    <col min="4617" max="4617" width="4.375" style="1" customWidth="1"/>
    <col min="4618" max="4620" width="10.125" style="1"/>
    <col min="4621" max="4621" width="72.75" style="1" customWidth="1"/>
    <col min="4622" max="4864" width="10.125" style="1"/>
    <col min="4865" max="4865" width="3.125" style="1" customWidth="1"/>
    <col min="4866" max="4866" width="30.875" style="1" customWidth="1"/>
    <col min="4867" max="4867" width="5.75" style="1" customWidth="1"/>
    <col min="4868" max="4868" width="1.75" style="1" customWidth="1"/>
    <col min="4869" max="4869" width="10" style="1" customWidth="1"/>
    <col min="4870" max="4870" width="7" style="1" bestFit="1" customWidth="1"/>
    <col min="4871" max="4871" width="8.125" style="1" bestFit="1" customWidth="1"/>
    <col min="4872" max="4872" width="9.375" style="1" customWidth="1"/>
    <col min="4873" max="4873" width="4.375" style="1" customWidth="1"/>
    <col min="4874" max="4876" width="10.125" style="1"/>
    <col min="4877" max="4877" width="72.75" style="1" customWidth="1"/>
    <col min="4878" max="5120" width="10.125" style="1"/>
    <col min="5121" max="5121" width="3.125" style="1" customWidth="1"/>
    <col min="5122" max="5122" width="30.875" style="1" customWidth="1"/>
    <col min="5123" max="5123" width="5.75" style="1" customWidth="1"/>
    <col min="5124" max="5124" width="1.75" style="1" customWidth="1"/>
    <col min="5125" max="5125" width="10" style="1" customWidth="1"/>
    <col min="5126" max="5126" width="7" style="1" bestFit="1" customWidth="1"/>
    <col min="5127" max="5127" width="8.125" style="1" bestFit="1" customWidth="1"/>
    <col min="5128" max="5128" width="9.375" style="1" customWidth="1"/>
    <col min="5129" max="5129" width="4.375" style="1" customWidth="1"/>
    <col min="5130" max="5132" width="10.125" style="1"/>
    <col min="5133" max="5133" width="72.75" style="1" customWidth="1"/>
    <col min="5134" max="5376" width="10.125" style="1"/>
    <col min="5377" max="5377" width="3.125" style="1" customWidth="1"/>
    <col min="5378" max="5378" width="30.875" style="1" customWidth="1"/>
    <col min="5379" max="5379" width="5.75" style="1" customWidth="1"/>
    <col min="5380" max="5380" width="1.75" style="1" customWidth="1"/>
    <col min="5381" max="5381" width="10" style="1" customWidth="1"/>
    <col min="5382" max="5382" width="7" style="1" bestFit="1" customWidth="1"/>
    <col min="5383" max="5383" width="8.125" style="1" bestFit="1" customWidth="1"/>
    <col min="5384" max="5384" width="9.375" style="1" customWidth="1"/>
    <col min="5385" max="5385" width="4.375" style="1" customWidth="1"/>
    <col min="5386" max="5388" width="10.125" style="1"/>
    <col min="5389" max="5389" width="72.75" style="1" customWidth="1"/>
    <col min="5390" max="5632" width="10.125" style="1"/>
    <col min="5633" max="5633" width="3.125" style="1" customWidth="1"/>
    <col min="5634" max="5634" width="30.875" style="1" customWidth="1"/>
    <col min="5635" max="5635" width="5.75" style="1" customWidth="1"/>
    <col min="5636" max="5636" width="1.75" style="1" customWidth="1"/>
    <col min="5637" max="5637" width="10" style="1" customWidth="1"/>
    <col min="5638" max="5638" width="7" style="1" bestFit="1" customWidth="1"/>
    <col min="5639" max="5639" width="8.125" style="1" bestFit="1" customWidth="1"/>
    <col min="5640" max="5640" width="9.375" style="1" customWidth="1"/>
    <col min="5641" max="5641" width="4.375" style="1" customWidth="1"/>
    <col min="5642" max="5644" width="10.125" style="1"/>
    <col min="5645" max="5645" width="72.75" style="1" customWidth="1"/>
    <col min="5646" max="5888" width="10.125" style="1"/>
    <col min="5889" max="5889" width="3.125" style="1" customWidth="1"/>
    <col min="5890" max="5890" width="30.875" style="1" customWidth="1"/>
    <col min="5891" max="5891" width="5.75" style="1" customWidth="1"/>
    <col min="5892" max="5892" width="1.75" style="1" customWidth="1"/>
    <col min="5893" max="5893" width="10" style="1" customWidth="1"/>
    <col min="5894" max="5894" width="7" style="1" bestFit="1" customWidth="1"/>
    <col min="5895" max="5895" width="8.125" style="1" bestFit="1" customWidth="1"/>
    <col min="5896" max="5896" width="9.375" style="1" customWidth="1"/>
    <col min="5897" max="5897" width="4.375" style="1" customWidth="1"/>
    <col min="5898" max="5900" width="10.125" style="1"/>
    <col min="5901" max="5901" width="72.75" style="1" customWidth="1"/>
    <col min="5902" max="6144" width="10.125" style="1"/>
    <col min="6145" max="6145" width="3.125" style="1" customWidth="1"/>
    <col min="6146" max="6146" width="30.875" style="1" customWidth="1"/>
    <col min="6147" max="6147" width="5.75" style="1" customWidth="1"/>
    <col min="6148" max="6148" width="1.75" style="1" customWidth="1"/>
    <col min="6149" max="6149" width="10" style="1" customWidth="1"/>
    <col min="6150" max="6150" width="7" style="1" bestFit="1" customWidth="1"/>
    <col min="6151" max="6151" width="8.125" style="1" bestFit="1" customWidth="1"/>
    <col min="6152" max="6152" width="9.375" style="1" customWidth="1"/>
    <col min="6153" max="6153" width="4.375" style="1" customWidth="1"/>
    <col min="6154" max="6156" width="10.125" style="1"/>
    <col min="6157" max="6157" width="72.75" style="1" customWidth="1"/>
    <col min="6158" max="6400" width="10.125" style="1"/>
    <col min="6401" max="6401" width="3.125" style="1" customWidth="1"/>
    <col min="6402" max="6402" width="30.875" style="1" customWidth="1"/>
    <col min="6403" max="6403" width="5.75" style="1" customWidth="1"/>
    <col min="6404" max="6404" width="1.75" style="1" customWidth="1"/>
    <col min="6405" max="6405" width="10" style="1" customWidth="1"/>
    <col min="6406" max="6406" width="7" style="1" bestFit="1" customWidth="1"/>
    <col min="6407" max="6407" width="8.125" style="1" bestFit="1" customWidth="1"/>
    <col min="6408" max="6408" width="9.375" style="1" customWidth="1"/>
    <col min="6409" max="6409" width="4.375" style="1" customWidth="1"/>
    <col min="6410" max="6412" width="10.125" style="1"/>
    <col min="6413" max="6413" width="72.75" style="1" customWidth="1"/>
    <col min="6414" max="6656" width="10.125" style="1"/>
    <col min="6657" max="6657" width="3.125" style="1" customWidth="1"/>
    <col min="6658" max="6658" width="30.875" style="1" customWidth="1"/>
    <col min="6659" max="6659" width="5.75" style="1" customWidth="1"/>
    <col min="6660" max="6660" width="1.75" style="1" customWidth="1"/>
    <col min="6661" max="6661" width="10" style="1" customWidth="1"/>
    <col min="6662" max="6662" width="7" style="1" bestFit="1" customWidth="1"/>
    <col min="6663" max="6663" width="8.125" style="1" bestFit="1" customWidth="1"/>
    <col min="6664" max="6664" width="9.375" style="1" customWidth="1"/>
    <col min="6665" max="6665" width="4.375" style="1" customWidth="1"/>
    <col min="6666" max="6668" width="10.125" style="1"/>
    <col min="6669" max="6669" width="72.75" style="1" customWidth="1"/>
    <col min="6670" max="6912" width="10.125" style="1"/>
    <col min="6913" max="6913" width="3.125" style="1" customWidth="1"/>
    <col min="6914" max="6914" width="30.875" style="1" customWidth="1"/>
    <col min="6915" max="6915" width="5.75" style="1" customWidth="1"/>
    <col min="6916" max="6916" width="1.75" style="1" customWidth="1"/>
    <col min="6917" max="6917" width="10" style="1" customWidth="1"/>
    <col min="6918" max="6918" width="7" style="1" bestFit="1" customWidth="1"/>
    <col min="6919" max="6919" width="8.125" style="1" bestFit="1" customWidth="1"/>
    <col min="6920" max="6920" width="9.375" style="1" customWidth="1"/>
    <col min="6921" max="6921" width="4.375" style="1" customWidth="1"/>
    <col min="6922" max="6924" width="10.125" style="1"/>
    <col min="6925" max="6925" width="72.75" style="1" customWidth="1"/>
    <col min="6926" max="7168" width="10.125" style="1"/>
    <col min="7169" max="7169" width="3.125" style="1" customWidth="1"/>
    <col min="7170" max="7170" width="30.875" style="1" customWidth="1"/>
    <col min="7171" max="7171" width="5.75" style="1" customWidth="1"/>
    <col min="7172" max="7172" width="1.75" style="1" customWidth="1"/>
    <col min="7173" max="7173" width="10" style="1" customWidth="1"/>
    <col min="7174" max="7174" width="7" style="1" bestFit="1" customWidth="1"/>
    <col min="7175" max="7175" width="8.125" style="1" bestFit="1" customWidth="1"/>
    <col min="7176" max="7176" width="9.375" style="1" customWidth="1"/>
    <col min="7177" max="7177" width="4.375" style="1" customWidth="1"/>
    <col min="7178" max="7180" width="10.125" style="1"/>
    <col min="7181" max="7181" width="72.75" style="1" customWidth="1"/>
    <col min="7182" max="7424" width="10.125" style="1"/>
    <col min="7425" max="7425" width="3.125" style="1" customWidth="1"/>
    <col min="7426" max="7426" width="30.875" style="1" customWidth="1"/>
    <col min="7427" max="7427" width="5.75" style="1" customWidth="1"/>
    <col min="7428" max="7428" width="1.75" style="1" customWidth="1"/>
    <col min="7429" max="7429" width="10" style="1" customWidth="1"/>
    <col min="7430" max="7430" width="7" style="1" bestFit="1" customWidth="1"/>
    <col min="7431" max="7431" width="8.125" style="1" bestFit="1" customWidth="1"/>
    <col min="7432" max="7432" width="9.375" style="1" customWidth="1"/>
    <col min="7433" max="7433" width="4.375" style="1" customWidth="1"/>
    <col min="7434" max="7436" width="10.125" style="1"/>
    <col min="7437" max="7437" width="72.75" style="1" customWidth="1"/>
    <col min="7438" max="7680" width="10.125" style="1"/>
    <col min="7681" max="7681" width="3.125" style="1" customWidth="1"/>
    <col min="7682" max="7682" width="30.875" style="1" customWidth="1"/>
    <col min="7683" max="7683" width="5.75" style="1" customWidth="1"/>
    <col min="7684" max="7684" width="1.75" style="1" customWidth="1"/>
    <col min="7685" max="7685" width="10" style="1" customWidth="1"/>
    <col min="7686" max="7686" width="7" style="1" bestFit="1" customWidth="1"/>
    <col min="7687" max="7687" width="8.125" style="1" bestFit="1" customWidth="1"/>
    <col min="7688" max="7688" width="9.375" style="1" customWidth="1"/>
    <col min="7689" max="7689" width="4.375" style="1" customWidth="1"/>
    <col min="7690" max="7692" width="10.125" style="1"/>
    <col min="7693" max="7693" width="72.75" style="1" customWidth="1"/>
    <col min="7694" max="7936" width="10.125" style="1"/>
    <col min="7937" max="7937" width="3.125" style="1" customWidth="1"/>
    <col min="7938" max="7938" width="30.875" style="1" customWidth="1"/>
    <col min="7939" max="7939" width="5.75" style="1" customWidth="1"/>
    <col min="7940" max="7940" width="1.75" style="1" customWidth="1"/>
    <col min="7941" max="7941" width="10" style="1" customWidth="1"/>
    <col min="7942" max="7942" width="7" style="1" bestFit="1" customWidth="1"/>
    <col min="7943" max="7943" width="8.125" style="1" bestFit="1" customWidth="1"/>
    <col min="7944" max="7944" width="9.375" style="1" customWidth="1"/>
    <col min="7945" max="7945" width="4.375" style="1" customWidth="1"/>
    <col min="7946" max="7948" width="10.125" style="1"/>
    <col min="7949" max="7949" width="72.75" style="1" customWidth="1"/>
    <col min="7950" max="8192" width="10.125" style="1"/>
    <col min="8193" max="8193" width="3.125" style="1" customWidth="1"/>
    <col min="8194" max="8194" width="30.875" style="1" customWidth="1"/>
    <col min="8195" max="8195" width="5.75" style="1" customWidth="1"/>
    <col min="8196" max="8196" width="1.75" style="1" customWidth="1"/>
    <col min="8197" max="8197" width="10" style="1" customWidth="1"/>
    <col min="8198" max="8198" width="7" style="1" bestFit="1" customWidth="1"/>
    <col min="8199" max="8199" width="8.125" style="1" bestFit="1" customWidth="1"/>
    <col min="8200" max="8200" width="9.375" style="1" customWidth="1"/>
    <col min="8201" max="8201" width="4.375" style="1" customWidth="1"/>
    <col min="8202" max="8204" width="10.125" style="1"/>
    <col min="8205" max="8205" width="72.75" style="1" customWidth="1"/>
    <col min="8206" max="8448" width="10.125" style="1"/>
    <col min="8449" max="8449" width="3.125" style="1" customWidth="1"/>
    <col min="8450" max="8450" width="30.875" style="1" customWidth="1"/>
    <col min="8451" max="8451" width="5.75" style="1" customWidth="1"/>
    <col min="8452" max="8452" width="1.75" style="1" customWidth="1"/>
    <col min="8453" max="8453" width="10" style="1" customWidth="1"/>
    <col min="8454" max="8454" width="7" style="1" bestFit="1" customWidth="1"/>
    <col min="8455" max="8455" width="8.125" style="1" bestFit="1" customWidth="1"/>
    <col min="8456" max="8456" width="9.375" style="1" customWidth="1"/>
    <col min="8457" max="8457" width="4.375" style="1" customWidth="1"/>
    <col min="8458" max="8460" width="10.125" style="1"/>
    <col min="8461" max="8461" width="72.75" style="1" customWidth="1"/>
    <col min="8462" max="8704" width="10.125" style="1"/>
    <col min="8705" max="8705" width="3.125" style="1" customWidth="1"/>
    <col min="8706" max="8706" width="30.875" style="1" customWidth="1"/>
    <col min="8707" max="8707" width="5.75" style="1" customWidth="1"/>
    <col min="8708" max="8708" width="1.75" style="1" customWidth="1"/>
    <col min="8709" max="8709" width="10" style="1" customWidth="1"/>
    <col min="8710" max="8710" width="7" style="1" bestFit="1" customWidth="1"/>
    <col min="8711" max="8711" width="8.125" style="1" bestFit="1" customWidth="1"/>
    <col min="8712" max="8712" width="9.375" style="1" customWidth="1"/>
    <col min="8713" max="8713" width="4.375" style="1" customWidth="1"/>
    <col min="8714" max="8716" width="10.125" style="1"/>
    <col min="8717" max="8717" width="72.75" style="1" customWidth="1"/>
    <col min="8718" max="8960" width="10.125" style="1"/>
    <col min="8961" max="8961" width="3.125" style="1" customWidth="1"/>
    <col min="8962" max="8962" width="30.875" style="1" customWidth="1"/>
    <col min="8963" max="8963" width="5.75" style="1" customWidth="1"/>
    <col min="8964" max="8964" width="1.75" style="1" customWidth="1"/>
    <col min="8965" max="8965" width="10" style="1" customWidth="1"/>
    <col min="8966" max="8966" width="7" style="1" bestFit="1" customWidth="1"/>
    <col min="8967" max="8967" width="8.125" style="1" bestFit="1" customWidth="1"/>
    <col min="8968" max="8968" width="9.375" style="1" customWidth="1"/>
    <col min="8969" max="8969" width="4.375" style="1" customWidth="1"/>
    <col min="8970" max="8972" width="10.125" style="1"/>
    <col min="8973" max="8973" width="72.75" style="1" customWidth="1"/>
    <col min="8974" max="9216" width="10.125" style="1"/>
    <col min="9217" max="9217" width="3.125" style="1" customWidth="1"/>
    <col min="9218" max="9218" width="30.875" style="1" customWidth="1"/>
    <col min="9219" max="9219" width="5.75" style="1" customWidth="1"/>
    <col min="9220" max="9220" width="1.75" style="1" customWidth="1"/>
    <col min="9221" max="9221" width="10" style="1" customWidth="1"/>
    <col min="9222" max="9222" width="7" style="1" bestFit="1" customWidth="1"/>
    <col min="9223" max="9223" width="8.125" style="1" bestFit="1" customWidth="1"/>
    <col min="9224" max="9224" width="9.375" style="1" customWidth="1"/>
    <col min="9225" max="9225" width="4.375" style="1" customWidth="1"/>
    <col min="9226" max="9228" width="10.125" style="1"/>
    <col min="9229" max="9229" width="72.75" style="1" customWidth="1"/>
    <col min="9230" max="9472" width="10.125" style="1"/>
    <col min="9473" max="9473" width="3.125" style="1" customWidth="1"/>
    <col min="9474" max="9474" width="30.875" style="1" customWidth="1"/>
    <col min="9475" max="9475" width="5.75" style="1" customWidth="1"/>
    <col min="9476" max="9476" width="1.75" style="1" customWidth="1"/>
    <col min="9477" max="9477" width="10" style="1" customWidth="1"/>
    <col min="9478" max="9478" width="7" style="1" bestFit="1" customWidth="1"/>
    <col min="9479" max="9479" width="8.125" style="1" bestFit="1" customWidth="1"/>
    <col min="9480" max="9480" width="9.375" style="1" customWidth="1"/>
    <col min="9481" max="9481" width="4.375" style="1" customWidth="1"/>
    <col min="9482" max="9484" width="10.125" style="1"/>
    <col min="9485" max="9485" width="72.75" style="1" customWidth="1"/>
    <col min="9486" max="9728" width="10.125" style="1"/>
    <col min="9729" max="9729" width="3.125" style="1" customWidth="1"/>
    <col min="9730" max="9730" width="30.875" style="1" customWidth="1"/>
    <col min="9731" max="9731" width="5.75" style="1" customWidth="1"/>
    <col min="9732" max="9732" width="1.75" style="1" customWidth="1"/>
    <col min="9733" max="9733" width="10" style="1" customWidth="1"/>
    <col min="9734" max="9734" width="7" style="1" bestFit="1" customWidth="1"/>
    <col min="9735" max="9735" width="8.125" style="1" bestFit="1" customWidth="1"/>
    <col min="9736" max="9736" width="9.375" style="1" customWidth="1"/>
    <col min="9737" max="9737" width="4.375" style="1" customWidth="1"/>
    <col min="9738" max="9740" width="10.125" style="1"/>
    <col min="9741" max="9741" width="72.75" style="1" customWidth="1"/>
    <col min="9742" max="9984" width="10.125" style="1"/>
    <col min="9985" max="9985" width="3.125" style="1" customWidth="1"/>
    <col min="9986" max="9986" width="30.875" style="1" customWidth="1"/>
    <col min="9987" max="9987" width="5.75" style="1" customWidth="1"/>
    <col min="9988" max="9988" width="1.75" style="1" customWidth="1"/>
    <col min="9989" max="9989" width="10" style="1" customWidth="1"/>
    <col min="9990" max="9990" width="7" style="1" bestFit="1" customWidth="1"/>
    <col min="9991" max="9991" width="8.125" style="1" bestFit="1" customWidth="1"/>
    <col min="9992" max="9992" width="9.375" style="1" customWidth="1"/>
    <col min="9993" max="9993" width="4.375" style="1" customWidth="1"/>
    <col min="9994" max="9996" width="10.125" style="1"/>
    <col min="9997" max="9997" width="72.75" style="1" customWidth="1"/>
    <col min="9998" max="10240" width="10.125" style="1"/>
    <col min="10241" max="10241" width="3.125" style="1" customWidth="1"/>
    <col min="10242" max="10242" width="30.875" style="1" customWidth="1"/>
    <col min="10243" max="10243" width="5.75" style="1" customWidth="1"/>
    <col min="10244" max="10244" width="1.75" style="1" customWidth="1"/>
    <col min="10245" max="10245" width="10" style="1" customWidth="1"/>
    <col min="10246" max="10246" width="7" style="1" bestFit="1" customWidth="1"/>
    <col min="10247" max="10247" width="8.125" style="1" bestFit="1" customWidth="1"/>
    <col min="10248" max="10248" width="9.375" style="1" customWidth="1"/>
    <col min="10249" max="10249" width="4.375" style="1" customWidth="1"/>
    <col min="10250" max="10252" width="10.125" style="1"/>
    <col min="10253" max="10253" width="72.75" style="1" customWidth="1"/>
    <col min="10254" max="10496" width="10.125" style="1"/>
    <col min="10497" max="10497" width="3.125" style="1" customWidth="1"/>
    <col min="10498" max="10498" width="30.875" style="1" customWidth="1"/>
    <col min="10499" max="10499" width="5.75" style="1" customWidth="1"/>
    <col min="10500" max="10500" width="1.75" style="1" customWidth="1"/>
    <col min="10501" max="10501" width="10" style="1" customWidth="1"/>
    <col min="10502" max="10502" width="7" style="1" bestFit="1" customWidth="1"/>
    <col min="10503" max="10503" width="8.125" style="1" bestFit="1" customWidth="1"/>
    <col min="10504" max="10504" width="9.375" style="1" customWidth="1"/>
    <col min="10505" max="10505" width="4.375" style="1" customWidth="1"/>
    <col min="10506" max="10508" width="10.125" style="1"/>
    <col min="10509" max="10509" width="72.75" style="1" customWidth="1"/>
    <col min="10510" max="10752" width="10.125" style="1"/>
    <col min="10753" max="10753" width="3.125" style="1" customWidth="1"/>
    <col min="10754" max="10754" width="30.875" style="1" customWidth="1"/>
    <col min="10755" max="10755" width="5.75" style="1" customWidth="1"/>
    <col min="10756" max="10756" width="1.75" style="1" customWidth="1"/>
    <col min="10757" max="10757" width="10" style="1" customWidth="1"/>
    <col min="10758" max="10758" width="7" style="1" bestFit="1" customWidth="1"/>
    <col min="10759" max="10759" width="8.125" style="1" bestFit="1" customWidth="1"/>
    <col min="10760" max="10760" width="9.375" style="1" customWidth="1"/>
    <col min="10761" max="10761" width="4.375" style="1" customWidth="1"/>
    <col min="10762" max="10764" width="10.125" style="1"/>
    <col min="10765" max="10765" width="72.75" style="1" customWidth="1"/>
    <col min="10766" max="11008" width="10.125" style="1"/>
    <col min="11009" max="11009" width="3.125" style="1" customWidth="1"/>
    <col min="11010" max="11010" width="30.875" style="1" customWidth="1"/>
    <col min="11011" max="11011" width="5.75" style="1" customWidth="1"/>
    <col min="11012" max="11012" width="1.75" style="1" customWidth="1"/>
    <col min="11013" max="11013" width="10" style="1" customWidth="1"/>
    <col min="11014" max="11014" width="7" style="1" bestFit="1" customWidth="1"/>
    <col min="11015" max="11015" width="8.125" style="1" bestFit="1" customWidth="1"/>
    <col min="11016" max="11016" width="9.375" style="1" customWidth="1"/>
    <col min="11017" max="11017" width="4.375" style="1" customWidth="1"/>
    <col min="11018" max="11020" width="10.125" style="1"/>
    <col min="11021" max="11021" width="72.75" style="1" customWidth="1"/>
    <col min="11022" max="11264" width="10.125" style="1"/>
    <col min="11265" max="11265" width="3.125" style="1" customWidth="1"/>
    <col min="11266" max="11266" width="30.875" style="1" customWidth="1"/>
    <col min="11267" max="11267" width="5.75" style="1" customWidth="1"/>
    <col min="11268" max="11268" width="1.75" style="1" customWidth="1"/>
    <col min="11269" max="11269" width="10" style="1" customWidth="1"/>
    <col min="11270" max="11270" width="7" style="1" bestFit="1" customWidth="1"/>
    <col min="11271" max="11271" width="8.125" style="1" bestFit="1" customWidth="1"/>
    <col min="11272" max="11272" width="9.375" style="1" customWidth="1"/>
    <col min="11273" max="11273" width="4.375" style="1" customWidth="1"/>
    <col min="11274" max="11276" width="10.125" style="1"/>
    <col min="11277" max="11277" width="72.75" style="1" customWidth="1"/>
    <col min="11278" max="11520" width="10.125" style="1"/>
    <col min="11521" max="11521" width="3.125" style="1" customWidth="1"/>
    <col min="11522" max="11522" width="30.875" style="1" customWidth="1"/>
    <col min="11523" max="11523" width="5.75" style="1" customWidth="1"/>
    <col min="11524" max="11524" width="1.75" style="1" customWidth="1"/>
    <col min="11525" max="11525" width="10" style="1" customWidth="1"/>
    <col min="11526" max="11526" width="7" style="1" bestFit="1" customWidth="1"/>
    <col min="11527" max="11527" width="8.125" style="1" bestFit="1" customWidth="1"/>
    <col min="11528" max="11528" width="9.375" style="1" customWidth="1"/>
    <col min="11529" max="11529" width="4.375" style="1" customWidth="1"/>
    <col min="11530" max="11532" width="10.125" style="1"/>
    <col min="11533" max="11533" width="72.75" style="1" customWidth="1"/>
    <col min="11534" max="11776" width="10.125" style="1"/>
    <col min="11777" max="11777" width="3.125" style="1" customWidth="1"/>
    <col min="11778" max="11778" width="30.875" style="1" customWidth="1"/>
    <col min="11779" max="11779" width="5.75" style="1" customWidth="1"/>
    <col min="11780" max="11780" width="1.75" style="1" customWidth="1"/>
    <col min="11781" max="11781" width="10" style="1" customWidth="1"/>
    <col min="11782" max="11782" width="7" style="1" bestFit="1" customWidth="1"/>
    <col min="11783" max="11783" width="8.125" style="1" bestFit="1" customWidth="1"/>
    <col min="11784" max="11784" width="9.375" style="1" customWidth="1"/>
    <col min="11785" max="11785" width="4.375" style="1" customWidth="1"/>
    <col min="11786" max="11788" width="10.125" style="1"/>
    <col min="11789" max="11789" width="72.75" style="1" customWidth="1"/>
    <col min="11790" max="12032" width="10.125" style="1"/>
    <col min="12033" max="12033" width="3.125" style="1" customWidth="1"/>
    <col min="12034" max="12034" width="30.875" style="1" customWidth="1"/>
    <col min="12035" max="12035" width="5.75" style="1" customWidth="1"/>
    <col min="12036" max="12036" width="1.75" style="1" customWidth="1"/>
    <col min="12037" max="12037" width="10" style="1" customWidth="1"/>
    <col min="12038" max="12038" width="7" style="1" bestFit="1" customWidth="1"/>
    <col min="12039" max="12039" width="8.125" style="1" bestFit="1" customWidth="1"/>
    <col min="12040" max="12040" width="9.375" style="1" customWidth="1"/>
    <col min="12041" max="12041" width="4.375" style="1" customWidth="1"/>
    <col min="12042" max="12044" width="10.125" style="1"/>
    <col min="12045" max="12045" width="72.75" style="1" customWidth="1"/>
    <col min="12046" max="12288" width="10.125" style="1"/>
    <col min="12289" max="12289" width="3.125" style="1" customWidth="1"/>
    <col min="12290" max="12290" width="30.875" style="1" customWidth="1"/>
    <col min="12291" max="12291" width="5.75" style="1" customWidth="1"/>
    <col min="12292" max="12292" width="1.75" style="1" customWidth="1"/>
    <col min="12293" max="12293" width="10" style="1" customWidth="1"/>
    <col min="12294" max="12294" width="7" style="1" bestFit="1" customWidth="1"/>
    <col min="12295" max="12295" width="8.125" style="1" bestFit="1" customWidth="1"/>
    <col min="12296" max="12296" width="9.375" style="1" customWidth="1"/>
    <col min="12297" max="12297" width="4.375" style="1" customWidth="1"/>
    <col min="12298" max="12300" width="10.125" style="1"/>
    <col min="12301" max="12301" width="72.75" style="1" customWidth="1"/>
    <col min="12302" max="12544" width="10.125" style="1"/>
    <col min="12545" max="12545" width="3.125" style="1" customWidth="1"/>
    <col min="12546" max="12546" width="30.875" style="1" customWidth="1"/>
    <col min="12547" max="12547" width="5.75" style="1" customWidth="1"/>
    <col min="12548" max="12548" width="1.75" style="1" customWidth="1"/>
    <col min="12549" max="12549" width="10" style="1" customWidth="1"/>
    <col min="12550" max="12550" width="7" style="1" bestFit="1" customWidth="1"/>
    <col min="12551" max="12551" width="8.125" style="1" bestFit="1" customWidth="1"/>
    <col min="12552" max="12552" width="9.375" style="1" customWidth="1"/>
    <col min="12553" max="12553" width="4.375" style="1" customWidth="1"/>
    <col min="12554" max="12556" width="10.125" style="1"/>
    <col min="12557" max="12557" width="72.75" style="1" customWidth="1"/>
    <col min="12558" max="12800" width="10.125" style="1"/>
    <col min="12801" max="12801" width="3.125" style="1" customWidth="1"/>
    <col min="12802" max="12802" width="30.875" style="1" customWidth="1"/>
    <col min="12803" max="12803" width="5.75" style="1" customWidth="1"/>
    <col min="12804" max="12804" width="1.75" style="1" customWidth="1"/>
    <col min="12805" max="12805" width="10" style="1" customWidth="1"/>
    <col min="12806" max="12806" width="7" style="1" bestFit="1" customWidth="1"/>
    <col min="12807" max="12807" width="8.125" style="1" bestFit="1" customWidth="1"/>
    <col min="12808" max="12808" width="9.375" style="1" customWidth="1"/>
    <col min="12809" max="12809" width="4.375" style="1" customWidth="1"/>
    <col min="12810" max="12812" width="10.125" style="1"/>
    <col min="12813" max="12813" width="72.75" style="1" customWidth="1"/>
    <col min="12814" max="13056" width="10.125" style="1"/>
    <col min="13057" max="13057" width="3.125" style="1" customWidth="1"/>
    <col min="13058" max="13058" width="30.875" style="1" customWidth="1"/>
    <col min="13059" max="13059" width="5.75" style="1" customWidth="1"/>
    <col min="13060" max="13060" width="1.75" style="1" customWidth="1"/>
    <col min="13061" max="13061" width="10" style="1" customWidth="1"/>
    <col min="13062" max="13062" width="7" style="1" bestFit="1" customWidth="1"/>
    <col min="13063" max="13063" width="8.125" style="1" bestFit="1" customWidth="1"/>
    <col min="13064" max="13064" width="9.375" style="1" customWidth="1"/>
    <col min="13065" max="13065" width="4.375" style="1" customWidth="1"/>
    <col min="13066" max="13068" width="10.125" style="1"/>
    <col min="13069" max="13069" width="72.75" style="1" customWidth="1"/>
    <col min="13070" max="13312" width="10.125" style="1"/>
    <col min="13313" max="13313" width="3.125" style="1" customWidth="1"/>
    <col min="13314" max="13314" width="30.875" style="1" customWidth="1"/>
    <col min="13315" max="13315" width="5.75" style="1" customWidth="1"/>
    <col min="13316" max="13316" width="1.75" style="1" customWidth="1"/>
    <col min="13317" max="13317" width="10" style="1" customWidth="1"/>
    <col min="13318" max="13318" width="7" style="1" bestFit="1" customWidth="1"/>
    <col min="13319" max="13319" width="8.125" style="1" bestFit="1" customWidth="1"/>
    <col min="13320" max="13320" width="9.375" style="1" customWidth="1"/>
    <col min="13321" max="13321" width="4.375" style="1" customWidth="1"/>
    <col min="13322" max="13324" width="10.125" style="1"/>
    <col min="13325" max="13325" width="72.75" style="1" customWidth="1"/>
    <col min="13326" max="13568" width="10.125" style="1"/>
    <col min="13569" max="13569" width="3.125" style="1" customWidth="1"/>
    <col min="13570" max="13570" width="30.875" style="1" customWidth="1"/>
    <col min="13571" max="13571" width="5.75" style="1" customWidth="1"/>
    <col min="13572" max="13572" width="1.75" style="1" customWidth="1"/>
    <col min="13573" max="13573" width="10" style="1" customWidth="1"/>
    <col min="13574" max="13574" width="7" style="1" bestFit="1" customWidth="1"/>
    <col min="13575" max="13575" width="8.125" style="1" bestFit="1" customWidth="1"/>
    <col min="13576" max="13576" width="9.375" style="1" customWidth="1"/>
    <col min="13577" max="13577" width="4.375" style="1" customWidth="1"/>
    <col min="13578" max="13580" width="10.125" style="1"/>
    <col min="13581" max="13581" width="72.75" style="1" customWidth="1"/>
    <col min="13582" max="13824" width="10.125" style="1"/>
    <col min="13825" max="13825" width="3.125" style="1" customWidth="1"/>
    <col min="13826" max="13826" width="30.875" style="1" customWidth="1"/>
    <col min="13827" max="13827" width="5.75" style="1" customWidth="1"/>
    <col min="13828" max="13828" width="1.75" style="1" customWidth="1"/>
    <col min="13829" max="13829" width="10" style="1" customWidth="1"/>
    <col min="13830" max="13830" width="7" style="1" bestFit="1" customWidth="1"/>
    <col min="13831" max="13831" width="8.125" style="1" bestFit="1" customWidth="1"/>
    <col min="13832" max="13832" width="9.375" style="1" customWidth="1"/>
    <col min="13833" max="13833" width="4.375" style="1" customWidth="1"/>
    <col min="13834" max="13836" width="10.125" style="1"/>
    <col min="13837" max="13837" width="72.75" style="1" customWidth="1"/>
    <col min="13838" max="14080" width="10.125" style="1"/>
    <col min="14081" max="14081" width="3.125" style="1" customWidth="1"/>
    <col min="14082" max="14082" width="30.875" style="1" customWidth="1"/>
    <col min="14083" max="14083" width="5.75" style="1" customWidth="1"/>
    <col min="14084" max="14084" width="1.75" style="1" customWidth="1"/>
    <col min="14085" max="14085" width="10" style="1" customWidth="1"/>
    <col min="14086" max="14086" width="7" style="1" bestFit="1" customWidth="1"/>
    <col min="14087" max="14087" width="8.125" style="1" bestFit="1" customWidth="1"/>
    <col min="14088" max="14088" width="9.375" style="1" customWidth="1"/>
    <col min="14089" max="14089" width="4.375" style="1" customWidth="1"/>
    <col min="14090" max="14092" width="10.125" style="1"/>
    <col min="14093" max="14093" width="72.75" style="1" customWidth="1"/>
    <col min="14094" max="14336" width="10.125" style="1"/>
    <col min="14337" max="14337" width="3.125" style="1" customWidth="1"/>
    <col min="14338" max="14338" width="30.875" style="1" customWidth="1"/>
    <col min="14339" max="14339" width="5.75" style="1" customWidth="1"/>
    <col min="14340" max="14340" width="1.75" style="1" customWidth="1"/>
    <col min="14341" max="14341" width="10" style="1" customWidth="1"/>
    <col min="14342" max="14342" width="7" style="1" bestFit="1" customWidth="1"/>
    <col min="14343" max="14343" width="8.125" style="1" bestFit="1" customWidth="1"/>
    <col min="14344" max="14344" width="9.375" style="1" customWidth="1"/>
    <col min="14345" max="14345" width="4.375" style="1" customWidth="1"/>
    <col min="14346" max="14348" width="10.125" style="1"/>
    <col min="14349" max="14349" width="72.75" style="1" customWidth="1"/>
    <col min="14350" max="14592" width="10.125" style="1"/>
    <col min="14593" max="14593" width="3.125" style="1" customWidth="1"/>
    <col min="14594" max="14594" width="30.875" style="1" customWidth="1"/>
    <col min="14595" max="14595" width="5.75" style="1" customWidth="1"/>
    <col min="14596" max="14596" width="1.75" style="1" customWidth="1"/>
    <col min="14597" max="14597" width="10" style="1" customWidth="1"/>
    <col min="14598" max="14598" width="7" style="1" bestFit="1" customWidth="1"/>
    <col min="14599" max="14599" width="8.125" style="1" bestFit="1" customWidth="1"/>
    <col min="14600" max="14600" width="9.375" style="1" customWidth="1"/>
    <col min="14601" max="14601" width="4.375" style="1" customWidth="1"/>
    <col min="14602" max="14604" width="10.125" style="1"/>
    <col min="14605" max="14605" width="72.75" style="1" customWidth="1"/>
    <col min="14606" max="14848" width="10.125" style="1"/>
    <col min="14849" max="14849" width="3.125" style="1" customWidth="1"/>
    <col min="14850" max="14850" width="30.875" style="1" customWidth="1"/>
    <col min="14851" max="14851" width="5.75" style="1" customWidth="1"/>
    <col min="14852" max="14852" width="1.75" style="1" customWidth="1"/>
    <col min="14853" max="14853" width="10" style="1" customWidth="1"/>
    <col min="14854" max="14854" width="7" style="1" bestFit="1" customWidth="1"/>
    <col min="14855" max="14855" width="8.125" style="1" bestFit="1" customWidth="1"/>
    <col min="14856" max="14856" width="9.375" style="1" customWidth="1"/>
    <col min="14857" max="14857" width="4.375" style="1" customWidth="1"/>
    <col min="14858" max="14860" width="10.125" style="1"/>
    <col min="14861" max="14861" width="72.75" style="1" customWidth="1"/>
    <col min="14862" max="15104" width="10.125" style="1"/>
    <col min="15105" max="15105" width="3.125" style="1" customWidth="1"/>
    <col min="15106" max="15106" width="30.875" style="1" customWidth="1"/>
    <col min="15107" max="15107" width="5.75" style="1" customWidth="1"/>
    <col min="15108" max="15108" width="1.75" style="1" customWidth="1"/>
    <col min="15109" max="15109" width="10" style="1" customWidth="1"/>
    <col min="15110" max="15110" width="7" style="1" bestFit="1" customWidth="1"/>
    <col min="15111" max="15111" width="8.125" style="1" bestFit="1" customWidth="1"/>
    <col min="15112" max="15112" width="9.375" style="1" customWidth="1"/>
    <col min="15113" max="15113" width="4.375" style="1" customWidth="1"/>
    <col min="15114" max="15116" width="10.125" style="1"/>
    <col min="15117" max="15117" width="72.75" style="1" customWidth="1"/>
    <col min="15118" max="15360" width="10.125" style="1"/>
    <col min="15361" max="15361" width="3.125" style="1" customWidth="1"/>
    <col min="15362" max="15362" width="30.875" style="1" customWidth="1"/>
    <col min="15363" max="15363" width="5.75" style="1" customWidth="1"/>
    <col min="15364" max="15364" width="1.75" style="1" customWidth="1"/>
    <col min="15365" max="15365" width="10" style="1" customWidth="1"/>
    <col min="15366" max="15366" width="7" style="1" bestFit="1" customWidth="1"/>
    <col min="15367" max="15367" width="8.125" style="1" bestFit="1" customWidth="1"/>
    <col min="15368" max="15368" width="9.375" style="1" customWidth="1"/>
    <col min="15369" max="15369" width="4.375" style="1" customWidth="1"/>
    <col min="15370" max="15372" width="10.125" style="1"/>
    <col min="15373" max="15373" width="72.75" style="1" customWidth="1"/>
    <col min="15374" max="15616" width="10.125" style="1"/>
    <col min="15617" max="15617" width="3.125" style="1" customWidth="1"/>
    <col min="15618" max="15618" width="30.875" style="1" customWidth="1"/>
    <col min="15619" max="15619" width="5.75" style="1" customWidth="1"/>
    <col min="15620" max="15620" width="1.75" style="1" customWidth="1"/>
    <col min="15621" max="15621" width="10" style="1" customWidth="1"/>
    <col min="15622" max="15622" width="7" style="1" bestFit="1" customWidth="1"/>
    <col min="15623" max="15623" width="8.125" style="1" bestFit="1" customWidth="1"/>
    <col min="15624" max="15624" width="9.375" style="1" customWidth="1"/>
    <col min="15625" max="15625" width="4.375" style="1" customWidth="1"/>
    <col min="15626" max="15628" width="10.125" style="1"/>
    <col min="15629" max="15629" width="72.75" style="1" customWidth="1"/>
    <col min="15630" max="15872" width="10.125" style="1"/>
    <col min="15873" max="15873" width="3.125" style="1" customWidth="1"/>
    <col min="15874" max="15874" width="30.875" style="1" customWidth="1"/>
    <col min="15875" max="15875" width="5.75" style="1" customWidth="1"/>
    <col min="15876" max="15876" width="1.75" style="1" customWidth="1"/>
    <col min="15877" max="15877" width="10" style="1" customWidth="1"/>
    <col min="15878" max="15878" width="7" style="1" bestFit="1" customWidth="1"/>
    <col min="15879" max="15879" width="8.125" style="1" bestFit="1" customWidth="1"/>
    <col min="15880" max="15880" width="9.375" style="1" customWidth="1"/>
    <col min="15881" max="15881" width="4.375" style="1" customWidth="1"/>
    <col min="15882" max="15884" width="10.125" style="1"/>
    <col min="15885" max="15885" width="72.75" style="1" customWidth="1"/>
    <col min="15886" max="16128" width="10.125" style="1"/>
    <col min="16129" max="16129" width="3.125" style="1" customWidth="1"/>
    <col min="16130" max="16130" width="30.875" style="1" customWidth="1"/>
    <col min="16131" max="16131" width="5.75" style="1" customWidth="1"/>
    <col min="16132" max="16132" width="1.75" style="1" customWidth="1"/>
    <col min="16133" max="16133" width="10" style="1" customWidth="1"/>
    <col min="16134" max="16134" width="7" style="1" bestFit="1" customWidth="1"/>
    <col min="16135" max="16135" width="8.125" style="1" bestFit="1" customWidth="1"/>
    <col min="16136" max="16136" width="9.375" style="1" customWidth="1"/>
    <col min="16137" max="16137" width="4.375" style="1" customWidth="1"/>
    <col min="16138" max="16140" width="10.125" style="1"/>
    <col min="16141" max="16141" width="72.75" style="1" customWidth="1"/>
    <col min="16142" max="16384" width="10.125" style="1"/>
  </cols>
  <sheetData>
    <row r="1" spans="1:8" x14ac:dyDescent="0.25">
      <c r="F1" s="3"/>
    </row>
    <row r="5" spans="1:8" x14ac:dyDescent="0.25">
      <c r="A5" s="4" t="s">
        <v>0</v>
      </c>
      <c r="B5" s="5"/>
      <c r="C5" s="5"/>
    </row>
    <row r="6" spans="1:8" ht="9" customHeight="1" x14ac:dyDescent="0.25">
      <c r="A6" s="4"/>
      <c r="B6" s="5"/>
      <c r="C6" s="5"/>
    </row>
    <row r="7" spans="1:8" s="7" customFormat="1" ht="15" x14ac:dyDescent="0.25">
      <c r="A7" s="7" t="s">
        <v>1</v>
      </c>
      <c r="B7" s="8"/>
      <c r="D7" s="9"/>
      <c r="E7" s="131" t="s">
        <v>2</v>
      </c>
      <c r="F7" s="132"/>
      <c r="G7" s="133">
        <v>45720</v>
      </c>
      <c r="H7" s="134"/>
    </row>
    <row r="8" spans="1:8" s="7" customFormat="1" ht="15" x14ac:dyDescent="0.25">
      <c r="A8" s="7" t="s">
        <v>53</v>
      </c>
      <c r="B8" s="8"/>
      <c r="D8" s="9"/>
      <c r="E8" s="135" t="s">
        <v>3</v>
      </c>
      <c r="F8" s="136"/>
      <c r="H8" s="11">
        <v>60431</v>
      </c>
    </row>
    <row r="9" spans="1:8" s="7" customFormat="1" ht="15" x14ac:dyDescent="0.25">
      <c r="A9" s="7" t="s">
        <v>54</v>
      </c>
      <c r="B9" s="8"/>
      <c r="D9" s="9"/>
      <c r="E9" s="135" t="s">
        <v>4</v>
      </c>
      <c r="F9" s="136"/>
      <c r="G9" s="137" t="s">
        <v>117</v>
      </c>
      <c r="H9" s="138"/>
    </row>
    <row r="10" spans="1:8" s="7" customFormat="1" ht="15" x14ac:dyDescent="0.25">
      <c r="B10" s="8"/>
      <c r="D10" s="9"/>
      <c r="E10" s="13" t="s">
        <v>73</v>
      </c>
      <c r="F10" s="14"/>
      <c r="G10" s="139">
        <f>+G7</f>
        <v>45720</v>
      </c>
      <c r="H10" s="140"/>
    </row>
    <row r="11" spans="1:8" s="7" customFormat="1" ht="15" x14ac:dyDescent="0.25">
      <c r="A11" s="15" t="s">
        <v>55</v>
      </c>
      <c r="B11" s="8"/>
      <c r="D11" s="9"/>
      <c r="E11" s="10" t="s">
        <v>6</v>
      </c>
      <c r="F11" s="125" t="s">
        <v>7</v>
      </c>
      <c r="G11" s="125"/>
      <c r="H11" s="126"/>
    </row>
    <row r="12" spans="1:8" s="7" customFormat="1" ht="15" x14ac:dyDescent="0.25">
      <c r="A12" s="15"/>
      <c r="B12" s="8"/>
      <c r="D12" s="9"/>
      <c r="E12" s="13" t="s">
        <v>8</v>
      </c>
      <c r="F12" s="127" t="s">
        <v>9</v>
      </c>
      <c r="G12" s="127"/>
      <c r="H12" s="128"/>
    </row>
    <row r="13" spans="1:8" s="7" customFormat="1" ht="15" x14ac:dyDescent="0.25">
      <c r="D13" s="9"/>
      <c r="E13" s="17"/>
      <c r="F13" s="18"/>
    </row>
    <row r="14" spans="1:8" s="15" customFormat="1" ht="14.25" x14ac:dyDescent="0.2"/>
    <row r="15" spans="1:8" s="15" customFormat="1" ht="14.25" x14ac:dyDescent="0.2"/>
    <row r="16" spans="1:8" s="15" customFormat="1" ht="14.25" x14ac:dyDescent="0.2"/>
    <row r="17" spans="1:11" s="15" customFormat="1" ht="14.25" x14ac:dyDescent="0.2"/>
    <row r="18" spans="1:11" s="15" customFormat="1" ht="14.25" x14ac:dyDescent="0.2">
      <c r="A18" s="129" t="s">
        <v>10</v>
      </c>
      <c r="B18" s="129"/>
      <c r="C18" s="129"/>
      <c r="D18" s="129"/>
      <c r="E18" s="129"/>
      <c r="F18" s="129"/>
      <c r="G18" s="129"/>
      <c r="H18" s="129"/>
    </row>
    <row r="19" spans="1:11" s="15" customFormat="1" ht="14.25" x14ac:dyDescent="0.2">
      <c r="A19" s="19"/>
      <c r="B19" s="19"/>
      <c r="C19" s="19"/>
      <c r="D19" s="19"/>
      <c r="E19" s="19"/>
      <c r="F19" s="19"/>
      <c r="G19" s="19"/>
      <c r="H19" s="19"/>
    </row>
    <row r="20" spans="1:11" s="15" customFormat="1" ht="14.25" x14ac:dyDescent="0.2">
      <c r="A20" s="19"/>
      <c r="B20" s="19"/>
      <c r="C20" s="19"/>
      <c r="D20" s="19"/>
      <c r="E20" s="19"/>
      <c r="F20" s="19"/>
      <c r="G20" s="19"/>
      <c r="H20" s="19"/>
    </row>
    <row r="21" spans="1:11" s="7" customFormat="1" ht="13.5" customHeight="1" x14ac:dyDescent="0.25">
      <c r="D21" s="9"/>
      <c r="E21" s="17"/>
      <c r="F21" s="18"/>
    </row>
    <row r="22" spans="1:11" s="7" customFormat="1" ht="15" x14ac:dyDescent="0.25">
      <c r="A22" s="7" t="s">
        <v>11</v>
      </c>
      <c r="B22" s="8"/>
      <c r="D22" s="9"/>
      <c r="E22" s="17"/>
      <c r="F22" s="18"/>
    </row>
    <row r="23" spans="1:11" s="7" customFormat="1" ht="15" x14ac:dyDescent="0.25">
      <c r="A23" s="7" t="s">
        <v>12</v>
      </c>
      <c r="D23" s="9"/>
      <c r="E23" s="9"/>
      <c r="F23" s="17"/>
      <c r="G23" s="9"/>
    </row>
    <row r="24" spans="1:11" s="7" customFormat="1" ht="15" x14ac:dyDescent="0.25">
      <c r="A24" s="20" t="s">
        <v>13</v>
      </c>
      <c r="B24" s="21"/>
      <c r="C24" s="20"/>
      <c r="D24" s="9"/>
      <c r="E24" s="9" t="s">
        <v>14</v>
      </c>
      <c r="F24" s="17" t="s">
        <v>15</v>
      </c>
      <c r="G24" s="9" t="s">
        <v>16</v>
      </c>
      <c r="H24" s="17" t="s">
        <v>17</v>
      </c>
    </row>
    <row r="25" spans="1:11" s="7" customFormat="1" ht="15" x14ac:dyDescent="0.25">
      <c r="A25" s="22" t="s">
        <v>18</v>
      </c>
      <c r="B25" s="23"/>
      <c r="C25" s="22"/>
      <c r="D25" s="24"/>
      <c r="E25" s="16" t="s">
        <v>19</v>
      </c>
      <c r="F25" s="16"/>
      <c r="G25" s="25" t="s">
        <v>20</v>
      </c>
      <c r="H25" s="22"/>
    </row>
    <row r="26" spans="1:11" s="7" customFormat="1" ht="15" x14ac:dyDescent="0.25">
      <c r="A26" s="7">
        <v>24</v>
      </c>
      <c r="B26" s="7" t="s">
        <v>65</v>
      </c>
      <c r="C26" s="7">
        <v>2023</v>
      </c>
      <c r="E26" s="40">
        <f>(107742+360)/10</f>
        <v>10810.2</v>
      </c>
      <c r="F26" s="26" t="s">
        <v>21</v>
      </c>
      <c r="G26" s="64">
        <v>0.3</v>
      </c>
      <c r="H26" s="41">
        <f>G26*618</f>
        <v>185.4</v>
      </c>
    </row>
    <row r="27" spans="1:11" s="7" customFormat="1" ht="15" x14ac:dyDescent="0.25">
      <c r="C27" s="12"/>
      <c r="D27" s="40"/>
      <c r="E27" s="17"/>
      <c r="F27" s="9"/>
      <c r="G27" s="42"/>
    </row>
    <row r="28" spans="1:11" s="7" customFormat="1" ht="15" x14ac:dyDescent="0.25">
      <c r="A28" s="7">
        <v>24</v>
      </c>
      <c r="B28" s="7" t="s">
        <v>121</v>
      </c>
      <c r="C28" s="12">
        <f>+C26</f>
        <v>2023</v>
      </c>
      <c r="E28" s="26">
        <v>28775</v>
      </c>
      <c r="F28" s="17" t="s">
        <v>21</v>
      </c>
      <c r="G28" s="27">
        <v>0.3</v>
      </c>
      <c r="H28" s="28">
        <f>+G28*892</f>
        <v>267.59999999999997</v>
      </c>
    </row>
    <row r="29" spans="1:11" s="7" customFormat="1" ht="15" x14ac:dyDescent="0.25">
      <c r="C29" s="12"/>
      <c r="E29" s="26"/>
      <c r="F29" s="17"/>
      <c r="G29" s="27"/>
      <c r="H29" s="28"/>
    </row>
    <row r="30" spans="1:11" s="7" customFormat="1" ht="15" x14ac:dyDescent="0.25">
      <c r="A30" s="7">
        <v>25</v>
      </c>
      <c r="B30" s="63" t="s">
        <v>57</v>
      </c>
      <c r="C30" s="63">
        <f>+C28</f>
        <v>2023</v>
      </c>
      <c r="D30" s="63"/>
      <c r="E30" s="26">
        <v>128724.92</v>
      </c>
      <c r="F30" s="17" t="s">
        <v>22</v>
      </c>
      <c r="G30" s="27">
        <v>2.5</v>
      </c>
      <c r="H30" s="28">
        <f>+G30*444</f>
        <v>1110</v>
      </c>
      <c r="I30" s="29"/>
      <c r="J30" s="26"/>
      <c r="K30" s="26"/>
    </row>
    <row r="31" spans="1:11" s="7" customFormat="1" ht="15" x14ac:dyDescent="0.25">
      <c r="C31" s="12"/>
      <c r="E31" s="9"/>
      <c r="F31" s="17"/>
      <c r="G31" s="30"/>
      <c r="H31" s="28"/>
    </row>
    <row r="32" spans="1:11" s="7" customFormat="1" ht="15" x14ac:dyDescent="0.25">
      <c r="A32" s="7">
        <v>16</v>
      </c>
      <c r="B32" s="7" t="s">
        <v>23</v>
      </c>
      <c r="E32" s="26">
        <f>SUM(H26:H30)*0.12</f>
        <v>187.56</v>
      </c>
      <c r="F32" s="17"/>
      <c r="G32" s="30"/>
      <c r="H32" s="28">
        <v>0</v>
      </c>
    </row>
    <row r="33" spans="1:12" s="7" customFormat="1" ht="15" x14ac:dyDescent="0.25">
      <c r="B33" s="7" t="s">
        <v>72</v>
      </c>
      <c r="E33" s="9"/>
      <c r="F33" s="17"/>
      <c r="G33" s="30"/>
      <c r="H33" s="28"/>
      <c r="J33" s="28"/>
    </row>
    <row r="34" spans="1:12" s="7" customFormat="1" ht="15" x14ac:dyDescent="0.25">
      <c r="E34" s="9"/>
      <c r="F34" s="17"/>
      <c r="G34" s="30"/>
      <c r="H34" s="28"/>
      <c r="J34" s="28"/>
    </row>
    <row r="35" spans="1:12" s="7" customFormat="1" ht="15" x14ac:dyDescent="0.25">
      <c r="A35" s="7">
        <v>16</v>
      </c>
      <c r="B35" s="7" t="s">
        <v>75</v>
      </c>
      <c r="E35" s="26"/>
      <c r="F35" s="17"/>
      <c r="G35" s="30"/>
      <c r="H35" s="28"/>
    </row>
    <row r="36" spans="1:12" s="7" customFormat="1" ht="15" x14ac:dyDescent="0.25">
      <c r="A36" s="23"/>
      <c r="B36" s="23" t="s">
        <v>76</v>
      </c>
      <c r="C36" s="22"/>
      <c r="D36" s="23"/>
      <c r="E36" s="65"/>
      <c r="F36" s="57"/>
      <c r="G36" s="66"/>
      <c r="H36" s="58">
        <v>90</v>
      </c>
    </row>
    <row r="37" spans="1:12" s="7" customFormat="1" ht="15" x14ac:dyDescent="0.25">
      <c r="A37" s="67" t="s">
        <v>74</v>
      </c>
      <c r="B37" s="8"/>
      <c r="E37" s="7" t="s">
        <v>25</v>
      </c>
      <c r="F37" s="8"/>
      <c r="G37" s="30"/>
      <c r="H37" s="28">
        <f>SUM(H26:H36)</f>
        <v>1653</v>
      </c>
      <c r="J37" s="28"/>
      <c r="K37" s="28"/>
      <c r="L37" s="28"/>
    </row>
    <row r="38" spans="1:12" s="7" customFormat="1" ht="15" x14ac:dyDescent="0.25">
      <c r="A38" s="67" t="s">
        <v>77</v>
      </c>
      <c r="E38" s="33" t="s">
        <v>26</v>
      </c>
      <c r="F38" s="8"/>
      <c r="G38" s="30"/>
      <c r="H38" s="28">
        <f>+H37*0.19</f>
        <v>314.07</v>
      </c>
    </row>
    <row r="39" spans="1:12" s="7" customFormat="1" thickBot="1" x14ac:dyDescent="0.3">
      <c r="E39" s="34" t="s">
        <v>27</v>
      </c>
      <c r="F39" s="35"/>
      <c r="G39" s="36"/>
      <c r="H39" s="37">
        <f>SUM(H37:H38)</f>
        <v>1967.07</v>
      </c>
    </row>
    <row r="40" spans="1:12" s="7" customFormat="1" ht="7.5" customHeight="1" thickTop="1" x14ac:dyDescent="0.25">
      <c r="E40" s="38"/>
      <c r="F40" s="17"/>
      <c r="G40" s="30"/>
      <c r="H40" s="28"/>
    </row>
    <row r="41" spans="1:12" s="7" customFormat="1" ht="15" x14ac:dyDescent="0.25">
      <c r="A41" s="7" t="s">
        <v>28</v>
      </c>
      <c r="B41" s="8"/>
      <c r="D41" s="9"/>
      <c r="E41" s="17"/>
      <c r="F41" s="18"/>
      <c r="G41" s="39"/>
    </row>
    <row r="42" spans="1:12" s="7" customFormat="1" ht="15" x14ac:dyDescent="0.25">
      <c r="D42" s="9"/>
      <c r="E42" s="17"/>
      <c r="F42" s="18"/>
      <c r="G42" s="30"/>
    </row>
    <row r="43" spans="1:12" s="7" customFormat="1" ht="15" x14ac:dyDescent="0.25">
      <c r="D43" s="9"/>
      <c r="E43" s="17"/>
      <c r="F43" s="18"/>
      <c r="G43" s="30"/>
    </row>
    <row r="44" spans="1:12" s="7" customFormat="1" ht="15" x14ac:dyDescent="0.25">
      <c r="D44" s="9"/>
      <c r="E44" s="17"/>
      <c r="F44" s="18"/>
      <c r="G44" s="30"/>
    </row>
    <row r="45" spans="1:12" s="7" customFormat="1" ht="15" x14ac:dyDescent="0.25">
      <c r="B45" s="23"/>
      <c r="D45" s="9"/>
      <c r="E45" s="17"/>
      <c r="F45" s="18"/>
      <c r="G45" s="30"/>
    </row>
    <row r="46" spans="1:12" x14ac:dyDescent="0.25">
      <c r="A46" s="7"/>
      <c r="B46" s="7"/>
      <c r="C46" s="7"/>
      <c r="D46" s="9"/>
      <c r="E46" s="17"/>
      <c r="F46" s="18"/>
      <c r="G46" s="30"/>
      <c r="H46" s="7"/>
    </row>
    <row r="47" spans="1:12" s="7" customFormat="1" x14ac:dyDescent="0.25">
      <c r="A47" s="1"/>
      <c r="B47" s="1"/>
      <c r="C47" s="1"/>
      <c r="D47" s="2"/>
      <c r="E47" s="3"/>
      <c r="F47" s="6"/>
      <c r="G47" s="1"/>
      <c r="H47" s="1"/>
    </row>
    <row r="48" spans="1:12" s="7" customFormat="1" ht="10.5" customHeight="1" x14ac:dyDescent="0.25">
      <c r="D48" s="9"/>
      <c r="E48" s="17"/>
      <c r="F48" s="18"/>
      <c r="G48" s="30"/>
    </row>
    <row r="49" spans="1:8" x14ac:dyDescent="0.25">
      <c r="A49" s="142" t="s">
        <v>119</v>
      </c>
      <c r="B49" s="142"/>
      <c r="C49" s="142"/>
      <c r="D49" s="142"/>
      <c r="E49" s="142"/>
      <c r="F49" s="142"/>
      <c r="G49" s="142"/>
      <c r="H49" s="142"/>
    </row>
  </sheetData>
  <mergeCells count="10">
    <mergeCell ref="F11:H11"/>
    <mergeCell ref="F12:H12"/>
    <mergeCell ref="A18:H18"/>
    <mergeCell ref="A49:H49"/>
    <mergeCell ref="E7:F7"/>
    <mergeCell ref="G7:H7"/>
    <mergeCell ref="E8:F8"/>
    <mergeCell ref="E9:F9"/>
    <mergeCell ref="G9:H9"/>
    <mergeCell ref="G10:H10"/>
  </mergeCells>
  <printOptions horizontalCentered="1"/>
  <pageMargins left="0.78740157480314965" right="0.59055118110236227" top="0.98425196850393704" bottom="0.98425196850393704" header="0.51181102362204722" footer="0.51181102362204722"/>
  <pageSetup paperSize="9" orientation="portrait" horizontalDpi="300" verticalDpi="300" r:id="rId1"/>
  <headerFooter alignWithMargins="0">
    <oddHeader>&amp;C&amp;"Times New Roman,Standard"&amp;16Hartmut Ahting
Steuerberater
Diplom-Wirtschaftsingenieur</oddHeader>
    <oddFooter>&amp;L&amp;"Times New Roman,Standard"Heerstrasse 50
60488 Frankfurt
&amp;C&amp;"Times New Roman,Standard"Deutsche Bank
BLZ 500 700 24
Konto 409 28 62&amp;R&amp;"Times New Roman,Standard"Tel:      069 / 788 031-71
Fax:     069 / 788 031-72
Mobil:  0174 / 326 99 58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DBE5B-AEF2-409E-A943-A6C20A28D557}">
  <dimension ref="A1:J51"/>
  <sheetViews>
    <sheetView topLeftCell="A10" workbookViewId="0">
      <selection activeCell="E13" sqref="E13"/>
    </sheetView>
  </sheetViews>
  <sheetFormatPr baseColWidth="10" defaultColWidth="10.125" defaultRowHeight="15.75" x14ac:dyDescent="0.25"/>
  <cols>
    <col min="1" max="1" width="3.125" style="1" customWidth="1"/>
    <col min="2" max="2" width="30.875" style="1" customWidth="1"/>
    <col min="3" max="3" width="5.75" style="1" customWidth="1"/>
    <col min="4" max="4" width="1.75" style="2" customWidth="1"/>
    <col min="5" max="5" width="10" style="3" customWidth="1"/>
    <col min="6" max="6" width="7" style="6" bestFit="1" customWidth="1"/>
    <col min="7" max="7" width="8.125" style="1" bestFit="1" customWidth="1"/>
    <col min="8" max="8" width="9.375" style="1" customWidth="1"/>
    <col min="9" max="9" width="4.375" style="1" customWidth="1"/>
    <col min="10" max="12" width="10.125" style="1" customWidth="1"/>
    <col min="13" max="13" width="72.75" style="1" customWidth="1"/>
    <col min="14" max="256" width="10.125" style="1"/>
    <col min="257" max="257" width="3.125" style="1" customWidth="1"/>
    <col min="258" max="258" width="30.875" style="1" customWidth="1"/>
    <col min="259" max="259" width="5.75" style="1" customWidth="1"/>
    <col min="260" max="260" width="1.75" style="1" customWidth="1"/>
    <col min="261" max="261" width="10" style="1" customWidth="1"/>
    <col min="262" max="262" width="7" style="1" bestFit="1" customWidth="1"/>
    <col min="263" max="263" width="8.125" style="1" bestFit="1" customWidth="1"/>
    <col min="264" max="264" width="9.375" style="1" customWidth="1"/>
    <col min="265" max="265" width="4.375" style="1" customWidth="1"/>
    <col min="266" max="268" width="10.125" style="1"/>
    <col min="269" max="269" width="72.75" style="1" customWidth="1"/>
    <col min="270" max="512" width="10.125" style="1"/>
    <col min="513" max="513" width="3.125" style="1" customWidth="1"/>
    <col min="514" max="514" width="30.875" style="1" customWidth="1"/>
    <col min="515" max="515" width="5.75" style="1" customWidth="1"/>
    <col min="516" max="516" width="1.75" style="1" customWidth="1"/>
    <col min="517" max="517" width="10" style="1" customWidth="1"/>
    <col min="518" max="518" width="7" style="1" bestFit="1" customWidth="1"/>
    <col min="519" max="519" width="8.125" style="1" bestFit="1" customWidth="1"/>
    <col min="520" max="520" width="9.375" style="1" customWidth="1"/>
    <col min="521" max="521" width="4.375" style="1" customWidth="1"/>
    <col min="522" max="524" width="10.125" style="1"/>
    <col min="525" max="525" width="72.75" style="1" customWidth="1"/>
    <col min="526" max="768" width="10.125" style="1"/>
    <col min="769" max="769" width="3.125" style="1" customWidth="1"/>
    <col min="770" max="770" width="30.875" style="1" customWidth="1"/>
    <col min="771" max="771" width="5.75" style="1" customWidth="1"/>
    <col min="772" max="772" width="1.75" style="1" customWidth="1"/>
    <col min="773" max="773" width="10" style="1" customWidth="1"/>
    <col min="774" max="774" width="7" style="1" bestFit="1" customWidth="1"/>
    <col min="775" max="775" width="8.125" style="1" bestFit="1" customWidth="1"/>
    <col min="776" max="776" width="9.375" style="1" customWidth="1"/>
    <col min="777" max="777" width="4.375" style="1" customWidth="1"/>
    <col min="778" max="780" width="10.125" style="1"/>
    <col min="781" max="781" width="72.75" style="1" customWidth="1"/>
    <col min="782" max="1024" width="10.125" style="1"/>
    <col min="1025" max="1025" width="3.125" style="1" customWidth="1"/>
    <col min="1026" max="1026" width="30.875" style="1" customWidth="1"/>
    <col min="1027" max="1027" width="5.75" style="1" customWidth="1"/>
    <col min="1028" max="1028" width="1.75" style="1" customWidth="1"/>
    <col min="1029" max="1029" width="10" style="1" customWidth="1"/>
    <col min="1030" max="1030" width="7" style="1" bestFit="1" customWidth="1"/>
    <col min="1031" max="1031" width="8.125" style="1" bestFit="1" customWidth="1"/>
    <col min="1032" max="1032" width="9.375" style="1" customWidth="1"/>
    <col min="1033" max="1033" width="4.375" style="1" customWidth="1"/>
    <col min="1034" max="1036" width="10.125" style="1"/>
    <col min="1037" max="1037" width="72.75" style="1" customWidth="1"/>
    <col min="1038" max="1280" width="10.125" style="1"/>
    <col min="1281" max="1281" width="3.125" style="1" customWidth="1"/>
    <col min="1282" max="1282" width="30.875" style="1" customWidth="1"/>
    <col min="1283" max="1283" width="5.75" style="1" customWidth="1"/>
    <col min="1284" max="1284" width="1.75" style="1" customWidth="1"/>
    <col min="1285" max="1285" width="10" style="1" customWidth="1"/>
    <col min="1286" max="1286" width="7" style="1" bestFit="1" customWidth="1"/>
    <col min="1287" max="1287" width="8.125" style="1" bestFit="1" customWidth="1"/>
    <col min="1288" max="1288" width="9.375" style="1" customWidth="1"/>
    <col min="1289" max="1289" width="4.375" style="1" customWidth="1"/>
    <col min="1290" max="1292" width="10.125" style="1"/>
    <col min="1293" max="1293" width="72.75" style="1" customWidth="1"/>
    <col min="1294" max="1536" width="10.125" style="1"/>
    <col min="1537" max="1537" width="3.125" style="1" customWidth="1"/>
    <col min="1538" max="1538" width="30.875" style="1" customWidth="1"/>
    <col min="1539" max="1539" width="5.75" style="1" customWidth="1"/>
    <col min="1540" max="1540" width="1.75" style="1" customWidth="1"/>
    <col min="1541" max="1541" width="10" style="1" customWidth="1"/>
    <col min="1542" max="1542" width="7" style="1" bestFit="1" customWidth="1"/>
    <col min="1543" max="1543" width="8.125" style="1" bestFit="1" customWidth="1"/>
    <col min="1544" max="1544" width="9.375" style="1" customWidth="1"/>
    <col min="1545" max="1545" width="4.375" style="1" customWidth="1"/>
    <col min="1546" max="1548" width="10.125" style="1"/>
    <col min="1549" max="1549" width="72.75" style="1" customWidth="1"/>
    <col min="1550" max="1792" width="10.125" style="1"/>
    <col min="1793" max="1793" width="3.125" style="1" customWidth="1"/>
    <col min="1794" max="1794" width="30.875" style="1" customWidth="1"/>
    <col min="1795" max="1795" width="5.75" style="1" customWidth="1"/>
    <col min="1796" max="1796" width="1.75" style="1" customWidth="1"/>
    <col min="1797" max="1797" width="10" style="1" customWidth="1"/>
    <col min="1798" max="1798" width="7" style="1" bestFit="1" customWidth="1"/>
    <col min="1799" max="1799" width="8.125" style="1" bestFit="1" customWidth="1"/>
    <col min="1800" max="1800" width="9.375" style="1" customWidth="1"/>
    <col min="1801" max="1801" width="4.375" style="1" customWidth="1"/>
    <col min="1802" max="1804" width="10.125" style="1"/>
    <col min="1805" max="1805" width="72.75" style="1" customWidth="1"/>
    <col min="1806" max="2048" width="10.125" style="1"/>
    <col min="2049" max="2049" width="3.125" style="1" customWidth="1"/>
    <col min="2050" max="2050" width="30.875" style="1" customWidth="1"/>
    <col min="2051" max="2051" width="5.75" style="1" customWidth="1"/>
    <col min="2052" max="2052" width="1.75" style="1" customWidth="1"/>
    <col min="2053" max="2053" width="10" style="1" customWidth="1"/>
    <col min="2054" max="2054" width="7" style="1" bestFit="1" customWidth="1"/>
    <col min="2055" max="2055" width="8.125" style="1" bestFit="1" customWidth="1"/>
    <col min="2056" max="2056" width="9.375" style="1" customWidth="1"/>
    <col min="2057" max="2057" width="4.375" style="1" customWidth="1"/>
    <col min="2058" max="2060" width="10.125" style="1"/>
    <col min="2061" max="2061" width="72.75" style="1" customWidth="1"/>
    <col min="2062" max="2304" width="10.125" style="1"/>
    <col min="2305" max="2305" width="3.125" style="1" customWidth="1"/>
    <col min="2306" max="2306" width="30.875" style="1" customWidth="1"/>
    <col min="2307" max="2307" width="5.75" style="1" customWidth="1"/>
    <col min="2308" max="2308" width="1.75" style="1" customWidth="1"/>
    <col min="2309" max="2309" width="10" style="1" customWidth="1"/>
    <col min="2310" max="2310" width="7" style="1" bestFit="1" customWidth="1"/>
    <col min="2311" max="2311" width="8.125" style="1" bestFit="1" customWidth="1"/>
    <col min="2312" max="2312" width="9.375" style="1" customWidth="1"/>
    <col min="2313" max="2313" width="4.375" style="1" customWidth="1"/>
    <col min="2314" max="2316" width="10.125" style="1"/>
    <col min="2317" max="2317" width="72.75" style="1" customWidth="1"/>
    <col min="2318" max="2560" width="10.125" style="1"/>
    <col min="2561" max="2561" width="3.125" style="1" customWidth="1"/>
    <col min="2562" max="2562" width="30.875" style="1" customWidth="1"/>
    <col min="2563" max="2563" width="5.75" style="1" customWidth="1"/>
    <col min="2564" max="2564" width="1.75" style="1" customWidth="1"/>
    <col min="2565" max="2565" width="10" style="1" customWidth="1"/>
    <col min="2566" max="2566" width="7" style="1" bestFit="1" customWidth="1"/>
    <col min="2567" max="2567" width="8.125" style="1" bestFit="1" customWidth="1"/>
    <col min="2568" max="2568" width="9.375" style="1" customWidth="1"/>
    <col min="2569" max="2569" width="4.375" style="1" customWidth="1"/>
    <col min="2570" max="2572" width="10.125" style="1"/>
    <col min="2573" max="2573" width="72.75" style="1" customWidth="1"/>
    <col min="2574" max="2816" width="10.125" style="1"/>
    <col min="2817" max="2817" width="3.125" style="1" customWidth="1"/>
    <col min="2818" max="2818" width="30.875" style="1" customWidth="1"/>
    <col min="2819" max="2819" width="5.75" style="1" customWidth="1"/>
    <col min="2820" max="2820" width="1.75" style="1" customWidth="1"/>
    <col min="2821" max="2821" width="10" style="1" customWidth="1"/>
    <col min="2822" max="2822" width="7" style="1" bestFit="1" customWidth="1"/>
    <col min="2823" max="2823" width="8.125" style="1" bestFit="1" customWidth="1"/>
    <col min="2824" max="2824" width="9.375" style="1" customWidth="1"/>
    <col min="2825" max="2825" width="4.375" style="1" customWidth="1"/>
    <col min="2826" max="2828" width="10.125" style="1"/>
    <col min="2829" max="2829" width="72.75" style="1" customWidth="1"/>
    <col min="2830" max="3072" width="10.125" style="1"/>
    <col min="3073" max="3073" width="3.125" style="1" customWidth="1"/>
    <col min="3074" max="3074" width="30.875" style="1" customWidth="1"/>
    <col min="3075" max="3075" width="5.75" style="1" customWidth="1"/>
    <col min="3076" max="3076" width="1.75" style="1" customWidth="1"/>
    <col min="3077" max="3077" width="10" style="1" customWidth="1"/>
    <col min="3078" max="3078" width="7" style="1" bestFit="1" customWidth="1"/>
    <col min="3079" max="3079" width="8.125" style="1" bestFit="1" customWidth="1"/>
    <col min="3080" max="3080" width="9.375" style="1" customWidth="1"/>
    <col min="3081" max="3081" width="4.375" style="1" customWidth="1"/>
    <col min="3082" max="3084" width="10.125" style="1"/>
    <col min="3085" max="3085" width="72.75" style="1" customWidth="1"/>
    <col min="3086" max="3328" width="10.125" style="1"/>
    <col min="3329" max="3329" width="3.125" style="1" customWidth="1"/>
    <col min="3330" max="3330" width="30.875" style="1" customWidth="1"/>
    <col min="3331" max="3331" width="5.75" style="1" customWidth="1"/>
    <col min="3332" max="3332" width="1.75" style="1" customWidth="1"/>
    <col min="3333" max="3333" width="10" style="1" customWidth="1"/>
    <col min="3334" max="3334" width="7" style="1" bestFit="1" customWidth="1"/>
    <col min="3335" max="3335" width="8.125" style="1" bestFit="1" customWidth="1"/>
    <col min="3336" max="3336" width="9.375" style="1" customWidth="1"/>
    <col min="3337" max="3337" width="4.375" style="1" customWidth="1"/>
    <col min="3338" max="3340" width="10.125" style="1"/>
    <col min="3341" max="3341" width="72.75" style="1" customWidth="1"/>
    <col min="3342" max="3584" width="10.125" style="1"/>
    <col min="3585" max="3585" width="3.125" style="1" customWidth="1"/>
    <col min="3586" max="3586" width="30.875" style="1" customWidth="1"/>
    <col min="3587" max="3587" width="5.75" style="1" customWidth="1"/>
    <col min="3588" max="3588" width="1.75" style="1" customWidth="1"/>
    <col min="3589" max="3589" width="10" style="1" customWidth="1"/>
    <col min="3590" max="3590" width="7" style="1" bestFit="1" customWidth="1"/>
    <col min="3591" max="3591" width="8.125" style="1" bestFit="1" customWidth="1"/>
    <col min="3592" max="3592" width="9.375" style="1" customWidth="1"/>
    <col min="3593" max="3593" width="4.375" style="1" customWidth="1"/>
    <col min="3594" max="3596" width="10.125" style="1"/>
    <col min="3597" max="3597" width="72.75" style="1" customWidth="1"/>
    <col min="3598" max="3840" width="10.125" style="1"/>
    <col min="3841" max="3841" width="3.125" style="1" customWidth="1"/>
    <col min="3842" max="3842" width="30.875" style="1" customWidth="1"/>
    <col min="3843" max="3843" width="5.75" style="1" customWidth="1"/>
    <col min="3844" max="3844" width="1.75" style="1" customWidth="1"/>
    <col min="3845" max="3845" width="10" style="1" customWidth="1"/>
    <col min="3846" max="3846" width="7" style="1" bestFit="1" customWidth="1"/>
    <col min="3847" max="3847" width="8.125" style="1" bestFit="1" customWidth="1"/>
    <col min="3848" max="3848" width="9.375" style="1" customWidth="1"/>
    <col min="3849" max="3849" width="4.375" style="1" customWidth="1"/>
    <col min="3850" max="3852" width="10.125" style="1"/>
    <col min="3853" max="3853" width="72.75" style="1" customWidth="1"/>
    <col min="3854" max="4096" width="10.125" style="1"/>
    <col min="4097" max="4097" width="3.125" style="1" customWidth="1"/>
    <col min="4098" max="4098" width="30.875" style="1" customWidth="1"/>
    <col min="4099" max="4099" width="5.75" style="1" customWidth="1"/>
    <col min="4100" max="4100" width="1.75" style="1" customWidth="1"/>
    <col min="4101" max="4101" width="10" style="1" customWidth="1"/>
    <col min="4102" max="4102" width="7" style="1" bestFit="1" customWidth="1"/>
    <col min="4103" max="4103" width="8.125" style="1" bestFit="1" customWidth="1"/>
    <col min="4104" max="4104" width="9.375" style="1" customWidth="1"/>
    <col min="4105" max="4105" width="4.375" style="1" customWidth="1"/>
    <col min="4106" max="4108" width="10.125" style="1"/>
    <col min="4109" max="4109" width="72.75" style="1" customWidth="1"/>
    <col min="4110" max="4352" width="10.125" style="1"/>
    <col min="4353" max="4353" width="3.125" style="1" customWidth="1"/>
    <col min="4354" max="4354" width="30.875" style="1" customWidth="1"/>
    <col min="4355" max="4355" width="5.75" style="1" customWidth="1"/>
    <col min="4356" max="4356" width="1.75" style="1" customWidth="1"/>
    <col min="4357" max="4357" width="10" style="1" customWidth="1"/>
    <col min="4358" max="4358" width="7" style="1" bestFit="1" customWidth="1"/>
    <col min="4359" max="4359" width="8.125" style="1" bestFit="1" customWidth="1"/>
    <col min="4360" max="4360" width="9.375" style="1" customWidth="1"/>
    <col min="4361" max="4361" width="4.375" style="1" customWidth="1"/>
    <col min="4362" max="4364" width="10.125" style="1"/>
    <col min="4365" max="4365" width="72.75" style="1" customWidth="1"/>
    <col min="4366" max="4608" width="10.125" style="1"/>
    <col min="4609" max="4609" width="3.125" style="1" customWidth="1"/>
    <col min="4610" max="4610" width="30.875" style="1" customWidth="1"/>
    <col min="4611" max="4611" width="5.75" style="1" customWidth="1"/>
    <col min="4612" max="4612" width="1.75" style="1" customWidth="1"/>
    <col min="4613" max="4613" width="10" style="1" customWidth="1"/>
    <col min="4614" max="4614" width="7" style="1" bestFit="1" customWidth="1"/>
    <col min="4615" max="4615" width="8.125" style="1" bestFit="1" customWidth="1"/>
    <col min="4616" max="4616" width="9.375" style="1" customWidth="1"/>
    <col min="4617" max="4617" width="4.375" style="1" customWidth="1"/>
    <col min="4618" max="4620" width="10.125" style="1"/>
    <col min="4621" max="4621" width="72.75" style="1" customWidth="1"/>
    <col min="4622" max="4864" width="10.125" style="1"/>
    <col min="4865" max="4865" width="3.125" style="1" customWidth="1"/>
    <col min="4866" max="4866" width="30.875" style="1" customWidth="1"/>
    <col min="4867" max="4867" width="5.75" style="1" customWidth="1"/>
    <col min="4868" max="4868" width="1.75" style="1" customWidth="1"/>
    <col min="4869" max="4869" width="10" style="1" customWidth="1"/>
    <col min="4870" max="4870" width="7" style="1" bestFit="1" customWidth="1"/>
    <col min="4871" max="4871" width="8.125" style="1" bestFit="1" customWidth="1"/>
    <col min="4872" max="4872" width="9.375" style="1" customWidth="1"/>
    <col min="4873" max="4873" width="4.375" style="1" customWidth="1"/>
    <col min="4874" max="4876" width="10.125" style="1"/>
    <col min="4877" max="4877" width="72.75" style="1" customWidth="1"/>
    <col min="4878" max="5120" width="10.125" style="1"/>
    <col min="5121" max="5121" width="3.125" style="1" customWidth="1"/>
    <col min="5122" max="5122" width="30.875" style="1" customWidth="1"/>
    <col min="5123" max="5123" width="5.75" style="1" customWidth="1"/>
    <col min="5124" max="5124" width="1.75" style="1" customWidth="1"/>
    <col min="5125" max="5125" width="10" style="1" customWidth="1"/>
    <col min="5126" max="5126" width="7" style="1" bestFit="1" customWidth="1"/>
    <col min="5127" max="5127" width="8.125" style="1" bestFit="1" customWidth="1"/>
    <col min="5128" max="5128" width="9.375" style="1" customWidth="1"/>
    <col min="5129" max="5129" width="4.375" style="1" customWidth="1"/>
    <col min="5130" max="5132" width="10.125" style="1"/>
    <col min="5133" max="5133" width="72.75" style="1" customWidth="1"/>
    <col min="5134" max="5376" width="10.125" style="1"/>
    <col min="5377" max="5377" width="3.125" style="1" customWidth="1"/>
    <col min="5378" max="5378" width="30.875" style="1" customWidth="1"/>
    <col min="5379" max="5379" width="5.75" style="1" customWidth="1"/>
    <col min="5380" max="5380" width="1.75" style="1" customWidth="1"/>
    <col min="5381" max="5381" width="10" style="1" customWidth="1"/>
    <col min="5382" max="5382" width="7" style="1" bestFit="1" customWidth="1"/>
    <col min="5383" max="5383" width="8.125" style="1" bestFit="1" customWidth="1"/>
    <col min="5384" max="5384" width="9.375" style="1" customWidth="1"/>
    <col min="5385" max="5385" width="4.375" style="1" customWidth="1"/>
    <col min="5386" max="5388" width="10.125" style="1"/>
    <col min="5389" max="5389" width="72.75" style="1" customWidth="1"/>
    <col min="5390" max="5632" width="10.125" style="1"/>
    <col min="5633" max="5633" width="3.125" style="1" customWidth="1"/>
    <col min="5634" max="5634" width="30.875" style="1" customWidth="1"/>
    <col min="5635" max="5635" width="5.75" style="1" customWidth="1"/>
    <col min="5636" max="5636" width="1.75" style="1" customWidth="1"/>
    <col min="5637" max="5637" width="10" style="1" customWidth="1"/>
    <col min="5638" max="5638" width="7" style="1" bestFit="1" customWidth="1"/>
    <col min="5639" max="5639" width="8.125" style="1" bestFit="1" customWidth="1"/>
    <col min="5640" max="5640" width="9.375" style="1" customWidth="1"/>
    <col min="5641" max="5641" width="4.375" style="1" customWidth="1"/>
    <col min="5642" max="5644" width="10.125" style="1"/>
    <col min="5645" max="5645" width="72.75" style="1" customWidth="1"/>
    <col min="5646" max="5888" width="10.125" style="1"/>
    <col min="5889" max="5889" width="3.125" style="1" customWidth="1"/>
    <col min="5890" max="5890" width="30.875" style="1" customWidth="1"/>
    <col min="5891" max="5891" width="5.75" style="1" customWidth="1"/>
    <col min="5892" max="5892" width="1.75" style="1" customWidth="1"/>
    <col min="5893" max="5893" width="10" style="1" customWidth="1"/>
    <col min="5894" max="5894" width="7" style="1" bestFit="1" customWidth="1"/>
    <col min="5895" max="5895" width="8.125" style="1" bestFit="1" customWidth="1"/>
    <col min="5896" max="5896" width="9.375" style="1" customWidth="1"/>
    <col min="5897" max="5897" width="4.375" style="1" customWidth="1"/>
    <col min="5898" max="5900" width="10.125" style="1"/>
    <col min="5901" max="5901" width="72.75" style="1" customWidth="1"/>
    <col min="5902" max="6144" width="10.125" style="1"/>
    <col min="6145" max="6145" width="3.125" style="1" customWidth="1"/>
    <col min="6146" max="6146" width="30.875" style="1" customWidth="1"/>
    <col min="6147" max="6147" width="5.75" style="1" customWidth="1"/>
    <col min="6148" max="6148" width="1.75" style="1" customWidth="1"/>
    <col min="6149" max="6149" width="10" style="1" customWidth="1"/>
    <col min="6150" max="6150" width="7" style="1" bestFit="1" customWidth="1"/>
    <col min="6151" max="6151" width="8.125" style="1" bestFit="1" customWidth="1"/>
    <col min="6152" max="6152" width="9.375" style="1" customWidth="1"/>
    <col min="6153" max="6153" width="4.375" style="1" customWidth="1"/>
    <col min="6154" max="6156" width="10.125" style="1"/>
    <col min="6157" max="6157" width="72.75" style="1" customWidth="1"/>
    <col min="6158" max="6400" width="10.125" style="1"/>
    <col min="6401" max="6401" width="3.125" style="1" customWidth="1"/>
    <col min="6402" max="6402" width="30.875" style="1" customWidth="1"/>
    <col min="6403" max="6403" width="5.75" style="1" customWidth="1"/>
    <col min="6404" max="6404" width="1.75" style="1" customWidth="1"/>
    <col min="6405" max="6405" width="10" style="1" customWidth="1"/>
    <col min="6406" max="6406" width="7" style="1" bestFit="1" customWidth="1"/>
    <col min="6407" max="6407" width="8.125" style="1" bestFit="1" customWidth="1"/>
    <col min="6408" max="6408" width="9.375" style="1" customWidth="1"/>
    <col min="6409" max="6409" width="4.375" style="1" customWidth="1"/>
    <col min="6410" max="6412" width="10.125" style="1"/>
    <col min="6413" max="6413" width="72.75" style="1" customWidth="1"/>
    <col min="6414" max="6656" width="10.125" style="1"/>
    <col min="6657" max="6657" width="3.125" style="1" customWidth="1"/>
    <col min="6658" max="6658" width="30.875" style="1" customWidth="1"/>
    <col min="6659" max="6659" width="5.75" style="1" customWidth="1"/>
    <col min="6660" max="6660" width="1.75" style="1" customWidth="1"/>
    <col min="6661" max="6661" width="10" style="1" customWidth="1"/>
    <col min="6662" max="6662" width="7" style="1" bestFit="1" customWidth="1"/>
    <col min="6663" max="6663" width="8.125" style="1" bestFit="1" customWidth="1"/>
    <col min="6664" max="6664" width="9.375" style="1" customWidth="1"/>
    <col min="6665" max="6665" width="4.375" style="1" customWidth="1"/>
    <col min="6666" max="6668" width="10.125" style="1"/>
    <col min="6669" max="6669" width="72.75" style="1" customWidth="1"/>
    <col min="6670" max="6912" width="10.125" style="1"/>
    <col min="6913" max="6913" width="3.125" style="1" customWidth="1"/>
    <col min="6914" max="6914" width="30.875" style="1" customWidth="1"/>
    <col min="6915" max="6915" width="5.75" style="1" customWidth="1"/>
    <col min="6916" max="6916" width="1.75" style="1" customWidth="1"/>
    <col min="6917" max="6917" width="10" style="1" customWidth="1"/>
    <col min="6918" max="6918" width="7" style="1" bestFit="1" customWidth="1"/>
    <col min="6919" max="6919" width="8.125" style="1" bestFit="1" customWidth="1"/>
    <col min="6920" max="6920" width="9.375" style="1" customWidth="1"/>
    <col min="6921" max="6921" width="4.375" style="1" customWidth="1"/>
    <col min="6922" max="6924" width="10.125" style="1"/>
    <col min="6925" max="6925" width="72.75" style="1" customWidth="1"/>
    <col min="6926" max="7168" width="10.125" style="1"/>
    <col min="7169" max="7169" width="3.125" style="1" customWidth="1"/>
    <col min="7170" max="7170" width="30.875" style="1" customWidth="1"/>
    <col min="7171" max="7171" width="5.75" style="1" customWidth="1"/>
    <col min="7172" max="7172" width="1.75" style="1" customWidth="1"/>
    <col min="7173" max="7173" width="10" style="1" customWidth="1"/>
    <col min="7174" max="7174" width="7" style="1" bestFit="1" customWidth="1"/>
    <col min="7175" max="7175" width="8.125" style="1" bestFit="1" customWidth="1"/>
    <col min="7176" max="7176" width="9.375" style="1" customWidth="1"/>
    <col min="7177" max="7177" width="4.375" style="1" customWidth="1"/>
    <col min="7178" max="7180" width="10.125" style="1"/>
    <col min="7181" max="7181" width="72.75" style="1" customWidth="1"/>
    <col min="7182" max="7424" width="10.125" style="1"/>
    <col min="7425" max="7425" width="3.125" style="1" customWidth="1"/>
    <col min="7426" max="7426" width="30.875" style="1" customWidth="1"/>
    <col min="7427" max="7427" width="5.75" style="1" customWidth="1"/>
    <col min="7428" max="7428" width="1.75" style="1" customWidth="1"/>
    <col min="7429" max="7429" width="10" style="1" customWidth="1"/>
    <col min="7430" max="7430" width="7" style="1" bestFit="1" customWidth="1"/>
    <col min="7431" max="7431" width="8.125" style="1" bestFit="1" customWidth="1"/>
    <col min="7432" max="7432" width="9.375" style="1" customWidth="1"/>
    <col min="7433" max="7433" width="4.375" style="1" customWidth="1"/>
    <col min="7434" max="7436" width="10.125" style="1"/>
    <col min="7437" max="7437" width="72.75" style="1" customWidth="1"/>
    <col min="7438" max="7680" width="10.125" style="1"/>
    <col min="7681" max="7681" width="3.125" style="1" customWidth="1"/>
    <col min="7682" max="7682" width="30.875" style="1" customWidth="1"/>
    <col min="7683" max="7683" width="5.75" style="1" customWidth="1"/>
    <col min="7684" max="7684" width="1.75" style="1" customWidth="1"/>
    <col min="7685" max="7685" width="10" style="1" customWidth="1"/>
    <col min="7686" max="7686" width="7" style="1" bestFit="1" customWidth="1"/>
    <col min="7687" max="7687" width="8.125" style="1" bestFit="1" customWidth="1"/>
    <col min="7688" max="7688" width="9.375" style="1" customWidth="1"/>
    <col min="7689" max="7689" width="4.375" style="1" customWidth="1"/>
    <col min="7690" max="7692" width="10.125" style="1"/>
    <col min="7693" max="7693" width="72.75" style="1" customWidth="1"/>
    <col min="7694" max="7936" width="10.125" style="1"/>
    <col min="7937" max="7937" width="3.125" style="1" customWidth="1"/>
    <col min="7938" max="7938" width="30.875" style="1" customWidth="1"/>
    <col min="7939" max="7939" width="5.75" style="1" customWidth="1"/>
    <col min="7940" max="7940" width="1.75" style="1" customWidth="1"/>
    <col min="7941" max="7941" width="10" style="1" customWidth="1"/>
    <col min="7942" max="7942" width="7" style="1" bestFit="1" customWidth="1"/>
    <col min="7943" max="7943" width="8.125" style="1" bestFit="1" customWidth="1"/>
    <col min="7944" max="7944" width="9.375" style="1" customWidth="1"/>
    <col min="7945" max="7945" width="4.375" style="1" customWidth="1"/>
    <col min="7946" max="7948" width="10.125" style="1"/>
    <col min="7949" max="7949" width="72.75" style="1" customWidth="1"/>
    <col min="7950" max="8192" width="10.125" style="1"/>
    <col min="8193" max="8193" width="3.125" style="1" customWidth="1"/>
    <col min="8194" max="8194" width="30.875" style="1" customWidth="1"/>
    <col min="8195" max="8195" width="5.75" style="1" customWidth="1"/>
    <col min="8196" max="8196" width="1.75" style="1" customWidth="1"/>
    <col min="8197" max="8197" width="10" style="1" customWidth="1"/>
    <col min="8198" max="8198" width="7" style="1" bestFit="1" customWidth="1"/>
    <col min="8199" max="8199" width="8.125" style="1" bestFit="1" customWidth="1"/>
    <col min="8200" max="8200" width="9.375" style="1" customWidth="1"/>
    <col min="8201" max="8201" width="4.375" style="1" customWidth="1"/>
    <col min="8202" max="8204" width="10.125" style="1"/>
    <col min="8205" max="8205" width="72.75" style="1" customWidth="1"/>
    <col min="8206" max="8448" width="10.125" style="1"/>
    <col min="8449" max="8449" width="3.125" style="1" customWidth="1"/>
    <col min="8450" max="8450" width="30.875" style="1" customWidth="1"/>
    <col min="8451" max="8451" width="5.75" style="1" customWidth="1"/>
    <col min="8452" max="8452" width="1.75" style="1" customWidth="1"/>
    <col min="8453" max="8453" width="10" style="1" customWidth="1"/>
    <col min="8454" max="8454" width="7" style="1" bestFit="1" customWidth="1"/>
    <col min="8455" max="8455" width="8.125" style="1" bestFit="1" customWidth="1"/>
    <col min="8456" max="8456" width="9.375" style="1" customWidth="1"/>
    <col min="8457" max="8457" width="4.375" style="1" customWidth="1"/>
    <col min="8458" max="8460" width="10.125" style="1"/>
    <col min="8461" max="8461" width="72.75" style="1" customWidth="1"/>
    <col min="8462" max="8704" width="10.125" style="1"/>
    <col min="8705" max="8705" width="3.125" style="1" customWidth="1"/>
    <col min="8706" max="8706" width="30.875" style="1" customWidth="1"/>
    <col min="8707" max="8707" width="5.75" style="1" customWidth="1"/>
    <col min="8708" max="8708" width="1.75" style="1" customWidth="1"/>
    <col min="8709" max="8709" width="10" style="1" customWidth="1"/>
    <col min="8710" max="8710" width="7" style="1" bestFit="1" customWidth="1"/>
    <col min="8711" max="8711" width="8.125" style="1" bestFit="1" customWidth="1"/>
    <col min="8712" max="8712" width="9.375" style="1" customWidth="1"/>
    <col min="8713" max="8713" width="4.375" style="1" customWidth="1"/>
    <col min="8714" max="8716" width="10.125" style="1"/>
    <col min="8717" max="8717" width="72.75" style="1" customWidth="1"/>
    <col min="8718" max="8960" width="10.125" style="1"/>
    <col min="8961" max="8961" width="3.125" style="1" customWidth="1"/>
    <col min="8962" max="8962" width="30.875" style="1" customWidth="1"/>
    <col min="8963" max="8963" width="5.75" style="1" customWidth="1"/>
    <col min="8964" max="8964" width="1.75" style="1" customWidth="1"/>
    <col min="8965" max="8965" width="10" style="1" customWidth="1"/>
    <col min="8966" max="8966" width="7" style="1" bestFit="1" customWidth="1"/>
    <col min="8967" max="8967" width="8.125" style="1" bestFit="1" customWidth="1"/>
    <col min="8968" max="8968" width="9.375" style="1" customWidth="1"/>
    <col min="8969" max="8969" width="4.375" style="1" customWidth="1"/>
    <col min="8970" max="8972" width="10.125" style="1"/>
    <col min="8973" max="8973" width="72.75" style="1" customWidth="1"/>
    <col min="8974" max="9216" width="10.125" style="1"/>
    <col min="9217" max="9217" width="3.125" style="1" customWidth="1"/>
    <col min="9218" max="9218" width="30.875" style="1" customWidth="1"/>
    <col min="9219" max="9219" width="5.75" style="1" customWidth="1"/>
    <col min="9220" max="9220" width="1.75" style="1" customWidth="1"/>
    <col min="9221" max="9221" width="10" style="1" customWidth="1"/>
    <col min="9222" max="9222" width="7" style="1" bestFit="1" customWidth="1"/>
    <col min="9223" max="9223" width="8.125" style="1" bestFit="1" customWidth="1"/>
    <col min="9224" max="9224" width="9.375" style="1" customWidth="1"/>
    <col min="9225" max="9225" width="4.375" style="1" customWidth="1"/>
    <col min="9226" max="9228" width="10.125" style="1"/>
    <col min="9229" max="9229" width="72.75" style="1" customWidth="1"/>
    <col min="9230" max="9472" width="10.125" style="1"/>
    <col min="9473" max="9473" width="3.125" style="1" customWidth="1"/>
    <col min="9474" max="9474" width="30.875" style="1" customWidth="1"/>
    <col min="9475" max="9475" width="5.75" style="1" customWidth="1"/>
    <col min="9476" max="9476" width="1.75" style="1" customWidth="1"/>
    <col min="9477" max="9477" width="10" style="1" customWidth="1"/>
    <col min="9478" max="9478" width="7" style="1" bestFit="1" customWidth="1"/>
    <col min="9479" max="9479" width="8.125" style="1" bestFit="1" customWidth="1"/>
    <col min="9480" max="9480" width="9.375" style="1" customWidth="1"/>
    <col min="9481" max="9481" width="4.375" style="1" customWidth="1"/>
    <col min="9482" max="9484" width="10.125" style="1"/>
    <col min="9485" max="9485" width="72.75" style="1" customWidth="1"/>
    <col min="9486" max="9728" width="10.125" style="1"/>
    <col min="9729" max="9729" width="3.125" style="1" customWidth="1"/>
    <col min="9730" max="9730" width="30.875" style="1" customWidth="1"/>
    <col min="9731" max="9731" width="5.75" style="1" customWidth="1"/>
    <col min="9732" max="9732" width="1.75" style="1" customWidth="1"/>
    <col min="9733" max="9733" width="10" style="1" customWidth="1"/>
    <col min="9734" max="9734" width="7" style="1" bestFit="1" customWidth="1"/>
    <col min="9735" max="9735" width="8.125" style="1" bestFit="1" customWidth="1"/>
    <col min="9736" max="9736" width="9.375" style="1" customWidth="1"/>
    <col min="9737" max="9737" width="4.375" style="1" customWidth="1"/>
    <col min="9738" max="9740" width="10.125" style="1"/>
    <col min="9741" max="9741" width="72.75" style="1" customWidth="1"/>
    <col min="9742" max="9984" width="10.125" style="1"/>
    <col min="9985" max="9985" width="3.125" style="1" customWidth="1"/>
    <col min="9986" max="9986" width="30.875" style="1" customWidth="1"/>
    <col min="9987" max="9987" width="5.75" style="1" customWidth="1"/>
    <col min="9988" max="9988" width="1.75" style="1" customWidth="1"/>
    <col min="9989" max="9989" width="10" style="1" customWidth="1"/>
    <col min="9990" max="9990" width="7" style="1" bestFit="1" customWidth="1"/>
    <col min="9991" max="9991" width="8.125" style="1" bestFit="1" customWidth="1"/>
    <col min="9992" max="9992" width="9.375" style="1" customWidth="1"/>
    <col min="9993" max="9993" width="4.375" style="1" customWidth="1"/>
    <col min="9994" max="9996" width="10.125" style="1"/>
    <col min="9997" max="9997" width="72.75" style="1" customWidth="1"/>
    <col min="9998" max="10240" width="10.125" style="1"/>
    <col min="10241" max="10241" width="3.125" style="1" customWidth="1"/>
    <col min="10242" max="10242" width="30.875" style="1" customWidth="1"/>
    <col min="10243" max="10243" width="5.75" style="1" customWidth="1"/>
    <col min="10244" max="10244" width="1.75" style="1" customWidth="1"/>
    <col min="10245" max="10245" width="10" style="1" customWidth="1"/>
    <col min="10246" max="10246" width="7" style="1" bestFit="1" customWidth="1"/>
    <col min="10247" max="10247" width="8.125" style="1" bestFit="1" customWidth="1"/>
    <col min="10248" max="10248" width="9.375" style="1" customWidth="1"/>
    <col min="10249" max="10249" width="4.375" style="1" customWidth="1"/>
    <col min="10250" max="10252" width="10.125" style="1"/>
    <col min="10253" max="10253" width="72.75" style="1" customWidth="1"/>
    <col min="10254" max="10496" width="10.125" style="1"/>
    <col min="10497" max="10497" width="3.125" style="1" customWidth="1"/>
    <col min="10498" max="10498" width="30.875" style="1" customWidth="1"/>
    <col min="10499" max="10499" width="5.75" style="1" customWidth="1"/>
    <col min="10500" max="10500" width="1.75" style="1" customWidth="1"/>
    <col min="10501" max="10501" width="10" style="1" customWidth="1"/>
    <col min="10502" max="10502" width="7" style="1" bestFit="1" customWidth="1"/>
    <col min="10503" max="10503" width="8.125" style="1" bestFit="1" customWidth="1"/>
    <col min="10504" max="10504" width="9.375" style="1" customWidth="1"/>
    <col min="10505" max="10505" width="4.375" style="1" customWidth="1"/>
    <col min="10506" max="10508" width="10.125" style="1"/>
    <col min="10509" max="10509" width="72.75" style="1" customWidth="1"/>
    <col min="10510" max="10752" width="10.125" style="1"/>
    <col min="10753" max="10753" width="3.125" style="1" customWidth="1"/>
    <col min="10754" max="10754" width="30.875" style="1" customWidth="1"/>
    <col min="10755" max="10755" width="5.75" style="1" customWidth="1"/>
    <col min="10756" max="10756" width="1.75" style="1" customWidth="1"/>
    <col min="10757" max="10757" width="10" style="1" customWidth="1"/>
    <col min="10758" max="10758" width="7" style="1" bestFit="1" customWidth="1"/>
    <col min="10759" max="10759" width="8.125" style="1" bestFit="1" customWidth="1"/>
    <col min="10760" max="10760" width="9.375" style="1" customWidth="1"/>
    <col min="10761" max="10761" width="4.375" style="1" customWidth="1"/>
    <col min="10762" max="10764" width="10.125" style="1"/>
    <col min="10765" max="10765" width="72.75" style="1" customWidth="1"/>
    <col min="10766" max="11008" width="10.125" style="1"/>
    <col min="11009" max="11009" width="3.125" style="1" customWidth="1"/>
    <col min="11010" max="11010" width="30.875" style="1" customWidth="1"/>
    <col min="11011" max="11011" width="5.75" style="1" customWidth="1"/>
    <col min="11012" max="11012" width="1.75" style="1" customWidth="1"/>
    <col min="11013" max="11013" width="10" style="1" customWidth="1"/>
    <col min="11014" max="11014" width="7" style="1" bestFit="1" customWidth="1"/>
    <col min="11015" max="11015" width="8.125" style="1" bestFit="1" customWidth="1"/>
    <col min="11016" max="11016" width="9.375" style="1" customWidth="1"/>
    <col min="11017" max="11017" width="4.375" style="1" customWidth="1"/>
    <col min="11018" max="11020" width="10.125" style="1"/>
    <col min="11021" max="11021" width="72.75" style="1" customWidth="1"/>
    <col min="11022" max="11264" width="10.125" style="1"/>
    <col min="11265" max="11265" width="3.125" style="1" customWidth="1"/>
    <col min="11266" max="11266" width="30.875" style="1" customWidth="1"/>
    <col min="11267" max="11267" width="5.75" style="1" customWidth="1"/>
    <col min="11268" max="11268" width="1.75" style="1" customWidth="1"/>
    <col min="11269" max="11269" width="10" style="1" customWidth="1"/>
    <col min="11270" max="11270" width="7" style="1" bestFit="1" customWidth="1"/>
    <col min="11271" max="11271" width="8.125" style="1" bestFit="1" customWidth="1"/>
    <col min="11272" max="11272" width="9.375" style="1" customWidth="1"/>
    <col min="11273" max="11273" width="4.375" style="1" customWidth="1"/>
    <col min="11274" max="11276" width="10.125" style="1"/>
    <col min="11277" max="11277" width="72.75" style="1" customWidth="1"/>
    <col min="11278" max="11520" width="10.125" style="1"/>
    <col min="11521" max="11521" width="3.125" style="1" customWidth="1"/>
    <col min="11522" max="11522" width="30.875" style="1" customWidth="1"/>
    <col min="11523" max="11523" width="5.75" style="1" customWidth="1"/>
    <col min="11524" max="11524" width="1.75" style="1" customWidth="1"/>
    <col min="11525" max="11525" width="10" style="1" customWidth="1"/>
    <col min="11526" max="11526" width="7" style="1" bestFit="1" customWidth="1"/>
    <col min="11527" max="11527" width="8.125" style="1" bestFit="1" customWidth="1"/>
    <col min="11528" max="11528" width="9.375" style="1" customWidth="1"/>
    <col min="11529" max="11529" width="4.375" style="1" customWidth="1"/>
    <col min="11530" max="11532" width="10.125" style="1"/>
    <col min="11533" max="11533" width="72.75" style="1" customWidth="1"/>
    <col min="11534" max="11776" width="10.125" style="1"/>
    <col min="11777" max="11777" width="3.125" style="1" customWidth="1"/>
    <col min="11778" max="11778" width="30.875" style="1" customWidth="1"/>
    <col min="11779" max="11779" width="5.75" style="1" customWidth="1"/>
    <col min="11780" max="11780" width="1.75" style="1" customWidth="1"/>
    <col min="11781" max="11781" width="10" style="1" customWidth="1"/>
    <col min="11782" max="11782" width="7" style="1" bestFit="1" customWidth="1"/>
    <col min="11783" max="11783" width="8.125" style="1" bestFit="1" customWidth="1"/>
    <col min="11784" max="11784" width="9.375" style="1" customWidth="1"/>
    <col min="11785" max="11785" width="4.375" style="1" customWidth="1"/>
    <col min="11786" max="11788" width="10.125" style="1"/>
    <col min="11789" max="11789" width="72.75" style="1" customWidth="1"/>
    <col min="11790" max="12032" width="10.125" style="1"/>
    <col min="12033" max="12033" width="3.125" style="1" customWidth="1"/>
    <col min="12034" max="12034" width="30.875" style="1" customWidth="1"/>
    <col min="12035" max="12035" width="5.75" style="1" customWidth="1"/>
    <col min="12036" max="12036" width="1.75" style="1" customWidth="1"/>
    <col min="12037" max="12037" width="10" style="1" customWidth="1"/>
    <col min="12038" max="12038" width="7" style="1" bestFit="1" customWidth="1"/>
    <col min="12039" max="12039" width="8.125" style="1" bestFit="1" customWidth="1"/>
    <col min="12040" max="12040" width="9.375" style="1" customWidth="1"/>
    <col min="12041" max="12041" width="4.375" style="1" customWidth="1"/>
    <col min="12042" max="12044" width="10.125" style="1"/>
    <col min="12045" max="12045" width="72.75" style="1" customWidth="1"/>
    <col min="12046" max="12288" width="10.125" style="1"/>
    <col min="12289" max="12289" width="3.125" style="1" customWidth="1"/>
    <col min="12290" max="12290" width="30.875" style="1" customWidth="1"/>
    <col min="12291" max="12291" width="5.75" style="1" customWidth="1"/>
    <col min="12292" max="12292" width="1.75" style="1" customWidth="1"/>
    <col min="12293" max="12293" width="10" style="1" customWidth="1"/>
    <col min="12294" max="12294" width="7" style="1" bestFit="1" customWidth="1"/>
    <col min="12295" max="12295" width="8.125" style="1" bestFit="1" customWidth="1"/>
    <col min="12296" max="12296" width="9.375" style="1" customWidth="1"/>
    <col min="12297" max="12297" width="4.375" style="1" customWidth="1"/>
    <col min="12298" max="12300" width="10.125" style="1"/>
    <col min="12301" max="12301" width="72.75" style="1" customWidth="1"/>
    <col min="12302" max="12544" width="10.125" style="1"/>
    <col min="12545" max="12545" width="3.125" style="1" customWidth="1"/>
    <col min="12546" max="12546" width="30.875" style="1" customWidth="1"/>
    <col min="12547" max="12547" width="5.75" style="1" customWidth="1"/>
    <col min="12548" max="12548" width="1.75" style="1" customWidth="1"/>
    <col min="12549" max="12549" width="10" style="1" customWidth="1"/>
    <col min="12550" max="12550" width="7" style="1" bestFit="1" customWidth="1"/>
    <col min="12551" max="12551" width="8.125" style="1" bestFit="1" customWidth="1"/>
    <col min="12552" max="12552" width="9.375" style="1" customWidth="1"/>
    <col min="12553" max="12553" width="4.375" style="1" customWidth="1"/>
    <col min="12554" max="12556" width="10.125" style="1"/>
    <col min="12557" max="12557" width="72.75" style="1" customWidth="1"/>
    <col min="12558" max="12800" width="10.125" style="1"/>
    <col min="12801" max="12801" width="3.125" style="1" customWidth="1"/>
    <col min="12802" max="12802" width="30.875" style="1" customWidth="1"/>
    <col min="12803" max="12803" width="5.75" style="1" customWidth="1"/>
    <col min="12804" max="12804" width="1.75" style="1" customWidth="1"/>
    <col min="12805" max="12805" width="10" style="1" customWidth="1"/>
    <col min="12806" max="12806" width="7" style="1" bestFit="1" customWidth="1"/>
    <col min="12807" max="12807" width="8.125" style="1" bestFit="1" customWidth="1"/>
    <col min="12808" max="12808" width="9.375" style="1" customWidth="1"/>
    <col min="12809" max="12809" width="4.375" style="1" customWidth="1"/>
    <col min="12810" max="12812" width="10.125" style="1"/>
    <col min="12813" max="12813" width="72.75" style="1" customWidth="1"/>
    <col min="12814" max="13056" width="10.125" style="1"/>
    <col min="13057" max="13057" width="3.125" style="1" customWidth="1"/>
    <col min="13058" max="13058" width="30.875" style="1" customWidth="1"/>
    <col min="13059" max="13059" width="5.75" style="1" customWidth="1"/>
    <col min="13060" max="13060" width="1.75" style="1" customWidth="1"/>
    <col min="13061" max="13061" width="10" style="1" customWidth="1"/>
    <col min="13062" max="13062" width="7" style="1" bestFit="1" customWidth="1"/>
    <col min="13063" max="13063" width="8.125" style="1" bestFit="1" customWidth="1"/>
    <col min="13064" max="13064" width="9.375" style="1" customWidth="1"/>
    <col min="13065" max="13065" width="4.375" style="1" customWidth="1"/>
    <col min="13066" max="13068" width="10.125" style="1"/>
    <col min="13069" max="13069" width="72.75" style="1" customWidth="1"/>
    <col min="13070" max="13312" width="10.125" style="1"/>
    <col min="13313" max="13313" width="3.125" style="1" customWidth="1"/>
    <col min="13314" max="13314" width="30.875" style="1" customWidth="1"/>
    <col min="13315" max="13315" width="5.75" style="1" customWidth="1"/>
    <col min="13316" max="13316" width="1.75" style="1" customWidth="1"/>
    <col min="13317" max="13317" width="10" style="1" customWidth="1"/>
    <col min="13318" max="13318" width="7" style="1" bestFit="1" customWidth="1"/>
    <col min="13319" max="13319" width="8.125" style="1" bestFit="1" customWidth="1"/>
    <col min="13320" max="13320" width="9.375" style="1" customWidth="1"/>
    <col min="13321" max="13321" width="4.375" style="1" customWidth="1"/>
    <col min="13322" max="13324" width="10.125" style="1"/>
    <col min="13325" max="13325" width="72.75" style="1" customWidth="1"/>
    <col min="13326" max="13568" width="10.125" style="1"/>
    <col min="13569" max="13569" width="3.125" style="1" customWidth="1"/>
    <col min="13570" max="13570" width="30.875" style="1" customWidth="1"/>
    <col min="13571" max="13571" width="5.75" style="1" customWidth="1"/>
    <col min="13572" max="13572" width="1.75" style="1" customWidth="1"/>
    <col min="13573" max="13573" width="10" style="1" customWidth="1"/>
    <col min="13574" max="13574" width="7" style="1" bestFit="1" customWidth="1"/>
    <col min="13575" max="13575" width="8.125" style="1" bestFit="1" customWidth="1"/>
    <col min="13576" max="13576" width="9.375" style="1" customWidth="1"/>
    <col min="13577" max="13577" width="4.375" style="1" customWidth="1"/>
    <col min="13578" max="13580" width="10.125" style="1"/>
    <col min="13581" max="13581" width="72.75" style="1" customWidth="1"/>
    <col min="13582" max="13824" width="10.125" style="1"/>
    <col min="13825" max="13825" width="3.125" style="1" customWidth="1"/>
    <col min="13826" max="13826" width="30.875" style="1" customWidth="1"/>
    <col min="13827" max="13827" width="5.75" style="1" customWidth="1"/>
    <col min="13828" max="13828" width="1.75" style="1" customWidth="1"/>
    <col min="13829" max="13829" width="10" style="1" customWidth="1"/>
    <col min="13830" max="13830" width="7" style="1" bestFit="1" customWidth="1"/>
    <col min="13831" max="13831" width="8.125" style="1" bestFit="1" customWidth="1"/>
    <col min="13832" max="13832" width="9.375" style="1" customWidth="1"/>
    <col min="13833" max="13833" width="4.375" style="1" customWidth="1"/>
    <col min="13834" max="13836" width="10.125" style="1"/>
    <col min="13837" max="13837" width="72.75" style="1" customWidth="1"/>
    <col min="13838" max="14080" width="10.125" style="1"/>
    <col min="14081" max="14081" width="3.125" style="1" customWidth="1"/>
    <col min="14082" max="14082" width="30.875" style="1" customWidth="1"/>
    <col min="14083" max="14083" width="5.75" style="1" customWidth="1"/>
    <col min="14084" max="14084" width="1.75" style="1" customWidth="1"/>
    <col min="14085" max="14085" width="10" style="1" customWidth="1"/>
    <col min="14086" max="14086" width="7" style="1" bestFit="1" customWidth="1"/>
    <col min="14087" max="14087" width="8.125" style="1" bestFit="1" customWidth="1"/>
    <col min="14088" max="14088" width="9.375" style="1" customWidth="1"/>
    <col min="14089" max="14089" width="4.375" style="1" customWidth="1"/>
    <col min="14090" max="14092" width="10.125" style="1"/>
    <col min="14093" max="14093" width="72.75" style="1" customWidth="1"/>
    <col min="14094" max="14336" width="10.125" style="1"/>
    <col min="14337" max="14337" width="3.125" style="1" customWidth="1"/>
    <col min="14338" max="14338" width="30.875" style="1" customWidth="1"/>
    <col min="14339" max="14339" width="5.75" style="1" customWidth="1"/>
    <col min="14340" max="14340" width="1.75" style="1" customWidth="1"/>
    <col min="14341" max="14341" width="10" style="1" customWidth="1"/>
    <col min="14342" max="14342" width="7" style="1" bestFit="1" customWidth="1"/>
    <col min="14343" max="14343" width="8.125" style="1" bestFit="1" customWidth="1"/>
    <col min="14344" max="14344" width="9.375" style="1" customWidth="1"/>
    <col min="14345" max="14345" width="4.375" style="1" customWidth="1"/>
    <col min="14346" max="14348" width="10.125" style="1"/>
    <col min="14349" max="14349" width="72.75" style="1" customWidth="1"/>
    <col min="14350" max="14592" width="10.125" style="1"/>
    <col min="14593" max="14593" width="3.125" style="1" customWidth="1"/>
    <col min="14594" max="14594" width="30.875" style="1" customWidth="1"/>
    <col min="14595" max="14595" width="5.75" style="1" customWidth="1"/>
    <col min="14596" max="14596" width="1.75" style="1" customWidth="1"/>
    <col min="14597" max="14597" width="10" style="1" customWidth="1"/>
    <col min="14598" max="14598" width="7" style="1" bestFit="1" customWidth="1"/>
    <col min="14599" max="14599" width="8.125" style="1" bestFit="1" customWidth="1"/>
    <col min="14600" max="14600" width="9.375" style="1" customWidth="1"/>
    <col min="14601" max="14601" width="4.375" style="1" customWidth="1"/>
    <col min="14602" max="14604" width="10.125" style="1"/>
    <col min="14605" max="14605" width="72.75" style="1" customWidth="1"/>
    <col min="14606" max="14848" width="10.125" style="1"/>
    <col min="14849" max="14849" width="3.125" style="1" customWidth="1"/>
    <col min="14850" max="14850" width="30.875" style="1" customWidth="1"/>
    <col min="14851" max="14851" width="5.75" style="1" customWidth="1"/>
    <col min="14852" max="14852" width="1.75" style="1" customWidth="1"/>
    <col min="14853" max="14853" width="10" style="1" customWidth="1"/>
    <col min="14854" max="14854" width="7" style="1" bestFit="1" customWidth="1"/>
    <col min="14855" max="14855" width="8.125" style="1" bestFit="1" customWidth="1"/>
    <col min="14856" max="14856" width="9.375" style="1" customWidth="1"/>
    <col min="14857" max="14857" width="4.375" style="1" customWidth="1"/>
    <col min="14858" max="14860" width="10.125" style="1"/>
    <col min="14861" max="14861" width="72.75" style="1" customWidth="1"/>
    <col min="14862" max="15104" width="10.125" style="1"/>
    <col min="15105" max="15105" width="3.125" style="1" customWidth="1"/>
    <col min="15106" max="15106" width="30.875" style="1" customWidth="1"/>
    <col min="15107" max="15107" width="5.75" style="1" customWidth="1"/>
    <col min="15108" max="15108" width="1.75" style="1" customWidth="1"/>
    <col min="15109" max="15109" width="10" style="1" customWidth="1"/>
    <col min="15110" max="15110" width="7" style="1" bestFit="1" customWidth="1"/>
    <col min="15111" max="15111" width="8.125" style="1" bestFit="1" customWidth="1"/>
    <col min="15112" max="15112" width="9.375" style="1" customWidth="1"/>
    <col min="15113" max="15113" width="4.375" style="1" customWidth="1"/>
    <col min="15114" max="15116" width="10.125" style="1"/>
    <col min="15117" max="15117" width="72.75" style="1" customWidth="1"/>
    <col min="15118" max="15360" width="10.125" style="1"/>
    <col min="15361" max="15361" width="3.125" style="1" customWidth="1"/>
    <col min="15362" max="15362" width="30.875" style="1" customWidth="1"/>
    <col min="15363" max="15363" width="5.75" style="1" customWidth="1"/>
    <col min="15364" max="15364" width="1.75" style="1" customWidth="1"/>
    <col min="15365" max="15365" width="10" style="1" customWidth="1"/>
    <col min="15366" max="15366" width="7" style="1" bestFit="1" customWidth="1"/>
    <col min="15367" max="15367" width="8.125" style="1" bestFit="1" customWidth="1"/>
    <col min="15368" max="15368" width="9.375" style="1" customWidth="1"/>
    <col min="15369" max="15369" width="4.375" style="1" customWidth="1"/>
    <col min="15370" max="15372" width="10.125" style="1"/>
    <col min="15373" max="15373" width="72.75" style="1" customWidth="1"/>
    <col min="15374" max="15616" width="10.125" style="1"/>
    <col min="15617" max="15617" width="3.125" style="1" customWidth="1"/>
    <col min="15618" max="15618" width="30.875" style="1" customWidth="1"/>
    <col min="15619" max="15619" width="5.75" style="1" customWidth="1"/>
    <col min="15620" max="15620" width="1.75" style="1" customWidth="1"/>
    <col min="15621" max="15621" width="10" style="1" customWidth="1"/>
    <col min="15622" max="15622" width="7" style="1" bestFit="1" customWidth="1"/>
    <col min="15623" max="15623" width="8.125" style="1" bestFit="1" customWidth="1"/>
    <col min="15624" max="15624" width="9.375" style="1" customWidth="1"/>
    <col min="15625" max="15625" width="4.375" style="1" customWidth="1"/>
    <col min="15626" max="15628" width="10.125" style="1"/>
    <col min="15629" max="15629" width="72.75" style="1" customWidth="1"/>
    <col min="15630" max="15872" width="10.125" style="1"/>
    <col min="15873" max="15873" width="3.125" style="1" customWidth="1"/>
    <col min="15874" max="15874" width="30.875" style="1" customWidth="1"/>
    <col min="15875" max="15875" width="5.75" style="1" customWidth="1"/>
    <col min="15876" max="15876" width="1.75" style="1" customWidth="1"/>
    <col min="15877" max="15877" width="10" style="1" customWidth="1"/>
    <col min="15878" max="15878" width="7" style="1" bestFit="1" customWidth="1"/>
    <col min="15879" max="15879" width="8.125" style="1" bestFit="1" customWidth="1"/>
    <col min="15880" max="15880" width="9.375" style="1" customWidth="1"/>
    <col min="15881" max="15881" width="4.375" style="1" customWidth="1"/>
    <col min="15882" max="15884" width="10.125" style="1"/>
    <col min="15885" max="15885" width="72.75" style="1" customWidth="1"/>
    <col min="15886" max="16128" width="10.125" style="1"/>
    <col min="16129" max="16129" width="3.125" style="1" customWidth="1"/>
    <col min="16130" max="16130" width="30.875" style="1" customWidth="1"/>
    <col min="16131" max="16131" width="5.75" style="1" customWidth="1"/>
    <col min="16132" max="16132" width="1.75" style="1" customWidth="1"/>
    <col min="16133" max="16133" width="10" style="1" customWidth="1"/>
    <col min="16134" max="16134" width="7" style="1" bestFit="1" customWidth="1"/>
    <col min="16135" max="16135" width="8.125" style="1" bestFit="1" customWidth="1"/>
    <col min="16136" max="16136" width="9.375" style="1" customWidth="1"/>
    <col min="16137" max="16137" width="4.375" style="1" customWidth="1"/>
    <col min="16138" max="16140" width="10.125" style="1"/>
    <col min="16141" max="16141" width="72.75" style="1" customWidth="1"/>
    <col min="16142" max="16384" width="10.125" style="1"/>
  </cols>
  <sheetData>
    <row r="1" spans="1:8" x14ac:dyDescent="0.25">
      <c r="F1" s="3"/>
    </row>
    <row r="5" spans="1:8" x14ac:dyDescent="0.25">
      <c r="A5" s="4" t="s">
        <v>0</v>
      </c>
      <c r="B5" s="5"/>
      <c r="C5" s="5"/>
    </row>
    <row r="6" spans="1:8" ht="9" customHeight="1" x14ac:dyDescent="0.25">
      <c r="A6" s="4"/>
      <c r="B6" s="5"/>
      <c r="C6" s="5"/>
    </row>
    <row r="7" spans="1:8" s="7" customFormat="1" ht="15" x14ac:dyDescent="0.25">
      <c r="A7" s="7" t="s">
        <v>64</v>
      </c>
      <c r="B7" s="8"/>
      <c r="D7" s="9"/>
      <c r="E7" s="131" t="s">
        <v>2</v>
      </c>
      <c r="F7" s="132"/>
      <c r="G7" s="133">
        <v>45420</v>
      </c>
      <c r="H7" s="134"/>
    </row>
    <row r="8" spans="1:8" s="7" customFormat="1" ht="15" x14ac:dyDescent="0.25">
      <c r="A8" s="7" t="s">
        <v>61</v>
      </c>
      <c r="B8" s="8"/>
      <c r="D8" s="9"/>
      <c r="E8" s="135" t="s">
        <v>3</v>
      </c>
      <c r="F8" s="136"/>
      <c r="H8" s="11">
        <v>60431</v>
      </c>
    </row>
    <row r="9" spans="1:8" s="7" customFormat="1" ht="15" x14ac:dyDescent="0.25">
      <c r="A9" s="7" t="s">
        <v>63</v>
      </c>
      <c r="B9" s="8"/>
      <c r="D9" s="9"/>
      <c r="E9" s="135" t="s">
        <v>4</v>
      </c>
      <c r="F9" s="136"/>
      <c r="G9" s="137" t="s">
        <v>118</v>
      </c>
      <c r="H9" s="138"/>
    </row>
    <row r="10" spans="1:8" s="7" customFormat="1" ht="15" x14ac:dyDescent="0.25">
      <c r="B10" s="8"/>
      <c r="D10" s="9"/>
      <c r="E10" s="13" t="s">
        <v>5</v>
      </c>
      <c r="F10" s="14"/>
      <c r="G10" s="139">
        <f>+G7</f>
        <v>45420</v>
      </c>
      <c r="H10" s="140"/>
    </row>
    <row r="11" spans="1:8" s="7" customFormat="1" ht="15" x14ac:dyDescent="0.25">
      <c r="A11" s="15" t="s">
        <v>62</v>
      </c>
      <c r="B11" s="8"/>
      <c r="D11" s="9"/>
      <c r="E11" s="10" t="s">
        <v>6</v>
      </c>
      <c r="F11" s="125" t="s">
        <v>7</v>
      </c>
      <c r="G11" s="125"/>
      <c r="H11" s="126"/>
    </row>
    <row r="12" spans="1:8" s="7" customFormat="1" ht="15" x14ac:dyDescent="0.25">
      <c r="A12" s="15"/>
      <c r="B12" s="8"/>
      <c r="D12" s="9"/>
      <c r="E12" s="13" t="s">
        <v>8</v>
      </c>
      <c r="F12" s="127" t="s">
        <v>9</v>
      </c>
      <c r="G12" s="127"/>
      <c r="H12" s="128"/>
    </row>
    <row r="13" spans="1:8" s="7" customFormat="1" ht="15" x14ac:dyDescent="0.25">
      <c r="D13" s="9"/>
      <c r="E13" s="17"/>
      <c r="F13" s="18"/>
    </row>
    <row r="14" spans="1:8" s="15" customFormat="1" ht="14.25" x14ac:dyDescent="0.2"/>
    <row r="15" spans="1:8" s="15" customFormat="1" ht="14.25" x14ac:dyDescent="0.2"/>
    <row r="16" spans="1:8" s="15" customFormat="1" ht="14.25" x14ac:dyDescent="0.2"/>
    <row r="17" spans="1:8" s="15" customFormat="1" ht="14.25" x14ac:dyDescent="0.2">
      <c r="A17" s="129" t="s">
        <v>10</v>
      </c>
      <c r="B17" s="129"/>
      <c r="C17" s="129"/>
      <c r="D17" s="129"/>
      <c r="E17" s="129"/>
      <c r="F17" s="129"/>
      <c r="G17" s="129"/>
      <c r="H17" s="129"/>
    </row>
    <row r="18" spans="1:8" s="15" customFormat="1" ht="14.25" x14ac:dyDescent="0.2">
      <c r="A18" s="19"/>
      <c r="B18" s="19"/>
      <c r="C18" s="19"/>
      <c r="D18" s="19"/>
      <c r="E18" s="19"/>
      <c r="F18" s="19"/>
      <c r="G18" s="19"/>
      <c r="H18" s="19"/>
    </row>
    <row r="19" spans="1:8" s="7" customFormat="1" ht="15" x14ac:dyDescent="0.25">
      <c r="D19" s="9"/>
      <c r="E19" s="17"/>
      <c r="F19" s="18"/>
    </row>
    <row r="20" spans="1:8" s="7" customFormat="1" ht="15" x14ac:dyDescent="0.25">
      <c r="A20" s="7" t="s">
        <v>11</v>
      </c>
      <c r="B20" s="8"/>
      <c r="D20" s="9"/>
      <c r="E20" s="17"/>
      <c r="F20" s="18"/>
    </row>
    <row r="21" spans="1:8" s="7" customFormat="1" ht="15" x14ac:dyDescent="0.25">
      <c r="A21" s="7" t="s">
        <v>12</v>
      </c>
      <c r="D21" s="9"/>
      <c r="E21" s="9"/>
      <c r="F21" s="17"/>
      <c r="G21" s="9"/>
    </row>
    <row r="22" spans="1:8" s="7" customFormat="1" ht="15" x14ac:dyDescent="0.25">
      <c r="A22" s="20" t="s">
        <v>13</v>
      </c>
      <c r="B22" s="21"/>
      <c r="C22" s="20"/>
      <c r="D22" s="9"/>
      <c r="E22" s="9" t="s">
        <v>14</v>
      </c>
      <c r="F22" s="17" t="s">
        <v>15</v>
      </c>
      <c r="G22" s="9" t="s">
        <v>16</v>
      </c>
      <c r="H22" s="17" t="s">
        <v>17</v>
      </c>
    </row>
    <row r="23" spans="1:8" s="7" customFormat="1" ht="15" x14ac:dyDescent="0.25">
      <c r="A23" s="22" t="s">
        <v>18</v>
      </c>
      <c r="B23" s="23"/>
      <c r="C23" s="22"/>
      <c r="D23" s="24"/>
      <c r="E23" s="16" t="s">
        <v>19</v>
      </c>
      <c r="F23" s="16"/>
      <c r="G23" s="25" t="s">
        <v>20</v>
      </c>
      <c r="H23" s="22"/>
    </row>
    <row r="24" spans="1:8" s="7" customFormat="1" ht="15" x14ac:dyDescent="0.25">
      <c r="A24" s="7">
        <v>24</v>
      </c>
      <c r="B24" s="7" t="s">
        <v>30</v>
      </c>
      <c r="E24" s="40">
        <v>41280</v>
      </c>
      <c r="F24" s="26" t="s">
        <v>21</v>
      </c>
      <c r="G24" s="27">
        <v>0.1</v>
      </c>
      <c r="H24" s="41">
        <f>+G24*1146</f>
        <v>114.60000000000001</v>
      </c>
    </row>
    <row r="25" spans="1:8" s="7" customFormat="1" ht="15" x14ac:dyDescent="0.25">
      <c r="B25" s="7" t="s">
        <v>31</v>
      </c>
      <c r="C25" s="12">
        <v>2023</v>
      </c>
      <c r="D25" s="40"/>
      <c r="E25" s="17"/>
      <c r="F25" s="9"/>
      <c r="G25" s="42"/>
    </row>
    <row r="26" spans="1:8" s="7" customFormat="1" ht="6" customHeight="1" x14ac:dyDescent="0.25">
      <c r="D26" s="9"/>
      <c r="E26" s="9"/>
      <c r="F26" s="17"/>
      <c r="G26" s="27"/>
    </row>
    <row r="27" spans="1:8" s="7" customFormat="1" ht="15" x14ac:dyDescent="0.25">
      <c r="A27" s="7">
        <v>27</v>
      </c>
      <c r="B27" s="7" t="s">
        <v>68</v>
      </c>
      <c r="C27" s="12"/>
      <c r="E27" s="40">
        <v>11060</v>
      </c>
      <c r="F27" s="26" t="s">
        <v>21</v>
      </c>
      <c r="G27" s="43">
        <v>0.1</v>
      </c>
      <c r="H27" s="41">
        <f>+G27*608</f>
        <v>60.800000000000004</v>
      </c>
    </row>
    <row r="28" spans="1:8" s="7" customFormat="1" ht="15" x14ac:dyDescent="0.25">
      <c r="B28" s="7" t="s">
        <v>70</v>
      </c>
      <c r="C28" s="12">
        <f>+C25</f>
        <v>2023</v>
      </c>
      <c r="E28" s="40"/>
      <c r="F28" s="26"/>
      <c r="G28" s="27"/>
      <c r="H28" s="41"/>
    </row>
    <row r="29" spans="1:8" s="7" customFormat="1" ht="6" customHeight="1" x14ac:dyDescent="0.25">
      <c r="C29" s="12"/>
      <c r="E29" s="40"/>
      <c r="F29" s="26"/>
      <c r="G29" s="17"/>
      <c r="H29" s="41"/>
    </row>
    <row r="30" spans="1:8" s="7" customFormat="1" ht="15" x14ac:dyDescent="0.25">
      <c r="A30" s="7">
        <v>27</v>
      </c>
      <c r="B30" s="7" t="s">
        <v>68</v>
      </c>
      <c r="C30" s="12"/>
      <c r="E30" s="40">
        <v>8000</v>
      </c>
      <c r="F30" s="26" t="s">
        <v>21</v>
      </c>
      <c r="G30" s="43">
        <v>0.1</v>
      </c>
      <c r="H30" s="41">
        <f>+G30*485</f>
        <v>48.5</v>
      </c>
    </row>
    <row r="31" spans="1:8" s="7" customFormat="1" ht="15" x14ac:dyDescent="0.25">
      <c r="B31" s="7" t="s">
        <v>69</v>
      </c>
      <c r="C31" s="12">
        <f>+C28</f>
        <v>2023</v>
      </c>
      <c r="E31" s="40"/>
      <c r="F31" s="26"/>
      <c r="G31" s="27"/>
      <c r="H31" s="41"/>
    </row>
    <row r="32" spans="1:8" s="7" customFormat="1" ht="7.5" customHeight="1" x14ac:dyDescent="0.25">
      <c r="C32" s="12"/>
      <c r="E32" s="40"/>
      <c r="F32" s="26"/>
      <c r="G32" s="17"/>
      <c r="H32" s="41"/>
    </row>
    <row r="33" spans="1:10" s="7" customFormat="1" ht="15" x14ac:dyDescent="0.25">
      <c r="A33" s="7">
        <v>16</v>
      </c>
      <c r="B33" s="7" t="s">
        <v>23</v>
      </c>
      <c r="E33" s="26">
        <f>SUM(H24:H30)*0.2</f>
        <v>44.78</v>
      </c>
      <c r="F33" s="17"/>
      <c r="G33" s="30"/>
      <c r="H33" s="28">
        <v>20</v>
      </c>
    </row>
    <row r="34" spans="1:10" s="7" customFormat="1" ht="15" x14ac:dyDescent="0.25">
      <c r="B34" s="7" t="s">
        <v>71</v>
      </c>
      <c r="C34" s="12"/>
      <c r="E34" s="40"/>
      <c r="F34" s="26"/>
      <c r="G34" s="27"/>
      <c r="H34" s="41"/>
    </row>
    <row r="35" spans="1:10" s="7" customFormat="1" ht="6" customHeight="1" x14ac:dyDescent="0.25">
      <c r="C35" s="12"/>
      <c r="E35" s="40"/>
      <c r="F35" s="26"/>
      <c r="G35" s="17"/>
      <c r="H35" s="41"/>
    </row>
    <row r="36" spans="1:10" x14ac:dyDescent="0.25">
      <c r="A36" s="121"/>
      <c r="B36" s="121"/>
      <c r="C36" s="121"/>
      <c r="D36" s="122"/>
      <c r="E36" s="123"/>
      <c r="F36" s="124"/>
      <c r="G36" s="121"/>
      <c r="H36" s="121"/>
    </row>
    <row r="37" spans="1:10" x14ac:dyDescent="0.25">
      <c r="A37" s="117"/>
      <c r="B37" s="117"/>
      <c r="C37" s="117"/>
      <c r="D37" s="118"/>
      <c r="E37" s="119"/>
      <c r="F37" s="120"/>
      <c r="G37" s="117"/>
      <c r="H37" s="117"/>
    </row>
    <row r="38" spans="1:10" s="7" customFormat="1" ht="15" x14ac:dyDescent="0.25">
      <c r="A38" s="8"/>
      <c r="B38" s="8"/>
      <c r="E38" s="7" t="s">
        <v>25</v>
      </c>
      <c r="F38" s="8"/>
      <c r="G38" s="30"/>
      <c r="H38" s="28">
        <f>SUM(H24:H35)</f>
        <v>243.9</v>
      </c>
      <c r="J38" s="28">
        <f>+H38+'EÜR 2023'!H37</f>
        <v>1896.9</v>
      </c>
    </row>
    <row r="39" spans="1:10" s="7" customFormat="1" ht="15" x14ac:dyDescent="0.25">
      <c r="E39" s="33" t="s">
        <v>26</v>
      </c>
      <c r="F39" s="8"/>
      <c r="G39" s="30"/>
      <c r="H39" s="28">
        <f>+H38*0.19</f>
        <v>46.341000000000001</v>
      </c>
    </row>
    <row r="40" spans="1:10" s="7" customFormat="1" thickBot="1" x14ac:dyDescent="0.3">
      <c r="E40" s="34" t="s">
        <v>27</v>
      </c>
      <c r="F40" s="35"/>
      <c r="G40" s="36"/>
      <c r="H40" s="37">
        <f>SUM(H38:H39)</f>
        <v>290.24099999999999</v>
      </c>
    </row>
    <row r="41" spans="1:10" s="7" customFormat="1" ht="7.5" customHeight="1" thickTop="1" x14ac:dyDescent="0.25">
      <c r="E41" s="38"/>
      <c r="F41" s="17"/>
      <c r="G41" s="30"/>
      <c r="H41" s="28"/>
    </row>
    <row r="42" spans="1:10" s="7" customFormat="1" ht="15" x14ac:dyDescent="0.25">
      <c r="A42" s="7" t="s">
        <v>28</v>
      </c>
      <c r="B42" s="8"/>
      <c r="D42" s="9"/>
      <c r="E42" s="17"/>
      <c r="F42" s="18"/>
      <c r="G42" s="39"/>
    </row>
    <row r="43" spans="1:10" s="7" customFormat="1" ht="15" x14ac:dyDescent="0.25">
      <c r="D43" s="9"/>
      <c r="E43" s="17"/>
      <c r="F43" s="18"/>
      <c r="G43" s="30"/>
    </row>
    <row r="44" spans="1:10" s="7" customFormat="1" ht="15" x14ac:dyDescent="0.25">
      <c r="D44" s="9"/>
      <c r="E44" s="17"/>
      <c r="F44" s="18"/>
      <c r="G44" s="30"/>
    </row>
    <row r="45" spans="1:10" s="7" customFormat="1" ht="15" x14ac:dyDescent="0.25">
      <c r="D45" s="9"/>
      <c r="E45" s="17"/>
      <c r="F45" s="18"/>
      <c r="G45" s="30"/>
    </row>
    <row r="46" spans="1:10" x14ac:dyDescent="0.25">
      <c r="A46" s="7"/>
      <c r="B46" s="23"/>
      <c r="C46" s="7"/>
      <c r="D46" s="9"/>
      <c r="E46" s="17"/>
      <c r="F46" s="18"/>
      <c r="G46" s="30"/>
      <c r="H46" s="7"/>
    </row>
    <row r="47" spans="1:10" s="7" customFormat="1" x14ac:dyDescent="0.25">
      <c r="A47" s="1"/>
      <c r="B47" s="1"/>
      <c r="C47" s="1"/>
      <c r="D47" s="2"/>
      <c r="E47" s="3"/>
      <c r="F47" s="6"/>
      <c r="G47" s="1"/>
      <c r="H47" s="1"/>
    </row>
    <row r="48" spans="1:10" s="7" customFormat="1" ht="15" x14ac:dyDescent="0.25">
      <c r="D48" s="9"/>
      <c r="E48" s="17"/>
      <c r="F48" s="18"/>
      <c r="G48" s="30"/>
    </row>
    <row r="51" spans="1:8" x14ac:dyDescent="0.25">
      <c r="A51" s="142" t="s">
        <v>120</v>
      </c>
      <c r="B51" s="142"/>
      <c r="C51" s="142"/>
      <c r="D51" s="142"/>
      <c r="E51" s="142"/>
      <c r="F51" s="142"/>
      <c r="G51" s="142"/>
      <c r="H51" s="142"/>
    </row>
  </sheetData>
  <mergeCells count="10">
    <mergeCell ref="F11:H11"/>
    <mergeCell ref="F12:H12"/>
    <mergeCell ref="A17:H17"/>
    <mergeCell ref="A51:H51"/>
    <mergeCell ref="E7:F7"/>
    <mergeCell ref="G7:H7"/>
    <mergeCell ref="E8:F8"/>
    <mergeCell ref="E9:F9"/>
    <mergeCell ref="G9:H9"/>
    <mergeCell ref="G10:H10"/>
  </mergeCells>
  <printOptions horizontalCentered="1"/>
  <pageMargins left="0.78740157480314965" right="0.59055118110236227" top="0.98425196850393704" bottom="0.98425196850393704" header="0.51181102362204722" footer="0.51181102362204722"/>
  <pageSetup paperSize="9" orientation="portrait" horizontalDpi="300" verticalDpi="300" r:id="rId1"/>
  <headerFooter alignWithMargins="0">
    <oddHeader>&amp;C&amp;"Times New Roman,Standard"&amp;16Hartmut Ahting
Steuerberater
Diplom-Wirtschaftsingenieur</oddHeader>
    <oddFooter>&amp;L&amp;"Times New Roman,Standard"Heerstrasse 50
60488 Frankfurt
&amp;C&amp;"Times New Roman,Standard"Deutsche Bank
BLZ 500 700 24
Konto 409 28 62&amp;R&amp;"Times New Roman,Standard"Tel:      069 / 788 031-71
Fax:     069 / 788 031-72
Mobil:  0174 / 326 99 58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69C2C-02E2-4FF6-8BD5-7BAC8A6A183E}">
  <dimension ref="A5:L49"/>
  <sheetViews>
    <sheetView workbookViewId="0">
      <selection activeCell="G26" sqref="G26"/>
    </sheetView>
  </sheetViews>
  <sheetFormatPr baseColWidth="10" defaultColWidth="10.125" defaultRowHeight="15.75" x14ac:dyDescent="0.25"/>
  <cols>
    <col min="1" max="1" width="3.125" style="1" customWidth="1"/>
    <col min="2" max="2" width="29.5" style="1" customWidth="1"/>
    <col min="3" max="3" width="8.75" style="1" customWidth="1"/>
    <col min="4" max="4" width="1.5" style="2" customWidth="1"/>
    <col min="5" max="5" width="10.75" style="3" customWidth="1"/>
    <col min="6" max="6" width="6.375" style="6" customWidth="1"/>
    <col min="7" max="7" width="6.75" style="1" customWidth="1"/>
    <col min="8" max="8" width="8.75" style="1" customWidth="1"/>
    <col min="9" max="10" width="10.125" style="1"/>
    <col min="11" max="11" width="10.625" style="1" bestFit="1" customWidth="1"/>
    <col min="12" max="256" width="10.125" style="1"/>
    <col min="257" max="257" width="3.125" style="1" customWidth="1"/>
    <col min="258" max="258" width="29.5" style="1" customWidth="1"/>
    <col min="259" max="259" width="8.75" style="1" customWidth="1"/>
    <col min="260" max="260" width="1.5" style="1" customWidth="1"/>
    <col min="261" max="261" width="10.75" style="1" customWidth="1"/>
    <col min="262" max="262" width="6.375" style="1" customWidth="1"/>
    <col min="263" max="263" width="6.75" style="1" customWidth="1"/>
    <col min="264" max="264" width="8.75" style="1" customWidth="1"/>
    <col min="265" max="266" width="10.125" style="1"/>
    <col min="267" max="267" width="10.625" style="1" bestFit="1" customWidth="1"/>
    <col min="268" max="512" width="10.125" style="1"/>
    <col min="513" max="513" width="3.125" style="1" customWidth="1"/>
    <col min="514" max="514" width="29.5" style="1" customWidth="1"/>
    <col min="515" max="515" width="8.75" style="1" customWidth="1"/>
    <col min="516" max="516" width="1.5" style="1" customWidth="1"/>
    <col min="517" max="517" width="10.75" style="1" customWidth="1"/>
    <col min="518" max="518" width="6.375" style="1" customWidth="1"/>
    <col min="519" max="519" width="6.75" style="1" customWidth="1"/>
    <col min="520" max="520" width="8.75" style="1" customWidth="1"/>
    <col min="521" max="522" width="10.125" style="1"/>
    <col min="523" max="523" width="10.625" style="1" bestFit="1" customWidth="1"/>
    <col min="524" max="768" width="10.125" style="1"/>
    <col min="769" max="769" width="3.125" style="1" customWidth="1"/>
    <col min="770" max="770" width="29.5" style="1" customWidth="1"/>
    <col min="771" max="771" width="8.75" style="1" customWidth="1"/>
    <col min="772" max="772" width="1.5" style="1" customWidth="1"/>
    <col min="773" max="773" width="10.75" style="1" customWidth="1"/>
    <col min="774" max="774" width="6.375" style="1" customWidth="1"/>
    <col min="775" max="775" width="6.75" style="1" customWidth="1"/>
    <col min="776" max="776" width="8.75" style="1" customWidth="1"/>
    <col min="777" max="778" width="10.125" style="1"/>
    <col min="779" max="779" width="10.625" style="1" bestFit="1" customWidth="1"/>
    <col min="780" max="1024" width="10.125" style="1"/>
    <col min="1025" max="1025" width="3.125" style="1" customWidth="1"/>
    <col min="1026" max="1026" width="29.5" style="1" customWidth="1"/>
    <col min="1027" max="1027" width="8.75" style="1" customWidth="1"/>
    <col min="1028" max="1028" width="1.5" style="1" customWidth="1"/>
    <col min="1029" max="1029" width="10.75" style="1" customWidth="1"/>
    <col min="1030" max="1030" width="6.375" style="1" customWidth="1"/>
    <col min="1031" max="1031" width="6.75" style="1" customWidth="1"/>
    <col min="1032" max="1032" width="8.75" style="1" customWidth="1"/>
    <col min="1033" max="1034" width="10.125" style="1"/>
    <col min="1035" max="1035" width="10.625" style="1" bestFit="1" customWidth="1"/>
    <col min="1036" max="1280" width="10.125" style="1"/>
    <col min="1281" max="1281" width="3.125" style="1" customWidth="1"/>
    <col min="1282" max="1282" width="29.5" style="1" customWidth="1"/>
    <col min="1283" max="1283" width="8.75" style="1" customWidth="1"/>
    <col min="1284" max="1284" width="1.5" style="1" customWidth="1"/>
    <col min="1285" max="1285" width="10.75" style="1" customWidth="1"/>
    <col min="1286" max="1286" width="6.375" style="1" customWidth="1"/>
    <col min="1287" max="1287" width="6.75" style="1" customWidth="1"/>
    <col min="1288" max="1288" width="8.75" style="1" customWidth="1"/>
    <col min="1289" max="1290" width="10.125" style="1"/>
    <col min="1291" max="1291" width="10.625" style="1" bestFit="1" customWidth="1"/>
    <col min="1292" max="1536" width="10.125" style="1"/>
    <col min="1537" max="1537" width="3.125" style="1" customWidth="1"/>
    <col min="1538" max="1538" width="29.5" style="1" customWidth="1"/>
    <col min="1539" max="1539" width="8.75" style="1" customWidth="1"/>
    <col min="1540" max="1540" width="1.5" style="1" customWidth="1"/>
    <col min="1541" max="1541" width="10.75" style="1" customWidth="1"/>
    <col min="1542" max="1542" width="6.375" style="1" customWidth="1"/>
    <col min="1543" max="1543" width="6.75" style="1" customWidth="1"/>
    <col min="1544" max="1544" width="8.75" style="1" customWidth="1"/>
    <col min="1545" max="1546" width="10.125" style="1"/>
    <col min="1547" max="1547" width="10.625" style="1" bestFit="1" customWidth="1"/>
    <col min="1548" max="1792" width="10.125" style="1"/>
    <col min="1793" max="1793" width="3.125" style="1" customWidth="1"/>
    <col min="1794" max="1794" width="29.5" style="1" customWidth="1"/>
    <col min="1795" max="1795" width="8.75" style="1" customWidth="1"/>
    <col min="1796" max="1796" width="1.5" style="1" customWidth="1"/>
    <col min="1797" max="1797" width="10.75" style="1" customWidth="1"/>
    <col min="1798" max="1798" width="6.375" style="1" customWidth="1"/>
    <col min="1799" max="1799" width="6.75" style="1" customWidth="1"/>
    <col min="1800" max="1800" width="8.75" style="1" customWidth="1"/>
    <col min="1801" max="1802" width="10.125" style="1"/>
    <col min="1803" max="1803" width="10.625" style="1" bestFit="1" customWidth="1"/>
    <col min="1804" max="2048" width="10.125" style="1"/>
    <col min="2049" max="2049" width="3.125" style="1" customWidth="1"/>
    <col min="2050" max="2050" width="29.5" style="1" customWidth="1"/>
    <col min="2051" max="2051" width="8.75" style="1" customWidth="1"/>
    <col min="2052" max="2052" width="1.5" style="1" customWidth="1"/>
    <col min="2053" max="2053" width="10.75" style="1" customWidth="1"/>
    <col min="2054" max="2054" width="6.375" style="1" customWidth="1"/>
    <col min="2055" max="2055" width="6.75" style="1" customWidth="1"/>
    <col min="2056" max="2056" width="8.75" style="1" customWidth="1"/>
    <col min="2057" max="2058" width="10.125" style="1"/>
    <col min="2059" max="2059" width="10.625" style="1" bestFit="1" customWidth="1"/>
    <col min="2060" max="2304" width="10.125" style="1"/>
    <col min="2305" max="2305" width="3.125" style="1" customWidth="1"/>
    <col min="2306" max="2306" width="29.5" style="1" customWidth="1"/>
    <col min="2307" max="2307" width="8.75" style="1" customWidth="1"/>
    <col min="2308" max="2308" width="1.5" style="1" customWidth="1"/>
    <col min="2309" max="2309" width="10.75" style="1" customWidth="1"/>
    <col min="2310" max="2310" width="6.375" style="1" customWidth="1"/>
    <col min="2311" max="2311" width="6.75" style="1" customWidth="1"/>
    <col min="2312" max="2312" width="8.75" style="1" customWidth="1"/>
    <col min="2313" max="2314" width="10.125" style="1"/>
    <col min="2315" max="2315" width="10.625" style="1" bestFit="1" customWidth="1"/>
    <col min="2316" max="2560" width="10.125" style="1"/>
    <col min="2561" max="2561" width="3.125" style="1" customWidth="1"/>
    <col min="2562" max="2562" width="29.5" style="1" customWidth="1"/>
    <col min="2563" max="2563" width="8.75" style="1" customWidth="1"/>
    <col min="2564" max="2564" width="1.5" style="1" customWidth="1"/>
    <col min="2565" max="2565" width="10.75" style="1" customWidth="1"/>
    <col min="2566" max="2566" width="6.375" style="1" customWidth="1"/>
    <col min="2567" max="2567" width="6.75" style="1" customWidth="1"/>
    <col min="2568" max="2568" width="8.75" style="1" customWidth="1"/>
    <col min="2569" max="2570" width="10.125" style="1"/>
    <col min="2571" max="2571" width="10.625" style="1" bestFit="1" customWidth="1"/>
    <col min="2572" max="2816" width="10.125" style="1"/>
    <col min="2817" max="2817" width="3.125" style="1" customWidth="1"/>
    <col min="2818" max="2818" width="29.5" style="1" customWidth="1"/>
    <col min="2819" max="2819" width="8.75" style="1" customWidth="1"/>
    <col min="2820" max="2820" width="1.5" style="1" customWidth="1"/>
    <col min="2821" max="2821" width="10.75" style="1" customWidth="1"/>
    <col min="2822" max="2822" width="6.375" style="1" customWidth="1"/>
    <col min="2823" max="2823" width="6.75" style="1" customWidth="1"/>
    <col min="2824" max="2824" width="8.75" style="1" customWidth="1"/>
    <col min="2825" max="2826" width="10.125" style="1"/>
    <col min="2827" max="2827" width="10.625" style="1" bestFit="1" customWidth="1"/>
    <col min="2828" max="3072" width="10.125" style="1"/>
    <col min="3073" max="3073" width="3.125" style="1" customWidth="1"/>
    <col min="3074" max="3074" width="29.5" style="1" customWidth="1"/>
    <col min="3075" max="3075" width="8.75" style="1" customWidth="1"/>
    <col min="3076" max="3076" width="1.5" style="1" customWidth="1"/>
    <col min="3077" max="3077" width="10.75" style="1" customWidth="1"/>
    <col min="3078" max="3078" width="6.375" style="1" customWidth="1"/>
    <col min="3079" max="3079" width="6.75" style="1" customWidth="1"/>
    <col min="3080" max="3080" width="8.75" style="1" customWidth="1"/>
    <col min="3081" max="3082" width="10.125" style="1"/>
    <col min="3083" max="3083" width="10.625" style="1" bestFit="1" customWidth="1"/>
    <col min="3084" max="3328" width="10.125" style="1"/>
    <col min="3329" max="3329" width="3.125" style="1" customWidth="1"/>
    <col min="3330" max="3330" width="29.5" style="1" customWidth="1"/>
    <col min="3331" max="3331" width="8.75" style="1" customWidth="1"/>
    <col min="3332" max="3332" width="1.5" style="1" customWidth="1"/>
    <col min="3333" max="3333" width="10.75" style="1" customWidth="1"/>
    <col min="3334" max="3334" width="6.375" style="1" customWidth="1"/>
    <col min="3335" max="3335" width="6.75" style="1" customWidth="1"/>
    <col min="3336" max="3336" width="8.75" style="1" customWidth="1"/>
    <col min="3337" max="3338" width="10.125" style="1"/>
    <col min="3339" max="3339" width="10.625" style="1" bestFit="1" customWidth="1"/>
    <col min="3340" max="3584" width="10.125" style="1"/>
    <col min="3585" max="3585" width="3.125" style="1" customWidth="1"/>
    <col min="3586" max="3586" width="29.5" style="1" customWidth="1"/>
    <col min="3587" max="3587" width="8.75" style="1" customWidth="1"/>
    <col min="3588" max="3588" width="1.5" style="1" customWidth="1"/>
    <col min="3589" max="3589" width="10.75" style="1" customWidth="1"/>
    <col min="3590" max="3590" width="6.375" style="1" customWidth="1"/>
    <col min="3591" max="3591" width="6.75" style="1" customWidth="1"/>
    <col min="3592" max="3592" width="8.75" style="1" customWidth="1"/>
    <col min="3593" max="3594" width="10.125" style="1"/>
    <col min="3595" max="3595" width="10.625" style="1" bestFit="1" customWidth="1"/>
    <col min="3596" max="3840" width="10.125" style="1"/>
    <col min="3841" max="3841" width="3.125" style="1" customWidth="1"/>
    <col min="3842" max="3842" width="29.5" style="1" customWidth="1"/>
    <col min="3843" max="3843" width="8.75" style="1" customWidth="1"/>
    <col min="3844" max="3844" width="1.5" style="1" customWidth="1"/>
    <col min="3845" max="3845" width="10.75" style="1" customWidth="1"/>
    <col min="3846" max="3846" width="6.375" style="1" customWidth="1"/>
    <col min="3847" max="3847" width="6.75" style="1" customWidth="1"/>
    <col min="3848" max="3848" width="8.75" style="1" customWidth="1"/>
    <col min="3849" max="3850" width="10.125" style="1"/>
    <col min="3851" max="3851" width="10.625" style="1" bestFit="1" customWidth="1"/>
    <col min="3852" max="4096" width="10.125" style="1"/>
    <col min="4097" max="4097" width="3.125" style="1" customWidth="1"/>
    <col min="4098" max="4098" width="29.5" style="1" customWidth="1"/>
    <col min="4099" max="4099" width="8.75" style="1" customWidth="1"/>
    <col min="4100" max="4100" width="1.5" style="1" customWidth="1"/>
    <col min="4101" max="4101" width="10.75" style="1" customWidth="1"/>
    <col min="4102" max="4102" width="6.375" style="1" customWidth="1"/>
    <col min="4103" max="4103" width="6.75" style="1" customWidth="1"/>
    <col min="4104" max="4104" width="8.75" style="1" customWidth="1"/>
    <col min="4105" max="4106" width="10.125" style="1"/>
    <col min="4107" max="4107" width="10.625" style="1" bestFit="1" customWidth="1"/>
    <col min="4108" max="4352" width="10.125" style="1"/>
    <col min="4353" max="4353" width="3.125" style="1" customWidth="1"/>
    <col min="4354" max="4354" width="29.5" style="1" customWidth="1"/>
    <col min="4355" max="4355" width="8.75" style="1" customWidth="1"/>
    <col min="4356" max="4356" width="1.5" style="1" customWidth="1"/>
    <col min="4357" max="4357" width="10.75" style="1" customWidth="1"/>
    <col min="4358" max="4358" width="6.375" style="1" customWidth="1"/>
    <col min="4359" max="4359" width="6.75" style="1" customWidth="1"/>
    <col min="4360" max="4360" width="8.75" style="1" customWidth="1"/>
    <col min="4361" max="4362" width="10.125" style="1"/>
    <col min="4363" max="4363" width="10.625" style="1" bestFit="1" customWidth="1"/>
    <col min="4364" max="4608" width="10.125" style="1"/>
    <col min="4609" max="4609" width="3.125" style="1" customWidth="1"/>
    <col min="4610" max="4610" width="29.5" style="1" customWidth="1"/>
    <col min="4611" max="4611" width="8.75" style="1" customWidth="1"/>
    <col min="4612" max="4612" width="1.5" style="1" customWidth="1"/>
    <col min="4613" max="4613" width="10.75" style="1" customWidth="1"/>
    <col min="4614" max="4614" width="6.375" style="1" customWidth="1"/>
    <col min="4615" max="4615" width="6.75" style="1" customWidth="1"/>
    <col min="4616" max="4616" width="8.75" style="1" customWidth="1"/>
    <col min="4617" max="4618" width="10.125" style="1"/>
    <col min="4619" max="4619" width="10.625" style="1" bestFit="1" customWidth="1"/>
    <col min="4620" max="4864" width="10.125" style="1"/>
    <col min="4865" max="4865" width="3.125" style="1" customWidth="1"/>
    <col min="4866" max="4866" width="29.5" style="1" customWidth="1"/>
    <col min="4867" max="4867" width="8.75" style="1" customWidth="1"/>
    <col min="4868" max="4868" width="1.5" style="1" customWidth="1"/>
    <col min="4869" max="4869" width="10.75" style="1" customWidth="1"/>
    <col min="4870" max="4870" width="6.375" style="1" customWidth="1"/>
    <col min="4871" max="4871" width="6.75" style="1" customWidth="1"/>
    <col min="4872" max="4872" width="8.75" style="1" customWidth="1"/>
    <col min="4873" max="4874" width="10.125" style="1"/>
    <col min="4875" max="4875" width="10.625" style="1" bestFit="1" customWidth="1"/>
    <col min="4876" max="5120" width="10.125" style="1"/>
    <col min="5121" max="5121" width="3.125" style="1" customWidth="1"/>
    <col min="5122" max="5122" width="29.5" style="1" customWidth="1"/>
    <col min="5123" max="5123" width="8.75" style="1" customWidth="1"/>
    <col min="5124" max="5124" width="1.5" style="1" customWidth="1"/>
    <col min="5125" max="5125" width="10.75" style="1" customWidth="1"/>
    <col min="5126" max="5126" width="6.375" style="1" customWidth="1"/>
    <col min="5127" max="5127" width="6.75" style="1" customWidth="1"/>
    <col min="5128" max="5128" width="8.75" style="1" customWidth="1"/>
    <col min="5129" max="5130" width="10.125" style="1"/>
    <col min="5131" max="5131" width="10.625" style="1" bestFit="1" customWidth="1"/>
    <col min="5132" max="5376" width="10.125" style="1"/>
    <col min="5377" max="5377" width="3.125" style="1" customWidth="1"/>
    <col min="5378" max="5378" width="29.5" style="1" customWidth="1"/>
    <col min="5379" max="5379" width="8.75" style="1" customWidth="1"/>
    <col min="5380" max="5380" width="1.5" style="1" customWidth="1"/>
    <col min="5381" max="5381" width="10.75" style="1" customWidth="1"/>
    <col min="5382" max="5382" width="6.375" style="1" customWidth="1"/>
    <col min="5383" max="5383" width="6.75" style="1" customWidth="1"/>
    <col min="5384" max="5384" width="8.75" style="1" customWidth="1"/>
    <col min="5385" max="5386" width="10.125" style="1"/>
    <col min="5387" max="5387" width="10.625" style="1" bestFit="1" customWidth="1"/>
    <col min="5388" max="5632" width="10.125" style="1"/>
    <col min="5633" max="5633" width="3.125" style="1" customWidth="1"/>
    <col min="5634" max="5634" width="29.5" style="1" customWidth="1"/>
    <col min="5635" max="5635" width="8.75" style="1" customWidth="1"/>
    <col min="5636" max="5636" width="1.5" style="1" customWidth="1"/>
    <col min="5637" max="5637" width="10.75" style="1" customWidth="1"/>
    <col min="5638" max="5638" width="6.375" style="1" customWidth="1"/>
    <col min="5639" max="5639" width="6.75" style="1" customWidth="1"/>
    <col min="5640" max="5640" width="8.75" style="1" customWidth="1"/>
    <col min="5641" max="5642" width="10.125" style="1"/>
    <col min="5643" max="5643" width="10.625" style="1" bestFit="1" customWidth="1"/>
    <col min="5644" max="5888" width="10.125" style="1"/>
    <col min="5889" max="5889" width="3.125" style="1" customWidth="1"/>
    <col min="5890" max="5890" width="29.5" style="1" customWidth="1"/>
    <col min="5891" max="5891" width="8.75" style="1" customWidth="1"/>
    <col min="5892" max="5892" width="1.5" style="1" customWidth="1"/>
    <col min="5893" max="5893" width="10.75" style="1" customWidth="1"/>
    <col min="5894" max="5894" width="6.375" style="1" customWidth="1"/>
    <col min="5895" max="5895" width="6.75" style="1" customWidth="1"/>
    <col min="5896" max="5896" width="8.75" style="1" customWidth="1"/>
    <col min="5897" max="5898" width="10.125" style="1"/>
    <col min="5899" max="5899" width="10.625" style="1" bestFit="1" customWidth="1"/>
    <col min="5900" max="6144" width="10.125" style="1"/>
    <col min="6145" max="6145" width="3.125" style="1" customWidth="1"/>
    <col min="6146" max="6146" width="29.5" style="1" customWidth="1"/>
    <col min="6147" max="6147" width="8.75" style="1" customWidth="1"/>
    <col min="6148" max="6148" width="1.5" style="1" customWidth="1"/>
    <col min="6149" max="6149" width="10.75" style="1" customWidth="1"/>
    <col min="6150" max="6150" width="6.375" style="1" customWidth="1"/>
    <col min="6151" max="6151" width="6.75" style="1" customWidth="1"/>
    <col min="6152" max="6152" width="8.75" style="1" customWidth="1"/>
    <col min="6153" max="6154" width="10.125" style="1"/>
    <col min="6155" max="6155" width="10.625" style="1" bestFit="1" customWidth="1"/>
    <col min="6156" max="6400" width="10.125" style="1"/>
    <col min="6401" max="6401" width="3.125" style="1" customWidth="1"/>
    <col min="6402" max="6402" width="29.5" style="1" customWidth="1"/>
    <col min="6403" max="6403" width="8.75" style="1" customWidth="1"/>
    <col min="6404" max="6404" width="1.5" style="1" customWidth="1"/>
    <col min="6405" max="6405" width="10.75" style="1" customWidth="1"/>
    <col min="6406" max="6406" width="6.375" style="1" customWidth="1"/>
    <col min="6407" max="6407" width="6.75" style="1" customWidth="1"/>
    <col min="6408" max="6408" width="8.75" style="1" customWidth="1"/>
    <col min="6409" max="6410" width="10.125" style="1"/>
    <col min="6411" max="6411" width="10.625" style="1" bestFit="1" customWidth="1"/>
    <col min="6412" max="6656" width="10.125" style="1"/>
    <col min="6657" max="6657" width="3.125" style="1" customWidth="1"/>
    <col min="6658" max="6658" width="29.5" style="1" customWidth="1"/>
    <col min="6659" max="6659" width="8.75" style="1" customWidth="1"/>
    <col min="6660" max="6660" width="1.5" style="1" customWidth="1"/>
    <col min="6661" max="6661" width="10.75" style="1" customWidth="1"/>
    <col min="6662" max="6662" width="6.375" style="1" customWidth="1"/>
    <col min="6663" max="6663" width="6.75" style="1" customWidth="1"/>
    <col min="6664" max="6664" width="8.75" style="1" customWidth="1"/>
    <col min="6665" max="6666" width="10.125" style="1"/>
    <col min="6667" max="6667" width="10.625" style="1" bestFit="1" customWidth="1"/>
    <col min="6668" max="6912" width="10.125" style="1"/>
    <col min="6913" max="6913" width="3.125" style="1" customWidth="1"/>
    <col min="6914" max="6914" width="29.5" style="1" customWidth="1"/>
    <col min="6915" max="6915" width="8.75" style="1" customWidth="1"/>
    <col min="6916" max="6916" width="1.5" style="1" customWidth="1"/>
    <col min="6917" max="6917" width="10.75" style="1" customWidth="1"/>
    <col min="6918" max="6918" width="6.375" style="1" customWidth="1"/>
    <col min="6919" max="6919" width="6.75" style="1" customWidth="1"/>
    <col min="6920" max="6920" width="8.75" style="1" customWidth="1"/>
    <col min="6921" max="6922" width="10.125" style="1"/>
    <col min="6923" max="6923" width="10.625" style="1" bestFit="1" customWidth="1"/>
    <col min="6924" max="7168" width="10.125" style="1"/>
    <col min="7169" max="7169" width="3.125" style="1" customWidth="1"/>
    <col min="7170" max="7170" width="29.5" style="1" customWidth="1"/>
    <col min="7171" max="7171" width="8.75" style="1" customWidth="1"/>
    <col min="7172" max="7172" width="1.5" style="1" customWidth="1"/>
    <col min="7173" max="7173" width="10.75" style="1" customWidth="1"/>
    <col min="7174" max="7174" width="6.375" style="1" customWidth="1"/>
    <col min="7175" max="7175" width="6.75" style="1" customWidth="1"/>
    <col min="7176" max="7176" width="8.75" style="1" customWidth="1"/>
    <col min="7177" max="7178" width="10.125" style="1"/>
    <col min="7179" max="7179" width="10.625" style="1" bestFit="1" customWidth="1"/>
    <col min="7180" max="7424" width="10.125" style="1"/>
    <col min="7425" max="7425" width="3.125" style="1" customWidth="1"/>
    <col min="7426" max="7426" width="29.5" style="1" customWidth="1"/>
    <col min="7427" max="7427" width="8.75" style="1" customWidth="1"/>
    <col min="7428" max="7428" width="1.5" style="1" customWidth="1"/>
    <col min="7429" max="7429" width="10.75" style="1" customWidth="1"/>
    <col min="7430" max="7430" width="6.375" style="1" customWidth="1"/>
    <col min="7431" max="7431" width="6.75" style="1" customWidth="1"/>
    <col min="7432" max="7432" width="8.75" style="1" customWidth="1"/>
    <col min="7433" max="7434" width="10.125" style="1"/>
    <col min="7435" max="7435" width="10.625" style="1" bestFit="1" customWidth="1"/>
    <col min="7436" max="7680" width="10.125" style="1"/>
    <col min="7681" max="7681" width="3.125" style="1" customWidth="1"/>
    <col min="7682" max="7682" width="29.5" style="1" customWidth="1"/>
    <col min="7683" max="7683" width="8.75" style="1" customWidth="1"/>
    <col min="7684" max="7684" width="1.5" style="1" customWidth="1"/>
    <col min="7685" max="7685" width="10.75" style="1" customWidth="1"/>
    <col min="7686" max="7686" width="6.375" style="1" customWidth="1"/>
    <col min="7687" max="7687" width="6.75" style="1" customWidth="1"/>
    <col min="7688" max="7688" width="8.75" style="1" customWidth="1"/>
    <col min="7689" max="7690" width="10.125" style="1"/>
    <col min="7691" max="7691" width="10.625" style="1" bestFit="1" customWidth="1"/>
    <col min="7692" max="7936" width="10.125" style="1"/>
    <col min="7937" max="7937" width="3.125" style="1" customWidth="1"/>
    <col min="7938" max="7938" width="29.5" style="1" customWidth="1"/>
    <col min="7939" max="7939" width="8.75" style="1" customWidth="1"/>
    <col min="7940" max="7940" width="1.5" style="1" customWidth="1"/>
    <col min="7941" max="7941" width="10.75" style="1" customWidth="1"/>
    <col min="7942" max="7942" width="6.375" style="1" customWidth="1"/>
    <col min="7943" max="7943" width="6.75" style="1" customWidth="1"/>
    <col min="7944" max="7944" width="8.75" style="1" customWidth="1"/>
    <col min="7945" max="7946" width="10.125" style="1"/>
    <col min="7947" max="7947" width="10.625" style="1" bestFit="1" customWidth="1"/>
    <col min="7948" max="8192" width="10.125" style="1"/>
    <col min="8193" max="8193" width="3.125" style="1" customWidth="1"/>
    <col min="8194" max="8194" width="29.5" style="1" customWidth="1"/>
    <col min="8195" max="8195" width="8.75" style="1" customWidth="1"/>
    <col min="8196" max="8196" width="1.5" style="1" customWidth="1"/>
    <col min="8197" max="8197" width="10.75" style="1" customWidth="1"/>
    <col min="8198" max="8198" width="6.375" style="1" customWidth="1"/>
    <col min="8199" max="8199" width="6.75" style="1" customWidth="1"/>
    <col min="8200" max="8200" width="8.75" style="1" customWidth="1"/>
    <col min="8201" max="8202" width="10.125" style="1"/>
    <col min="8203" max="8203" width="10.625" style="1" bestFit="1" customWidth="1"/>
    <col min="8204" max="8448" width="10.125" style="1"/>
    <col min="8449" max="8449" width="3.125" style="1" customWidth="1"/>
    <col min="8450" max="8450" width="29.5" style="1" customWidth="1"/>
    <col min="8451" max="8451" width="8.75" style="1" customWidth="1"/>
    <col min="8452" max="8452" width="1.5" style="1" customWidth="1"/>
    <col min="8453" max="8453" width="10.75" style="1" customWidth="1"/>
    <col min="8454" max="8454" width="6.375" style="1" customWidth="1"/>
    <col min="8455" max="8455" width="6.75" style="1" customWidth="1"/>
    <col min="8456" max="8456" width="8.75" style="1" customWidth="1"/>
    <col min="8457" max="8458" width="10.125" style="1"/>
    <col min="8459" max="8459" width="10.625" style="1" bestFit="1" customWidth="1"/>
    <col min="8460" max="8704" width="10.125" style="1"/>
    <col min="8705" max="8705" width="3.125" style="1" customWidth="1"/>
    <col min="8706" max="8706" width="29.5" style="1" customWidth="1"/>
    <col min="8707" max="8707" width="8.75" style="1" customWidth="1"/>
    <col min="8708" max="8708" width="1.5" style="1" customWidth="1"/>
    <col min="8709" max="8709" width="10.75" style="1" customWidth="1"/>
    <col min="8710" max="8710" width="6.375" style="1" customWidth="1"/>
    <col min="8711" max="8711" width="6.75" style="1" customWidth="1"/>
    <col min="8712" max="8712" width="8.75" style="1" customWidth="1"/>
    <col min="8713" max="8714" width="10.125" style="1"/>
    <col min="8715" max="8715" width="10.625" style="1" bestFit="1" customWidth="1"/>
    <col min="8716" max="8960" width="10.125" style="1"/>
    <col min="8961" max="8961" width="3.125" style="1" customWidth="1"/>
    <col min="8962" max="8962" width="29.5" style="1" customWidth="1"/>
    <col min="8963" max="8963" width="8.75" style="1" customWidth="1"/>
    <col min="8964" max="8964" width="1.5" style="1" customWidth="1"/>
    <col min="8965" max="8965" width="10.75" style="1" customWidth="1"/>
    <col min="8966" max="8966" width="6.375" style="1" customWidth="1"/>
    <col min="8967" max="8967" width="6.75" style="1" customWidth="1"/>
    <col min="8968" max="8968" width="8.75" style="1" customWidth="1"/>
    <col min="8969" max="8970" width="10.125" style="1"/>
    <col min="8971" max="8971" width="10.625" style="1" bestFit="1" customWidth="1"/>
    <col min="8972" max="9216" width="10.125" style="1"/>
    <col min="9217" max="9217" width="3.125" style="1" customWidth="1"/>
    <col min="9218" max="9218" width="29.5" style="1" customWidth="1"/>
    <col min="9219" max="9219" width="8.75" style="1" customWidth="1"/>
    <col min="9220" max="9220" width="1.5" style="1" customWidth="1"/>
    <col min="9221" max="9221" width="10.75" style="1" customWidth="1"/>
    <col min="9222" max="9222" width="6.375" style="1" customWidth="1"/>
    <col min="9223" max="9223" width="6.75" style="1" customWidth="1"/>
    <col min="9224" max="9224" width="8.75" style="1" customWidth="1"/>
    <col min="9225" max="9226" width="10.125" style="1"/>
    <col min="9227" max="9227" width="10.625" style="1" bestFit="1" customWidth="1"/>
    <col min="9228" max="9472" width="10.125" style="1"/>
    <col min="9473" max="9473" width="3.125" style="1" customWidth="1"/>
    <col min="9474" max="9474" width="29.5" style="1" customWidth="1"/>
    <col min="9475" max="9475" width="8.75" style="1" customWidth="1"/>
    <col min="9476" max="9476" width="1.5" style="1" customWidth="1"/>
    <col min="9477" max="9477" width="10.75" style="1" customWidth="1"/>
    <col min="9478" max="9478" width="6.375" style="1" customWidth="1"/>
    <col min="9479" max="9479" width="6.75" style="1" customWidth="1"/>
    <col min="9480" max="9480" width="8.75" style="1" customWidth="1"/>
    <col min="9481" max="9482" width="10.125" style="1"/>
    <col min="9483" max="9483" width="10.625" style="1" bestFit="1" customWidth="1"/>
    <col min="9484" max="9728" width="10.125" style="1"/>
    <col min="9729" max="9729" width="3.125" style="1" customWidth="1"/>
    <col min="9730" max="9730" width="29.5" style="1" customWidth="1"/>
    <col min="9731" max="9731" width="8.75" style="1" customWidth="1"/>
    <col min="9732" max="9732" width="1.5" style="1" customWidth="1"/>
    <col min="9733" max="9733" width="10.75" style="1" customWidth="1"/>
    <col min="9734" max="9734" width="6.375" style="1" customWidth="1"/>
    <col min="9735" max="9735" width="6.75" style="1" customWidth="1"/>
    <col min="9736" max="9736" width="8.75" style="1" customWidth="1"/>
    <col min="9737" max="9738" width="10.125" style="1"/>
    <col min="9739" max="9739" width="10.625" style="1" bestFit="1" customWidth="1"/>
    <col min="9740" max="9984" width="10.125" style="1"/>
    <col min="9985" max="9985" width="3.125" style="1" customWidth="1"/>
    <col min="9986" max="9986" width="29.5" style="1" customWidth="1"/>
    <col min="9987" max="9987" width="8.75" style="1" customWidth="1"/>
    <col min="9988" max="9988" width="1.5" style="1" customWidth="1"/>
    <col min="9989" max="9989" width="10.75" style="1" customWidth="1"/>
    <col min="9990" max="9990" width="6.375" style="1" customWidth="1"/>
    <col min="9991" max="9991" width="6.75" style="1" customWidth="1"/>
    <col min="9992" max="9992" width="8.75" style="1" customWidth="1"/>
    <col min="9993" max="9994" width="10.125" style="1"/>
    <col min="9995" max="9995" width="10.625" style="1" bestFit="1" customWidth="1"/>
    <col min="9996" max="10240" width="10.125" style="1"/>
    <col min="10241" max="10241" width="3.125" style="1" customWidth="1"/>
    <col min="10242" max="10242" width="29.5" style="1" customWidth="1"/>
    <col min="10243" max="10243" width="8.75" style="1" customWidth="1"/>
    <col min="10244" max="10244" width="1.5" style="1" customWidth="1"/>
    <col min="10245" max="10245" width="10.75" style="1" customWidth="1"/>
    <col min="10246" max="10246" width="6.375" style="1" customWidth="1"/>
    <col min="10247" max="10247" width="6.75" style="1" customWidth="1"/>
    <col min="10248" max="10248" width="8.75" style="1" customWidth="1"/>
    <col min="10249" max="10250" width="10.125" style="1"/>
    <col min="10251" max="10251" width="10.625" style="1" bestFit="1" customWidth="1"/>
    <col min="10252" max="10496" width="10.125" style="1"/>
    <col min="10497" max="10497" width="3.125" style="1" customWidth="1"/>
    <col min="10498" max="10498" width="29.5" style="1" customWidth="1"/>
    <col min="10499" max="10499" width="8.75" style="1" customWidth="1"/>
    <col min="10500" max="10500" width="1.5" style="1" customWidth="1"/>
    <col min="10501" max="10501" width="10.75" style="1" customWidth="1"/>
    <col min="10502" max="10502" width="6.375" style="1" customWidth="1"/>
    <col min="10503" max="10503" width="6.75" style="1" customWidth="1"/>
    <col min="10504" max="10504" width="8.75" style="1" customWidth="1"/>
    <col min="10505" max="10506" width="10.125" style="1"/>
    <col min="10507" max="10507" width="10.625" style="1" bestFit="1" customWidth="1"/>
    <col min="10508" max="10752" width="10.125" style="1"/>
    <col min="10753" max="10753" width="3.125" style="1" customWidth="1"/>
    <col min="10754" max="10754" width="29.5" style="1" customWidth="1"/>
    <col min="10755" max="10755" width="8.75" style="1" customWidth="1"/>
    <col min="10756" max="10756" width="1.5" style="1" customWidth="1"/>
    <col min="10757" max="10757" width="10.75" style="1" customWidth="1"/>
    <col min="10758" max="10758" width="6.375" style="1" customWidth="1"/>
    <col min="10759" max="10759" width="6.75" style="1" customWidth="1"/>
    <col min="10760" max="10760" width="8.75" style="1" customWidth="1"/>
    <col min="10761" max="10762" width="10.125" style="1"/>
    <col min="10763" max="10763" width="10.625" style="1" bestFit="1" customWidth="1"/>
    <col min="10764" max="11008" width="10.125" style="1"/>
    <col min="11009" max="11009" width="3.125" style="1" customWidth="1"/>
    <col min="11010" max="11010" width="29.5" style="1" customWidth="1"/>
    <col min="11011" max="11011" width="8.75" style="1" customWidth="1"/>
    <col min="11012" max="11012" width="1.5" style="1" customWidth="1"/>
    <col min="11013" max="11013" width="10.75" style="1" customWidth="1"/>
    <col min="11014" max="11014" width="6.375" style="1" customWidth="1"/>
    <col min="11015" max="11015" width="6.75" style="1" customWidth="1"/>
    <col min="11016" max="11016" width="8.75" style="1" customWidth="1"/>
    <col min="11017" max="11018" width="10.125" style="1"/>
    <col min="11019" max="11019" width="10.625" style="1" bestFit="1" customWidth="1"/>
    <col min="11020" max="11264" width="10.125" style="1"/>
    <col min="11265" max="11265" width="3.125" style="1" customWidth="1"/>
    <col min="11266" max="11266" width="29.5" style="1" customWidth="1"/>
    <col min="11267" max="11267" width="8.75" style="1" customWidth="1"/>
    <col min="11268" max="11268" width="1.5" style="1" customWidth="1"/>
    <col min="11269" max="11269" width="10.75" style="1" customWidth="1"/>
    <col min="11270" max="11270" width="6.375" style="1" customWidth="1"/>
    <col min="11271" max="11271" width="6.75" style="1" customWidth="1"/>
    <col min="11272" max="11272" width="8.75" style="1" customWidth="1"/>
    <col min="11273" max="11274" width="10.125" style="1"/>
    <col min="11275" max="11275" width="10.625" style="1" bestFit="1" customWidth="1"/>
    <col min="11276" max="11520" width="10.125" style="1"/>
    <col min="11521" max="11521" width="3.125" style="1" customWidth="1"/>
    <col min="11522" max="11522" width="29.5" style="1" customWidth="1"/>
    <col min="11523" max="11523" width="8.75" style="1" customWidth="1"/>
    <col min="11524" max="11524" width="1.5" style="1" customWidth="1"/>
    <col min="11525" max="11525" width="10.75" style="1" customWidth="1"/>
    <col min="11526" max="11526" width="6.375" style="1" customWidth="1"/>
    <col min="11527" max="11527" width="6.75" style="1" customWidth="1"/>
    <col min="11528" max="11528" width="8.75" style="1" customWidth="1"/>
    <col min="11529" max="11530" width="10.125" style="1"/>
    <col min="11531" max="11531" width="10.625" style="1" bestFit="1" customWidth="1"/>
    <col min="11532" max="11776" width="10.125" style="1"/>
    <col min="11777" max="11777" width="3.125" style="1" customWidth="1"/>
    <col min="11778" max="11778" width="29.5" style="1" customWidth="1"/>
    <col min="11779" max="11779" width="8.75" style="1" customWidth="1"/>
    <col min="11780" max="11780" width="1.5" style="1" customWidth="1"/>
    <col min="11781" max="11781" width="10.75" style="1" customWidth="1"/>
    <col min="11782" max="11782" width="6.375" style="1" customWidth="1"/>
    <col min="11783" max="11783" width="6.75" style="1" customWidth="1"/>
    <col min="11784" max="11784" width="8.75" style="1" customWidth="1"/>
    <col min="11785" max="11786" width="10.125" style="1"/>
    <col min="11787" max="11787" width="10.625" style="1" bestFit="1" customWidth="1"/>
    <col min="11788" max="12032" width="10.125" style="1"/>
    <col min="12033" max="12033" width="3.125" style="1" customWidth="1"/>
    <col min="12034" max="12034" width="29.5" style="1" customWidth="1"/>
    <col min="12035" max="12035" width="8.75" style="1" customWidth="1"/>
    <col min="12036" max="12036" width="1.5" style="1" customWidth="1"/>
    <col min="12037" max="12037" width="10.75" style="1" customWidth="1"/>
    <col min="12038" max="12038" width="6.375" style="1" customWidth="1"/>
    <col min="12039" max="12039" width="6.75" style="1" customWidth="1"/>
    <col min="12040" max="12040" width="8.75" style="1" customWidth="1"/>
    <col min="12041" max="12042" width="10.125" style="1"/>
    <col min="12043" max="12043" width="10.625" style="1" bestFit="1" customWidth="1"/>
    <col min="12044" max="12288" width="10.125" style="1"/>
    <col min="12289" max="12289" width="3.125" style="1" customWidth="1"/>
    <col min="12290" max="12290" width="29.5" style="1" customWidth="1"/>
    <col min="12291" max="12291" width="8.75" style="1" customWidth="1"/>
    <col min="12292" max="12292" width="1.5" style="1" customWidth="1"/>
    <col min="12293" max="12293" width="10.75" style="1" customWidth="1"/>
    <col min="12294" max="12294" width="6.375" style="1" customWidth="1"/>
    <col min="12295" max="12295" width="6.75" style="1" customWidth="1"/>
    <col min="12296" max="12296" width="8.75" style="1" customWidth="1"/>
    <col min="12297" max="12298" width="10.125" style="1"/>
    <col min="12299" max="12299" width="10.625" style="1" bestFit="1" customWidth="1"/>
    <col min="12300" max="12544" width="10.125" style="1"/>
    <col min="12545" max="12545" width="3.125" style="1" customWidth="1"/>
    <col min="12546" max="12546" width="29.5" style="1" customWidth="1"/>
    <col min="12547" max="12547" width="8.75" style="1" customWidth="1"/>
    <col min="12548" max="12548" width="1.5" style="1" customWidth="1"/>
    <col min="12549" max="12549" width="10.75" style="1" customWidth="1"/>
    <col min="12550" max="12550" width="6.375" style="1" customWidth="1"/>
    <col min="12551" max="12551" width="6.75" style="1" customWidth="1"/>
    <col min="12552" max="12552" width="8.75" style="1" customWidth="1"/>
    <col min="12553" max="12554" width="10.125" style="1"/>
    <col min="12555" max="12555" width="10.625" style="1" bestFit="1" customWidth="1"/>
    <col min="12556" max="12800" width="10.125" style="1"/>
    <col min="12801" max="12801" width="3.125" style="1" customWidth="1"/>
    <col min="12802" max="12802" width="29.5" style="1" customWidth="1"/>
    <col min="12803" max="12803" width="8.75" style="1" customWidth="1"/>
    <col min="12804" max="12804" width="1.5" style="1" customWidth="1"/>
    <col min="12805" max="12805" width="10.75" style="1" customWidth="1"/>
    <col min="12806" max="12806" width="6.375" style="1" customWidth="1"/>
    <col min="12807" max="12807" width="6.75" style="1" customWidth="1"/>
    <col min="12808" max="12808" width="8.75" style="1" customWidth="1"/>
    <col min="12809" max="12810" width="10.125" style="1"/>
    <col min="12811" max="12811" width="10.625" style="1" bestFit="1" customWidth="1"/>
    <col min="12812" max="13056" width="10.125" style="1"/>
    <col min="13057" max="13057" width="3.125" style="1" customWidth="1"/>
    <col min="13058" max="13058" width="29.5" style="1" customWidth="1"/>
    <col min="13059" max="13059" width="8.75" style="1" customWidth="1"/>
    <col min="13060" max="13060" width="1.5" style="1" customWidth="1"/>
    <col min="13061" max="13061" width="10.75" style="1" customWidth="1"/>
    <col min="13062" max="13062" width="6.375" style="1" customWidth="1"/>
    <col min="13063" max="13063" width="6.75" style="1" customWidth="1"/>
    <col min="13064" max="13064" width="8.75" style="1" customWidth="1"/>
    <col min="13065" max="13066" width="10.125" style="1"/>
    <col min="13067" max="13067" width="10.625" style="1" bestFit="1" customWidth="1"/>
    <col min="13068" max="13312" width="10.125" style="1"/>
    <col min="13313" max="13313" width="3.125" style="1" customWidth="1"/>
    <col min="13314" max="13314" width="29.5" style="1" customWidth="1"/>
    <col min="13315" max="13315" width="8.75" style="1" customWidth="1"/>
    <col min="13316" max="13316" width="1.5" style="1" customWidth="1"/>
    <col min="13317" max="13317" width="10.75" style="1" customWidth="1"/>
    <col min="13318" max="13318" width="6.375" style="1" customWidth="1"/>
    <col min="13319" max="13319" width="6.75" style="1" customWidth="1"/>
    <col min="13320" max="13320" width="8.75" style="1" customWidth="1"/>
    <col min="13321" max="13322" width="10.125" style="1"/>
    <col min="13323" max="13323" width="10.625" style="1" bestFit="1" customWidth="1"/>
    <col min="13324" max="13568" width="10.125" style="1"/>
    <col min="13569" max="13569" width="3.125" style="1" customWidth="1"/>
    <col min="13570" max="13570" width="29.5" style="1" customWidth="1"/>
    <col min="13571" max="13571" width="8.75" style="1" customWidth="1"/>
    <col min="13572" max="13572" width="1.5" style="1" customWidth="1"/>
    <col min="13573" max="13573" width="10.75" style="1" customWidth="1"/>
    <col min="13574" max="13574" width="6.375" style="1" customWidth="1"/>
    <col min="13575" max="13575" width="6.75" style="1" customWidth="1"/>
    <col min="13576" max="13576" width="8.75" style="1" customWidth="1"/>
    <col min="13577" max="13578" width="10.125" style="1"/>
    <col min="13579" max="13579" width="10.625" style="1" bestFit="1" customWidth="1"/>
    <col min="13580" max="13824" width="10.125" style="1"/>
    <col min="13825" max="13825" width="3.125" style="1" customWidth="1"/>
    <col min="13826" max="13826" width="29.5" style="1" customWidth="1"/>
    <col min="13827" max="13827" width="8.75" style="1" customWidth="1"/>
    <col min="13828" max="13828" width="1.5" style="1" customWidth="1"/>
    <col min="13829" max="13829" width="10.75" style="1" customWidth="1"/>
    <col min="13830" max="13830" width="6.375" style="1" customWidth="1"/>
    <col min="13831" max="13831" width="6.75" style="1" customWidth="1"/>
    <col min="13832" max="13832" width="8.75" style="1" customWidth="1"/>
    <col min="13833" max="13834" width="10.125" style="1"/>
    <col min="13835" max="13835" width="10.625" style="1" bestFit="1" customWidth="1"/>
    <col min="13836" max="14080" width="10.125" style="1"/>
    <col min="14081" max="14081" width="3.125" style="1" customWidth="1"/>
    <col min="14082" max="14082" width="29.5" style="1" customWidth="1"/>
    <col min="14083" max="14083" width="8.75" style="1" customWidth="1"/>
    <col min="14084" max="14084" width="1.5" style="1" customWidth="1"/>
    <col min="14085" max="14085" width="10.75" style="1" customWidth="1"/>
    <col min="14086" max="14086" width="6.375" style="1" customWidth="1"/>
    <col min="14087" max="14087" width="6.75" style="1" customWidth="1"/>
    <col min="14088" max="14088" width="8.75" style="1" customWidth="1"/>
    <col min="14089" max="14090" width="10.125" style="1"/>
    <col min="14091" max="14091" width="10.625" style="1" bestFit="1" customWidth="1"/>
    <col min="14092" max="14336" width="10.125" style="1"/>
    <col min="14337" max="14337" width="3.125" style="1" customWidth="1"/>
    <col min="14338" max="14338" width="29.5" style="1" customWidth="1"/>
    <col min="14339" max="14339" width="8.75" style="1" customWidth="1"/>
    <col min="14340" max="14340" width="1.5" style="1" customWidth="1"/>
    <col min="14341" max="14341" width="10.75" style="1" customWidth="1"/>
    <col min="14342" max="14342" width="6.375" style="1" customWidth="1"/>
    <col min="14343" max="14343" width="6.75" style="1" customWidth="1"/>
    <col min="14344" max="14344" width="8.75" style="1" customWidth="1"/>
    <col min="14345" max="14346" width="10.125" style="1"/>
    <col min="14347" max="14347" width="10.625" style="1" bestFit="1" customWidth="1"/>
    <col min="14348" max="14592" width="10.125" style="1"/>
    <col min="14593" max="14593" width="3.125" style="1" customWidth="1"/>
    <col min="14594" max="14594" width="29.5" style="1" customWidth="1"/>
    <col min="14595" max="14595" width="8.75" style="1" customWidth="1"/>
    <col min="14596" max="14596" width="1.5" style="1" customWidth="1"/>
    <col min="14597" max="14597" width="10.75" style="1" customWidth="1"/>
    <col min="14598" max="14598" width="6.375" style="1" customWidth="1"/>
    <col min="14599" max="14599" width="6.75" style="1" customWidth="1"/>
    <col min="14600" max="14600" width="8.75" style="1" customWidth="1"/>
    <col min="14601" max="14602" width="10.125" style="1"/>
    <col min="14603" max="14603" width="10.625" style="1" bestFit="1" customWidth="1"/>
    <col min="14604" max="14848" width="10.125" style="1"/>
    <col min="14849" max="14849" width="3.125" style="1" customWidth="1"/>
    <col min="14850" max="14850" width="29.5" style="1" customWidth="1"/>
    <col min="14851" max="14851" width="8.75" style="1" customWidth="1"/>
    <col min="14852" max="14852" width="1.5" style="1" customWidth="1"/>
    <col min="14853" max="14853" width="10.75" style="1" customWidth="1"/>
    <col min="14854" max="14854" width="6.375" style="1" customWidth="1"/>
    <col min="14855" max="14855" width="6.75" style="1" customWidth="1"/>
    <col min="14856" max="14856" width="8.75" style="1" customWidth="1"/>
    <col min="14857" max="14858" width="10.125" style="1"/>
    <col min="14859" max="14859" width="10.625" style="1" bestFit="1" customWidth="1"/>
    <col min="14860" max="15104" width="10.125" style="1"/>
    <col min="15105" max="15105" width="3.125" style="1" customWidth="1"/>
    <col min="15106" max="15106" width="29.5" style="1" customWidth="1"/>
    <col min="15107" max="15107" width="8.75" style="1" customWidth="1"/>
    <col min="15108" max="15108" width="1.5" style="1" customWidth="1"/>
    <col min="15109" max="15109" width="10.75" style="1" customWidth="1"/>
    <col min="15110" max="15110" width="6.375" style="1" customWidth="1"/>
    <col min="15111" max="15111" width="6.75" style="1" customWidth="1"/>
    <col min="15112" max="15112" width="8.75" style="1" customWidth="1"/>
    <col min="15113" max="15114" width="10.125" style="1"/>
    <col min="15115" max="15115" width="10.625" style="1" bestFit="1" customWidth="1"/>
    <col min="15116" max="15360" width="10.125" style="1"/>
    <col min="15361" max="15361" width="3.125" style="1" customWidth="1"/>
    <col min="15362" max="15362" width="29.5" style="1" customWidth="1"/>
    <col min="15363" max="15363" width="8.75" style="1" customWidth="1"/>
    <col min="15364" max="15364" width="1.5" style="1" customWidth="1"/>
    <col min="15365" max="15365" width="10.75" style="1" customWidth="1"/>
    <col min="15366" max="15366" width="6.375" style="1" customWidth="1"/>
    <col min="15367" max="15367" width="6.75" style="1" customWidth="1"/>
    <col min="15368" max="15368" width="8.75" style="1" customWidth="1"/>
    <col min="15369" max="15370" width="10.125" style="1"/>
    <col min="15371" max="15371" width="10.625" style="1" bestFit="1" customWidth="1"/>
    <col min="15372" max="15616" width="10.125" style="1"/>
    <col min="15617" max="15617" width="3.125" style="1" customWidth="1"/>
    <col min="15618" max="15618" width="29.5" style="1" customWidth="1"/>
    <col min="15619" max="15619" width="8.75" style="1" customWidth="1"/>
    <col min="15620" max="15620" width="1.5" style="1" customWidth="1"/>
    <col min="15621" max="15621" width="10.75" style="1" customWidth="1"/>
    <col min="15622" max="15622" width="6.375" style="1" customWidth="1"/>
    <col min="15623" max="15623" width="6.75" style="1" customWidth="1"/>
    <col min="15624" max="15624" width="8.75" style="1" customWidth="1"/>
    <col min="15625" max="15626" width="10.125" style="1"/>
    <col min="15627" max="15627" width="10.625" style="1" bestFit="1" customWidth="1"/>
    <col min="15628" max="15872" width="10.125" style="1"/>
    <col min="15873" max="15873" width="3.125" style="1" customWidth="1"/>
    <col min="15874" max="15874" width="29.5" style="1" customWidth="1"/>
    <col min="15875" max="15875" width="8.75" style="1" customWidth="1"/>
    <col min="15876" max="15876" width="1.5" style="1" customWidth="1"/>
    <col min="15877" max="15877" width="10.75" style="1" customWidth="1"/>
    <col min="15878" max="15878" width="6.375" style="1" customWidth="1"/>
    <col min="15879" max="15879" width="6.75" style="1" customWidth="1"/>
    <col min="15880" max="15880" width="8.75" style="1" customWidth="1"/>
    <col min="15881" max="15882" width="10.125" style="1"/>
    <col min="15883" max="15883" width="10.625" style="1" bestFit="1" customWidth="1"/>
    <col min="15884" max="16128" width="10.125" style="1"/>
    <col min="16129" max="16129" width="3.125" style="1" customWidth="1"/>
    <col min="16130" max="16130" width="29.5" style="1" customWidth="1"/>
    <col min="16131" max="16131" width="8.75" style="1" customWidth="1"/>
    <col min="16132" max="16132" width="1.5" style="1" customWidth="1"/>
    <col min="16133" max="16133" width="10.75" style="1" customWidth="1"/>
    <col min="16134" max="16134" width="6.375" style="1" customWidth="1"/>
    <col min="16135" max="16135" width="6.75" style="1" customWidth="1"/>
    <col min="16136" max="16136" width="8.75" style="1" customWidth="1"/>
    <col min="16137" max="16138" width="10.125" style="1"/>
    <col min="16139" max="16139" width="10.625" style="1" bestFit="1" customWidth="1"/>
    <col min="16140" max="16384" width="10.125" style="1"/>
  </cols>
  <sheetData>
    <row r="5" spans="1:12" x14ac:dyDescent="0.25">
      <c r="A5" s="4" t="s">
        <v>0</v>
      </c>
      <c r="B5" s="5"/>
      <c r="C5" s="5"/>
    </row>
    <row r="6" spans="1:12" ht="9" customHeight="1" x14ac:dyDescent="0.25">
      <c r="A6" s="4"/>
      <c r="B6" s="5"/>
      <c r="C6" s="5"/>
    </row>
    <row r="7" spans="1:12" s="7" customFormat="1" ht="15" x14ac:dyDescent="0.25">
      <c r="A7" s="7" t="s">
        <v>1</v>
      </c>
      <c r="B7" s="8"/>
      <c r="D7" s="9"/>
      <c r="E7" s="131" t="s">
        <v>2</v>
      </c>
      <c r="F7" s="132"/>
      <c r="G7" s="133">
        <v>45875</v>
      </c>
      <c r="H7" s="134"/>
      <c r="J7" s="55"/>
      <c r="K7" s="55"/>
    </row>
    <row r="8" spans="1:12" s="7" customFormat="1" ht="15" x14ac:dyDescent="0.25">
      <c r="A8" s="7" t="s">
        <v>53</v>
      </c>
      <c r="B8" s="8"/>
      <c r="D8" s="9"/>
      <c r="E8" s="135" t="s">
        <v>3</v>
      </c>
      <c r="F8" s="136"/>
      <c r="H8" s="11">
        <v>60431</v>
      </c>
      <c r="J8" s="55"/>
      <c r="K8" s="55"/>
      <c r="L8" s="55"/>
    </row>
    <row r="9" spans="1:12" s="7" customFormat="1" ht="15" x14ac:dyDescent="0.25">
      <c r="A9" s="7" t="s">
        <v>54</v>
      </c>
      <c r="B9" s="8"/>
      <c r="D9" s="9"/>
      <c r="E9" s="135" t="s">
        <v>4</v>
      </c>
      <c r="F9" s="136"/>
      <c r="G9" s="137" t="s">
        <v>122</v>
      </c>
      <c r="H9" s="138"/>
      <c r="J9" s="55"/>
      <c r="K9" s="55"/>
      <c r="L9" s="55"/>
    </row>
    <row r="10" spans="1:12" s="7" customFormat="1" ht="15" x14ac:dyDescent="0.25">
      <c r="B10" s="8"/>
      <c r="D10" s="9"/>
      <c r="E10" s="13" t="s">
        <v>5</v>
      </c>
      <c r="F10" s="14"/>
      <c r="G10" s="139" t="s">
        <v>32</v>
      </c>
      <c r="H10" s="140"/>
      <c r="K10" s="55"/>
    </row>
    <row r="11" spans="1:12" s="7" customFormat="1" ht="15" x14ac:dyDescent="0.25">
      <c r="A11" s="15" t="s">
        <v>55</v>
      </c>
      <c r="B11" s="8"/>
      <c r="D11" s="9"/>
      <c r="E11" s="10" t="s">
        <v>6</v>
      </c>
      <c r="F11" s="125" t="s">
        <v>7</v>
      </c>
      <c r="G11" s="125"/>
      <c r="H11" s="126"/>
    </row>
    <row r="12" spans="1:12" s="7" customFormat="1" ht="15" x14ac:dyDescent="0.25">
      <c r="A12" s="15"/>
      <c r="B12" s="8"/>
      <c r="D12" s="9"/>
      <c r="E12" s="13" t="s">
        <v>8</v>
      </c>
      <c r="F12" s="127" t="s">
        <v>9</v>
      </c>
      <c r="G12" s="127"/>
      <c r="H12" s="128"/>
    </row>
    <row r="13" spans="1:12" s="7" customFormat="1" ht="15" x14ac:dyDescent="0.25">
      <c r="A13" s="15"/>
      <c r="B13" s="8"/>
      <c r="D13" s="9"/>
      <c r="E13" s="17"/>
      <c r="F13" s="51"/>
      <c r="G13" s="51"/>
      <c r="H13" s="51"/>
    </row>
    <row r="14" spans="1:12" s="7" customFormat="1" ht="15" x14ac:dyDescent="0.25">
      <c r="A14" s="15"/>
      <c r="B14" s="8"/>
      <c r="D14" s="9"/>
      <c r="E14" s="17"/>
      <c r="F14" s="51"/>
      <c r="G14" s="51"/>
      <c r="H14" s="51"/>
    </row>
    <row r="15" spans="1:12" s="7" customFormat="1" ht="15" x14ac:dyDescent="0.25">
      <c r="A15" s="15"/>
      <c r="B15" s="8"/>
      <c r="D15" s="9"/>
      <c r="E15" s="17"/>
      <c r="F15" s="51"/>
      <c r="G15" s="51"/>
      <c r="H15" s="51"/>
    </row>
    <row r="16" spans="1:12" s="15" customFormat="1" ht="14.25" x14ac:dyDescent="0.2">
      <c r="A16" s="129" t="s">
        <v>10</v>
      </c>
      <c r="B16" s="129"/>
      <c r="C16" s="129"/>
      <c r="D16" s="129"/>
      <c r="E16" s="129"/>
      <c r="F16" s="129"/>
      <c r="G16" s="129"/>
      <c r="H16" s="129"/>
    </row>
    <row r="17" spans="1:8" s="15" customFormat="1" ht="14.25" x14ac:dyDescent="0.2">
      <c r="A17" s="19"/>
      <c r="B17" s="19"/>
      <c r="C17" s="19"/>
      <c r="D17" s="19"/>
      <c r="E17" s="19"/>
      <c r="F17" s="19"/>
      <c r="G17" s="19"/>
      <c r="H17" s="19"/>
    </row>
    <row r="18" spans="1:8" s="15" customFormat="1" ht="14.25" x14ac:dyDescent="0.2">
      <c r="A18" s="19"/>
      <c r="B18" s="19"/>
      <c r="C18" s="19"/>
      <c r="D18" s="19"/>
      <c r="E18" s="19"/>
      <c r="F18" s="19"/>
      <c r="G18" s="19"/>
      <c r="H18" s="19"/>
    </row>
    <row r="19" spans="1:8" s="7" customFormat="1" ht="15" x14ac:dyDescent="0.25">
      <c r="A19" s="7" t="s">
        <v>38</v>
      </c>
      <c r="B19" s="8"/>
      <c r="D19" s="9"/>
      <c r="E19" s="17"/>
      <c r="F19" s="9"/>
      <c r="G19" s="18"/>
    </row>
    <row r="20" spans="1:8" s="7" customFormat="1" ht="15" x14ac:dyDescent="0.25">
      <c r="A20" s="7" t="s">
        <v>39</v>
      </c>
      <c r="B20" s="8"/>
      <c r="D20" s="9"/>
      <c r="E20" s="17"/>
      <c r="F20" s="9"/>
      <c r="G20" s="18"/>
    </row>
    <row r="21" spans="1:8" s="7" customFormat="1" ht="9" customHeight="1" x14ac:dyDescent="0.25">
      <c r="D21" s="9"/>
      <c r="E21" s="17"/>
      <c r="F21" s="18"/>
    </row>
    <row r="22" spans="1:8" s="7" customFormat="1" ht="15" x14ac:dyDescent="0.25">
      <c r="A22" s="20" t="s">
        <v>13</v>
      </c>
      <c r="B22" s="21"/>
      <c r="C22" s="20"/>
      <c r="D22" s="9"/>
      <c r="E22" s="9" t="s">
        <v>40</v>
      </c>
      <c r="F22" s="17" t="s">
        <v>15</v>
      </c>
      <c r="G22" s="9" t="s">
        <v>41</v>
      </c>
      <c r="H22" s="17" t="s">
        <v>17</v>
      </c>
    </row>
    <row r="23" spans="1:8" s="7" customFormat="1" ht="15" x14ac:dyDescent="0.25">
      <c r="A23" s="23" t="s">
        <v>18</v>
      </c>
      <c r="B23" s="23"/>
      <c r="C23" s="22" t="s">
        <v>49</v>
      </c>
      <c r="D23" s="24"/>
      <c r="E23" s="24" t="s">
        <v>50</v>
      </c>
      <c r="F23" s="16"/>
      <c r="G23" s="24" t="s">
        <v>44</v>
      </c>
      <c r="H23" s="14"/>
    </row>
    <row r="24" spans="1:8" s="7" customFormat="1" ht="15" x14ac:dyDescent="0.25">
      <c r="A24" s="7">
        <v>33</v>
      </c>
      <c r="B24" s="7" t="s">
        <v>51</v>
      </c>
      <c r="C24" s="45"/>
      <c r="D24" s="45"/>
      <c r="E24" s="26"/>
      <c r="F24" s="12"/>
      <c r="G24" s="17"/>
      <c r="H24" s="28"/>
    </row>
    <row r="25" spans="1:8" s="7" customFormat="1" ht="15" x14ac:dyDescent="0.25">
      <c r="A25" s="12"/>
      <c r="B25" s="55">
        <v>45658</v>
      </c>
      <c r="C25" s="44">
        <v>45708</v>
      </c>
      <c r="E25" s="26">
        <f>ROUNDDOWN((23974.96/2)/(128664.92/12)*128664.92/1000,)*1000</f>
        <v>143000</v>
      </c>
      <c r="F25" s="12" t="s">
        <v>52</v>
      </c>
      <c r="G25" s="17">
        <v>9</v>
      </c>
      <c r="H25" s="28">
        <f>G25/10*217</f>
        <v>195.3</v>
      </c>
    </row>
    <row r="26" spans="1:8" s="7" customFormat="1" ht="15" x14ac:dyDescent="0.25">
      <c r="A26" s="12"/>
      <c r="B26" s="55">
        <v>45689</v>
      </c>
      <c r="C26" s="44">
        <v>45749</v>
      </c>
      <c r="E26" s="26">
        <f>+E25</f>
        <v>143000</v>
      </c>
      <c r="F26" s="12" t="s">
        <v>52</v>
      </c>
      <c r="G26" s="17">
        <f>+G25</f>
        <v>9</v>
      </c>
      <c r="H26" s="28">
        <f>G26/10*217</f>
        <v>195.3</v>
      </c>
    </row>
    <row r="27" spans="1:8" s="7" customFormat="1" ht="15" x14ac:dyDescent="0.25">
      <c r="A27" s="12"/>
      <c r="B27" s="55">
        <v>45717</v>
      </c>
      <c r="C27" s="44">
        <v>45786</v>
      </c>
      <c r="E27" s="26">
        <f>+E26</f>
        <v>143000</v>
      </c>
      <c r="F27" s="12" t="s">
        <v>52</v>
      </c>
      <c r="G27" s="17">
        <f>+G26</f>
        <v>9</v>
      </c>
      <c r="H27" s="28">
        <f>G27/10*217</f>
        <v>195.3</v>
      </c>
    </row>
    <row r="28" spans="1:8" s="7" customFormat="1" ht="15" x14ac:dyDescent="0.25">
      <c r="A28" s="12"/>
      <c r="C28" s="44"/>
      <c r="D28" s="45"/>
      <c r="E28" s="26"/>
      <c r="F28" s="12"/>
      <c r="G28" s="17"/>
      <c r="H28" s="28"/>
    </row>
    <row r="29" spans="1:8" s="7" customFormat="1" ht="5.25" customHeight="1" x14ac:dyDescent="0.25">
      <c r="A29" s="12"/>
      <c r="B29" s="53"/>
      <c r="C29" s="44"/>
      <c r="D29" s="45"/>
      <c r="E29" s="54"/>
      <c r="F29" s="28"/>
      <c r="G29" s="47"/>
      <c r="H29" s="28"/>
    </row>
    <row r="30" spans="1:8" s="7" customFormat="1" ht="15" x14ac:dyDescent="0.25">
      <c r="A30" s="7">
        <v>16</v>
      </c>
      <c r="B30" s="7" t="s">
        <v>23</v>
      </c>
      <c r="C30" s="62" t="s">
        <v>128</v>
      </c>
      <c r="E30" s="41"/>
      <c r="F30" s="26"/>
      <c r="G30" s="17"/>
      <c r="H30" s="41">
        <v>80</v>
      </c>
    </row>
    <row r="31" spans="1:8" s="7" customFormat="1" ht="15" x14ac:dyDescent="0.25">
      <c r="A31" s="23"/>
      <c r="B31" s="23" t="s">
        <v>24</v>
      </c>
      <c r="C31" s="23"/>
      <c r="D31" s="23"/>
      <c r="E31" s="24"/>
      <c r="F31" s="16"/>
      <c r="G31" s="57"/>
      <c r="H31" s="58"/>
    </row>
    <row r="32" spans="1:8" s="7" customFormat="1" ht="15.75" customHeight="1" x14ac:dyDescent="0.25">
      <c r="D32" s="9"/>
      <c r="E32" s="7" t="s">
        <v>25</v>
      </c>
      <c r="F32" s="9"/>
      <c r="G32" s="12"/>
      <c r="H32" s="41">
        <f>SUM(H24:H31)</f>
        <v>665.90000000000009</v>
      </c>
    </row>
    <row r="33" spans="1:8" s="7" customFormat="1" ht="15.75" customHeight="1" x14ac:dyDescent="0.25">
      <c r="D33" s="9"/>
      <c r="E33" s="7" t="s">
        <v>26</v>
      </c>
      <c r="F33" s="9"/>
      <c r="H33" s="41">
        <f>+H32*0.19</f>
        <v>126.52100000000002</v>
      </c>
    </row>
    <row r="34" spans="1:8" s="7" customFormat="1" thickBot="1" x14ac:dyDescent="0.3">
      <c r="D34" s="9"/>
      <c r="E34" s="34" t="s">
        <v>27</v>
      </c>
      <c r="F34" s="35"/>
      <c r="G34" s="60"/>
      <c r="H34" s="61">
        <f>SUM(H32:H33)</f>
        <v>792.42100000000005</v>
      </c>
    </row>
    <row r="35" spans="1:8" s="7" customFormat="1" ht="7.5" customHeight="1" thickTop="1" x14ac:dyDescent="0.25">
      <c r="D35" s="9"/>
      <c r="E35" s="38"/>
      <c r="F35" s="17"/>
      <c r="G35" s="9"/>
      <c r="H35" s="41"/>
    </row>
    <row r="36" spans="1:8" s="7" customFormat="1" ht="15" x14ac:dyDescent="0.25">
      <c r="A36" s="7" t="s">
        <v>48</v>
      </c>
      <c r="B36" s="8"/>
      <c r="D36" s="9"/>
      <c r="E36" s="17"/>
      <c r="F36" s="18"/>
    </row>
    <row r="37" spans="1:8" s="7" customFormat="1" ht="15" x14ac:dyDescent="0.25">
      <c r="D37" s="9"/>
      <c r="E37" s="17"/>
      <c r="F37" s="18"/>
    </row>
    <row r="38" spans="1:8" s="7" customFormat="1" ht="15" x14ac:dyDescent="0.25">
      <c r="D38" s="9"/>
      <c r="E38" s="17"/>
      <c r="F38" s="18"/>
    </row>
    <row r="39" spans="1:8" ht="14.25" customHeight="1" x14ac:dyDescent="0.25"/>
    <row r="40" spans="1:8" x14ac:dyDescent="0.25">
      <c r="B40" s="23"/>
    </row>
    <row r="43" spans="1:8" x14ac:dyDescent="0.25">
      <c r="D43" s="1"/>
      <c r="E43" s="1"/>
      <c r="F43" s="1"/>
    </row>
    <row r="44" spans="1:8" x14ac:dyDescent="0.25">
      <c r="D44" s="1"/>
      <c r="E44" s="1"/>
      <c r="F44" s="1"/>
    </row>
    <row r="45" spans="1:8" x14ac:dyDescent="0.25">
      <c r="D45" s="1"/>
      <c r="E45" s="1"/>
      <c r="F45" s="1"/>
    </row>
    <row r="46" spans="1:8" x14ac:dyDescent="0.25">
      <c r="D46" s="1"/>
      <c r="E46" s="1"/>
      <c r="F46" s="1"/>
    </row>
    <row r="47" spans="1:8" x14ac:dyDescent="0.25">
      <c r="D47" s="1"/>
      <c r="E47" s="1"/>
      <c r="F47" s="1"/>
    </row>
    <row r="48" spans="1:8" x14ac:dyDescent="0.25">
      <c r="D48" s="1"/>
      <c r="E48" s="1"/>
      <c r="F48" s="1"/>
    </row>
    <row r="49" spans="1:8" x14ac:dyDescent="0.25">
      <c r="A49" s="142" t="s">
        <v>98</v>
      </c>
      <c r="B49" s="142"/>
      <c r="C49" s="142"/>
      <c r="D49" s="142"/>
      <c r="E49" s="142"/>
      <c r="F49" s="142"/>
      <c r="G49" s="142"/>
      <c r="H49" s="142"/>
    </row>
  </sheetData>
  <mergeCells count="10">
    <mergeCell ref="F11:H11"/>
    <mergeCell ref="F12:H12"/>
    <mergeCell ref="A16:H16"/>
    <mergeCell ref="A49:H49"/>
    <mergeCell ref="E7:F7"/>
    <mergeCell ref="G7:H7"/>
    <mergeCell ref="E8:F8"/>
    <mergeCell ref="E9:F9"/>
    <mergeCell ref="G9:H9"/>
    <mergeCell ref="G10:H10"/>
  </mergeCells>
  <pageMargins left="0.78740157480314965" right="0.78740157480314965" top="0.98425196850393704" bottom="0.98425196850393704" header="0.51181102362204722" footer="0.51181102362204722"/>
  <pageSetup paperSize="9" orientation="portrait" horizontalDpi="300" verticalDpi="300" r:id="rId1"/>
  <headerFooter alignWithMargins="0">
    <oddHeader>&amp;C&amp;"Times New Roman,Standard"&amp;16Hartmut Ahting
Steuerberater
Diplom-Wirtschaftsingenieur</oddHeader>
    <oddFooter>&amp;L&amp;"Times New Roman,Standard"Heerstrasse 50
60488 Frankfurt
&amp;C&amp;"Times New Roman,Standard"Deutsche Bank
BLZ 500 700 24
Konto 409 28 62&amp;R&amp;"Times New Roman,Standard"Tel:      069 / 788 031-71
Fax:     069 / 788 031-72
Mobil: 0174 / 326 99 58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98385-6B9E-480C-8B81-365E62B758D6}">
  <dimension ref="A5:L49"/>
  <sheetViews>
    <sheetView workbookViewId="0">
      <selection activeCell="L38" sqref="L38"/>
    </sheetView>
  </sheetViews>
  <sheetFormatPr baseColWidth="10" defaultColWidth="10.125" defaultRowHeight="15.75" x14ac:dyDescent="0.25"/>
  <cols>
    <col min="1" max="1" width="3.125" style="1" customWidth="1"/>
    <col min="2" max="2" width="29.5" style="1" customWidth="1"/>
    <col min="3" max="3" width="8.75" style="1" customWidth="1"/>
    <col min="4" max="4" width="1.5" style="2" customWidth="1"/>
    <col min="5" max="5" width="10.75" style="3" customWidth="1"/>
    <col min="6" max="6" width="6.375" style="6" customWidth="1"/>
    <col min="7" max="7" width="6.75" style="1" customWidth="1"/>
    <col min="8" max="8" width="8.75" style="1" customWidth="1"/>
    <col min="9" max="10" width="10.125" style="1"/>
    <col min="11" max="11" width="10.625" style="1" bestFit="1" customWidth="1"/>
    <col min="12" max="256" width="10.125" style="1"/>
    <col min="257" max="257" width="3.125" style="1" customWidth="1"/>
    <col min="258" max="258" width="29.5" style="1" customWidth="1"/>
    <col min="259" max="259" width="8.75" style="1" customWidth="1"/>
    <col min="260" max="260" width="1.5" style="1" customWidth="1"/>
    <col min="261" max="261" width="10.75" style="1" customWidth="1"/>
    <col min="262" max="262" width="6.375" style="1" customWidth="1"/>
    <col min="263" max="263" width="6.75" style="1" customWidth="1"/>
    <col min="264" max="264" width="8.75" style="1" customWidth="1"/>
    <col min="265" max="266" width="10.125" style="1"/>
    <col min="267" max="267" width="10.625" style="1" bestFit="1" customWidth="1"/>
    <col min="268" max="512" width="10.125" style="1"/>
    <col min="513" max="513" width="3.125" style="1" customWidth="1"/>
    <col min="514" max="514" width="29.5" style="1" customWidth="1"/>
    <col min="515" max="515" width="8.75" style="1" customWidth="1"/>
    <col min="516" max="516" width="1.5" style="1" customWidth="1"/>
    <col min="517" max="517" width="10.75" style="1" customWidth="1"/>
    <col min="518" max="518" width="6.375" style="1" customWidth="1"/>
    <col min="519" max="519" width="6.75" style="1" customWidth="1"/>
    <col min="520" max="520" width="8.75" style="1" customWidth="1"/>
    <col min="521" max="522" width="10.125" style="1"/>
    <col min="523" max="523" width="10.625" style="1" bestFit="1" customWidth="1"/>
    <col min="524" max="768" width="10.125" style="1"/>
    <col min="769" max="769" width="3.125" style="1" customWidth="1"/>
    <col min="770" max="770" width="29.5" style="1" customWidth="1"/>
    <col min="771" max="771" width="8.75" style="1" customWidth="1"/>
    <col min="772" max="772" width="1.5" style="1" customWidth="1"/>
    <col min="773" max="773" width="10.75" style="1" customWidth="1"/>
    <col min="774" max="774" width="6.375" style="1" customWidth="1"/>
    <col min="775" max="775" width="6.75" style="1" customWidth="1"/>
    <col min="776" max="776" width="8.75" style="1" customWidth="1"/>
    <col min="777" max="778" width="10.125" style="1"/>
    <col min="779" max="779" width="10.625" style="1" bestFit="1" customWidth="1"/>
    <col min="780" max="1024" width="10.125" style="1"/>
    <col min="1025" max="1025" width="3.125" style="1" customWidth="1"/>
    <col min="1026" max="1026" width="29.5" style="1" customWidth="1"/>
    <col min="1027" max="1027" width="8.75" style="1" customWidth="1"/>
    <col min="1028" max="1028" width="1.5" style="1" customWidth="1"/>
    <col min="1029" max="1029" width="10.75" style="1" customWidth="1"/>
    <col min="1030" max="1030" width="6.375" style="1" customWidth="1"/>
    <col min="1031" max="1031" width="6.75" style="1" customWidth="1"/>
    <col min="1032" max="1032" width="8.75" style="1" customWidth="1"/>
    <col min="1033" max="1034" width="10.125" style="1"/>
    <col min="1035" max="1035" width="10.625" style="1" bestFit="1" customWidth="1"/>
    <col min="1036" max="1280" width="10.125" style="1"/>
    <col min="1281" max="1281" width="3.125" style="1" customWidth="1"/>
    <col min="1282" max="1282" width="29.5" style="1" customWidth="1"/>
    <col min="1283" max="1283" width="8.75" style="1" customWidth="1"/>
    <col min="1284" max="1284" width="1.5" style="1" customWidth="1"/>
    <col min="1285" max="1285" width="10.75" style="1" customWidth="1"/>
    <col min="1286" max="1286" width="6.375" style="1" customWidth="1"/>
    <col min="1287" max="1287" width="6.75" style="1" customWidth="1"/>
    <col min="1288" max="1288" width="8.75" style="1" customWidth="1"/>
    <col min="1289" max="1290" width="10.125" style="1"/>
    <col min="1291" max="1291" width="10.625" style="1" bestFit="1" customWidth="1"/>
    <col min="1292" max="1536" width="10.125" style="1"/>
    <col min="1537" max="1537" width="3.125" style="1" customWidth="1"/>
    <col min="1538" max="1538" width="29.5" style="1" customWidth="1"/>
    <col min="1539" max="1539" width="8.75" style="1" customWidth="1"/>
    <col min="1540" max="1540" width="1.5" style="1" customWidth="1"/>
    <col min="1541" max="1541" width="10.75" style="1" customWidth="1"/>
    <col min="1542" max="1542" width="6.375" style="1" customWidth="1"/>
    <col min="1543" max="1543" width="6.75" style="1" customWidth="1"/>
    <col min="1544" max="1544" width="8.75" style="1" customWidth="1"/>
    <col min="1545" max="1546" width="10.125" style="1"/>
    <col min="1547" max="1547" width="10.625" style="1" bestFit="1" customWidth="1"/>
    <col min="1548" max="1792" width="10.125" style="1"/>
    <col min="1793" max="1793" width="3.125" style="1" customWidth="1"/>
    <col min="1794" max="1794" width="29.5" style="1" customWidth="1"/>
    <col min="1795" max="1795" width="8.75" style="1" customWidth="1"/>
    <col min="1796" max="1796" width="1.5" style="1" customWidth="1"/>
    <col min="1797" max="1797" width="10.75" style="1" customWidth="1"/>
    <col min="1798" max="1798" width="6.375" style="1" customWidth="1"/>
    <col min="1799" max="1799" width="6.75" style="1" customWidth="1"/>
    <col min="1800" max="1800" width="8.75" style="1" customWidth="1"/>
    <col min="1801" max="1802" width="10.125" style="1"/>
    <col min="1803" max="1803" width="10.625" style="1" bestFit="1" customWidth="1"/>
    <col min="1804" max="2048" width="10.125" style="1"/>
    <col min="2049" max="2049" width="3.125" style="1" customWidth="1"/>
    <col min="2050" max="2050" width="29.5" style="1" customWidth="1"/>
    <col min="2051" max="2051" width="8.75" style="1" customWidth="1"/>
    <col min="2052" max="2052" width="1.5" style="1" customWidth="1"/>
    <col min="2053" max="2053" width="10.75" style="1" customWidth="1"/>
    <col min="2054" max="2054" width="6.375" style="1" customWidth="1"/>
    <col min="2055" max="2055" width="6.75" style="1" customWidth="1"/>
    <col min="2056" max="2056" width="8.75" style="1" customWidth="1"/>
    <col min="2057" max="2058" width="10.125" style="1"/>
    <col min="2059" max="2059" width="10.625" style="1" bestFit="1" customWidth="1"/>
    <col min="2060" max="2304" width="10.125" style="1"/>
    <col min="2305" max="2305" width="3.125" style="1" customWidth="1"/>
    <col min="2306" max="2306" width="29.5" style="1" customWidth="1"/>
    <col min="2307" max="2307" width="8.75" style="1" customWidth="1"/>
    <col min="2308" max="2308" width="1.5" style="1" customWidth="1"/>
    <col min="2309" max="2309" width="10.75" style="1" customWidth="1"/>
    <col min="2310" max="2310" width="6.375" style="1" customWidth="1"/>
    <col min="2311" max="2311" width="6.75" style="1" customWidth="1"/>
    <col min="2312" max="2312" width="8.75" style="1" customWidth="1"/>
    <col min="2313" max="2314" width="10.125" style="1"/>
    <col min="2315" max="2315" width="10.625" style="1" bestFit="1" customWidth="1"/>
    <col min="2316" max="2560" width="10.125" style="1"/>
    <col min="2561" max="2561" width="3.125" style="1" customWidth="1"/>
    <col min="2562" max="2562" width="29.5" style="1" customWidth="1"/>
    <col min="2563" max="2563" width="8.75" style="1" customWidth="1"/>
    <col min="2564" max="2564" width="1.5" style="1" customWidth="1"/>
    <col min="2565" max="2565" width="10.75" style="1" customWidth="1"/>
    <col min="2566" max="2566" width="6.375" style="1" customWidth="1"/>
    <col min="2567" max="2567" width="6.75" style="1" customWidth="1"/>
    <col min="2568" max="2568" width="8.75" style="1" customWidth="1"/>
    <col min="2569" max="2570" width="10.125" style="1"/>
    <col min="2571" max="2571" width="10.625" style="1" bestFit="1" customWidth="1"/>
    <col min="2572" max="2816" width="10.125" style="1"/>
    <col min="2817" max="2817" width="3.125" style="1" customWidth="1"/>
    <col min="2818" max="2818" width="29.5" style="1" customWidth="1"/>
    <col min="2819" max="2819" width="8.75" style="1" customWidth="1"/>
    <col min="2820" max="2820" width="1.5" style="1" customWidth="1"/>
    <col min="2821" max="2821" width="10.75" style="1" customWidth="1"/>
    <col min="2822" max="2822" width="6.375" style="1" customWidth="1"/>
    <col min="2823" max="2823" width="6.75" style="1" customWidth="1"/>
    <col min="2824" max="2824" width="8.75" style="1" customWidth="1"/>
    <col min="2825" max="2826" width="10.125" style="1"/>
    <col min="2827" max="2827" width="10.625" style="1" bestFit="1" customWidth="1"/>
    <col min="2828" max="3072" width="10.125" style="1"/>
    <col min="3073" max="3073" width="3.125" style="1" customWidth="1"/>
    <col min="3074" max="3074" width="29.5" style="1" customWidth="1"/>
    <col min="3075" max="3075" width="8.75" style="1" customWidth="1"/>
    <col min="3076" max="3076" width="1.5" style="1" customWidth="1"/>
    <col min="3077" max="3077" width="10.75" style="1" customWidth="1"/>
    <col min="3078" max="3078" width="6.375" style="1" customWidth="1"/>
    <col min="3079" max="3079" width="6.75" style="1" customWidth="1"/>
    <col min="3080" max="3080" width="8.75" style="1" customWidth="1"/>
    <col min="3081" max="3082" width="10.125" style="1"/>
    <col min="3083" max="3083" width="10.625" style="1" bestFit="1" customWidth="1"/>
    <col min="3084" max="3328" width="10.125" style="1"/>
    <col min="3329" max="3329" width="3.125" style="1" customWidth="1"/>
    <col min="3330" max="3330" width="29.5" style="1" customWidth="1"/>
    <col min="3331" max="3331" width="8.75" style="1" customWidth="1"/>
    <col min="3332" max="3332" width="1.5" style="1" customWidth="1"/>
    <col min="3333" max="3333" width="10.75" style="1" customWidth="1"/>
    <col min="3334" max="3334" width="6.375" style="1" customWidth="1"/>
    <col min="3335" max="3335" width="6.75" style="1" customWidth="1"/>
    <col min="3336" max="3336" width="8.75" style="1" customWidth="1"/>
    <col min="3337" max="3338" width="10.125" style="1"/>
    <col min="3339" max="3339" width="10.625" style="1" bestFit="1" customWidth="1"/>
    <col min="3340" max="3584" width="10.125" style="1"/>
    <col min="3585" max="3585" width="3.125" style="1" customWidth="1"/>
    <col min="3586" max="3586" width="29.5" style="1" customWidth="1"/>
    <col min="3587" max="3587" width="8.75" style="1" customWidth="1"/>
    <col min="3588" max="3588" width="1.5" style="1" customWidth="1"/>
    <col min="3589" max="3589" width="10.75" style="1" customWidth="1"/>
    <col min="3590" max="3590" width="6.375" style="1" customWidth="1"/>
    <col min="3591" max="3591" width="6.75" style="1" customWidth="1"/>
    <col min="3592" max="3592" width="8.75" style="1" customWidth="1"/>
    <col min="3593" max="3594" width="10.125" style="1"/>
    <col min="3595" max="3595" width="10.625" style="1" bestFit="1" customWidth="1"/>
    <col min="3596" max="3840" width="10.125" style="1"/>
    <col min="3841" max="3841" width="3.125" style="1" customWidth="1"/>
    <col min="3842" max="3842" width="29.5" style="1" customWidth="1"/>
    <col min="3843" max="3843" width="8.75" style="1" customWidth="1"/>
    <col min="3844" max="3844" width="1.5" style="1" customWidth="1"/>
    <col min="3845" max="3845" width="10.75" style="1" customWidth="1"/>
    <col min="3846" max="3846" width="6.375" style="1" customWidth="1"/>
    <col min="3847" max="3847" width="6.75" style="1" customWidth="1"/>
    <col min="3848" max="3848" width="8.75" style="1" customWidth="1"/>
    <col min="3849" max="3850" width="10.125" style="1"/>
    <col min="3851" max="3851" width="10.625" style="1" bestFit="1" customWidth="1"/>
    <col min="3852" max="4096" width="10.125" style="1"/>
    <col min="4097" max="4097" width="3.125" style="1" customWidth="1"/>
    <col min="4098" max="4098" width="29.5" style="1" customWidth="1"/>
    <col min="4099" max="4099" width="8.75" style="1" customWidth="1"/>
    <col min="4100" max="4100" width="1.5" style="1" customWidth="1"/>
    <col min="4101" max="4101" width="10.75" style="1" customWidth="1"/>
    <col min="4102" max="4102" width="6.375" style="1" customWidth="1"/>
    <col min="4103" max="4103" width="6.75" style="1" customWidth="1"/>
    <col min="4104" max="4104" width="8.75" style="1" customWidth="1"/>
    <col min="4105" max="4106" width="10.125" style="1"/>
    <col min="4107" max="4107" width="10.625" style="1" bestFit="1" customWidth="1"/>
    <col min="4108" max="4352" width="10.125" style="1"/>
    <col min="4353" max="4353" width="3.125" style="1" customWidth="1"/>
    <col min="4354" max="4354" width="29.5" style="1" customWidth="1"/>
    <col min="4355" max="4355" width="8.75" style="1" customWidth="1"/>
    <col min="4356" max="4356" width="1.5" style="1" customWidth="1"/>
    <col min="4357" max="4357" width="10.75" style="1" customWidth="1"/>
    <col min="4358" max="4358" width="6.375" style="1" customWidth="1"/>
    <col min="4359" max="4359" width="6.75" style="1" customWidth="1"/>
    <col min="4360" max="4360" width="8.75" style="1" customWidth="1"/>
    <col min="4361" max="4362" width="10.125" style="1"/>
    <col min="4363" max="4363" width="10.625" style="1" bestFit="1" customWidth="1"/>
    <col min="4364" max="4608" width="10.125" style="1"/>
    <col min="4609" max="4609" width="3.125" style="1" customWidth="1"/>
    <col min="4610" max="4610" width="29.5" style="1" customWidth="1"/>
    <col min="4611" max="4611" width="8.75" style="1" customWidth="1"/>
    <col min="4612" max="4612" width="1.5" style="1" customWidth="1"/>
    <col min="4613" max="4613" width="10.75" style="1" customWidth="1"/>
    <col min="4614" max="4614" width="6.375" style="1" customWidth="1"/>
    <col min="4615" max="4615" width="6.75" style="1" customWidth="1"/>
    <col min="4616" max="4616" width="8.75" style="1" customWidth="1"/>
    <col min="4617" max="4618" width="10.125" style="1"/>
    <col min="4619" max="4619" width="10.625" style="1" bestFit="1" customWidth="1"/>
    <col min="4620" max="4864" width="10.125" style="1"/>
    <col min="4865" max="4865" width="3.125" style="1" customWidth="1"/>
    <col min="4866" max="4866" width="29.5" style="1" customWidth="1"/>
    <col min="4867" max="4867" width="8.75" style="1" customWidth="1"/>
    <col min="4868" max="4868" width="1.5" style="1" customWidth="1"/>
    <col min="4869" max="4869" width="10.75" style="1" customWidth="1"/>
    <col min="4870" max="4870" width="6.375" style="1" customWidth="1"/>
    <col min="4871" max="4871" width="6.75" style="1" customWidth="1"/>
    <col min="4872" max="4872" width="8.75" style="1" customWidth="1"/>
    <col min="4873" max="4874" width="10.125" style="1"/>
    <col min="4875" max="4875" width="10.625" style="1" bestFit="1" customWidth="1"/>
    <col min="4876" max="5120" width="10.125" style="1"/>
    <col min="5121" max="5121" width="3.125" style="1" customWidth="1"/>
    <col min="5122" max="5122" width="29.5" style="1" customWidth="1"/>
    <col min="5123" max="5123" width="8.75" style="1" customWidth="1"/>
    <col min="5124" max="5124" width="1.5" style="1" customWidth="1"/>
    <col min="5125" max="5125" width="10.75" style="1" customWidth="1"/>
    <col min="5126" max="5126" width="6.375" style="1" customWidth="1"/>
    <col min="5127" max="5127" width="6.75" style="1" customWidth="1"/>
    <col min="5128" max="5128" width="8.75" style="1" customWidth="1"/>
    <col min="5129" max="5130" width="10.125" style="1"/>
    <col min="5131" max="5131" width="10.625" style="1" bestFit="1" customWidth="1"/>
    <col min="5132" max="5376" width="10.125" style="1"/>
    <col min="5377" max="5377" width="3.125" style="1" customWidth="1"/>
    <col min="5378" max="5378" width="29.5" style="1" customWidth="1"/>
    <col min="5379" max="5379" width="8.75" style="1" customWidth="1"/>
    <col min="5380" max="5380" width="1.5" style="1" customWidth="1"/>
    <col min="5381" max="5381" width="10.75" style="1" customWidth="1"/>
    <col min="5382" max="5382" width="6.375" style="1" customWidth="1"/>
    <col min="5383" max="5383" width="6.75" style="1" customWidth="1"/>
    <col min="5384" max="5384" width="8.75" style="1" customWidth="1"/>
    <col min="5385" max="5386" width="10.125" style="1"/>
    <col min="5387" max="5387" width="10.625" style="1" bestFit="1" customWidth="1"/>
    <col min="5388" max="5632" width="10.125" style="1"/>
    <col min="5633" max="5633" width="3.125" style="1" customWidth="1"/>
    <col min="5634" max="5634" width="29.5" style="1" customWidth="1"/>
    <col min="5635" max="5635" width="8.75" style="1" customWidth="1"/>
    <col min="5636" max="5636" width="1.5" style="1" customWidth="1"/>
    <col min="5637" max="5637" width="10.75" style="1" customWidth="1"/>
    <col min="5638" max="5638" width="6.375" style="1" customWidth="1"/>
    <col min="5639" max="5639" width="6.75" style="1" customWidth="1"/>
    <col min="5640" max="5640" width="8.75" style="1" customWidth="1"/>
    <col min="5641" max="5642" width="10.125" style="1"/>
    <col min="5643" max="5643" width="10.625" style="1" bestFit="1" customWidth="1"/>
    <col min="5644" max="5888" width="10.125" style="1"/>
    <col min="5889" max="5889" width="3.125" style="1" customWidth="1"/>
    <col min="5890" max="5890" width="29.5" style="1" customWidth="1"/>
    <col min="5891" max="5891" width="8.75" style="1" customWidth="1"/>
    <col min="5892" max="5892" width="1.5" style="1" customWidth="1"/>
    <col min="5893" max="5893" width="10.75" style="1" customWidth="1"/>
    <col min="5894" max="5894" width="6.375" style="1" customWidth="1"/>
    <col min="5895" max="5895" width="6.75" style="1" customWidth="1"/>
    <col min="5896" max="5896" width="8.75" style="1" customWidth="1"/>
    <col min="5897" max="5898" width="10.125" style="1"/>
    <col min="5899" max="5899" width="10.625" style="1" bestFit="1" customWidth="1"/>
    <col min="5900" max="6144" width="10.125" style="1"/>
    <col min="6145" max="6145" width="3.125" style="1" customWidth="1"/>
    <col min="6146" max="6146" width="29.5" style="1" customWidth="1"/>
    <col min="6147" max="6147" width="8.75" style="1" customWidth="1"/>
    <col min="6148" max="6148" width="1.5" style="1" customWidth="1"/>
    <col min="6149" max="6149" width="10.75" style="1" customWidth="1"/>
    <col min="6150" max="6150" width="6.375" style="1" customWidth="1"/>
    <col min="6151" max="6151" width="6.75" style="1" customWidth="1"/>
    <col min="6152" max="6152" width="8.75" style="1" customWidth="1"/>
    <col min="6153" max="6154" width="10.125" style="1"/>
    <col min="6155" max="6155" width="10.625" style="1" bestFit="1" customWidth="1"/>
    <col min="6156" max="6400" width="10.125" style="1"/>
    <col min="6401" max="6401" width="3.125" style="1" customWidth="1"/>
    <col min="6402" max="6402" width="29.5" style="1" customWidth="1"/>
    <col min="6403" max="6403" width="8.75" style="1" customWidth="1"/>
    <col min="6404" max="6404" width="1.5" style="1" customWidth="1"/>
    <col min="6405" max="6405" width="10.75" style="1" customWidth="1"/>
    <col min="6406" max="6406" width="6.375" style="1" customWidth="1"/>
    <col min="6407" max="6407" width="6.75" style="1" customWidth="1"/>
    <col min="6408" max="6408" width="8.75" style="1" customWidth="1"/>
    <col min="6409" max="6410" width="10.125" style="1"/>
    <col min="6411" max="6411" width="10.625" style="1" bestFit="1" customWidth="1"/>
    <col min="6412" max="6656" width="10.125" style="1"/>
    <col min="6657" max="6657" width="3.125" style="1" customWidth="1"/>
    <col min="6658" max="6658" width="29.5" style="1" customWidth="1"/>
    <col min="6659" max="6659" width="8.75" style="1" customWidth="1"/>
    <col min="6660" max="6660" width="1.5" style="1" customWidth="1"/>
    <col min="6661" max="6661" width="10.75" style="1" customWidth="1"/>
    <col min="6662" max="6662" width="6.375" style="1" customWidth="1"/>
    <col min="6663" max="6663" width="6.75" style="1" customWidth="1"/>
    <col min="6664" max="6664" width="8.75" style="1" customWidth="1"/>
    <col min="6665" max="6666" width="10.125" style="1"/>
    <col min="6667" max="6667" width="10.625" style="1" bestFit="1" customWidth="1"/>
    <col min="6668" max="6912" width="10.125" style="1"/>
    <col min="6913" max="6913" width="3.125" style="1" customWidth="1"/>
    <col min="6914" max="6914" width="29.5" style="1" customWidth="1"/>
    <col min="6915" max="6915" width="8.75" style="1" customWidth="1"/>
    <col min="6916" max="6916" width="1.5" style="1" customWidth="1"/>
    <col min="6917" max="6917" width="10.75" style="1" customWidth="1"/>
    <col min="6918" max="6918" width="6.375" style="1" customWidth="1"/>
    <col min="6919" max="6919" width="6.75" style="1" customWidth="1"/>
    <col min="6920" max="6920" width="8.75" style="1" customWidth="1"/>
    <col min="6921" max="6922" width="10.125" style="1"/>
    <col min="6923" max="6923" width="10.625" style="1" bestFit="1" customWidth="1"/>
    <col min="6924" max="7168" width="10.125" style="1"/>
    <col min="7169" max="7169" width="3.125" style="1" customWidth="1"/>
    <col min="7170" max="7170" width="29.5" style="1" customWidth="1"/>
    <col min="7171" max="7171" width="8.75" style="1" customWidth="1"/>
    <col min="7172" max="7172" width="1.5" style="1" customWidth="1"/>
    <col min="7173" max="7173" width="10.75" style="1" customWidth="1"/>
    <col min="7174" max="7174" width="6.375" style="1" customWidth="1"/>
    <col min="7175" max="7175" width="6.75" style="1" customWidth="1"/>
    <col min="7176" max="7176" width="8.75" style="1" customWidth="1"/>
    <col min="7177" max="7178" width="10.125" style="1"/>
    <col min="7179" max="7179" width="10.625" style="1" bestFit="1" customWidth="1"/>
    <col min="7180" max="7424" width="10.125" style="1"/>
    <col min="7425" max="7425" width="3.125" style="1" customWidth="1"/>
    <col min="7426" max="7426" width="29.5" style="1" customWidth="1"/>
    <col min="7427" max="7427" width="8.75" style="1" customWidth="1"/>
    <col min="7428" max="7428" width="1.5" style="1" customWidth="1"/>
    <col min="7429" max="7429" width="10.75" style="1" customWidth="1"/>
    <col min="7430" max="7430" width="6.375" style="1" customWidth="1"/>
    <col min="7431" max="7431" width="6.75" style="1" customWidth="1"/>
    <col min="7432" max="7432" width="8.75" style="1" customWidth="1"/>
    <col min="7433" max="7434" width="10.125" style="1"/>
    <col min="7435" max="7435" width="10.625" style="1" bestFit="1" customWidth="1"/>
    <col min="7436" max="7680" width="10.125" style="1"/>
    <col min="7681" max="7681" width="3.125" style="1" customWidth="1"/>
    <col min="7682" max="7682" width="29.5" style="1" customWidth="1"/>
    <col min="7683" max="7683" width="8.75" style="1" customWidth="1"/>
    <col min="7684" max="7684" width="1.5" style="1" customWidth="1"/>
    <col min="7685" max="7685" width="10.75" style="1" customWidth="1"/>
    <col min="7686" max="7686" width="6.375" style="1" customWidth="1"/>
    <col min="7687" max="7687" width="6.75" style="1" customWidth="1"/>
    <col min="7688" max="7688" width="8.75" style="1" customWidth="1"/>
    <col min="7689" max="7690" width="10.125" style="1"/>
    <col min="7691" max="7691" width="10.625" style="1" bestFit="1" customWidth="1"/>
    <col min="7692" max="7936" width="10.125" style="1"/>
    <col min="7937" max="7937" width="3.125" style="1" customWidth="1"/>
    <col min="7938" max="7938" width="29.5" style="1" customWidth="1"/>
    <col min="7939" max="7939" width="8.75" style="1" customWidth="1"/>
    <col min="7940" max="7940" width="1.5" style="1" customWidth="1"/>
    <col min="7941" max="7941" width="10.75" style="1" customWidth="1"/>
    <col min="7942" max="7942" width="6.375" style="1" customWidth="1"/>
    <col min="7943" max="7943" width="6.75" style="1" customWidth="1"/>
    <col min="7944" max="7944" width="8.75" style="1" customWidth="1"/>
    <col min="7945" max="7946" width="10.125" style="1"/>
    <col min="7947" max="7947" width="10.625" style="1" bestFit="1" customWidth="1"/>
    <col min="7948" max="8192" width="10.125" style="1"/>
    <col min="8193" max="8193" width="3.125" style="1" customWidth="1"/>
    <col min="8194" max="8194" width="29.5" style="1" customWidth="1"/>
    <col min="8195" max="8195" width="8.75" style="1" customWidth="1"/>
    <col min="8196" max="8196" width="1.5" style="1" customWidth="1"/>
    <col min="8197" max="8197" width="10.75" style="1" customWidth="1"/>
    <col min="8198" max="8198" width="6.375" style="1" customWidth="1"/>
    <col min="8199" max="8199" width="6.75" style="1" customWidth="1"/>
    <col min="8200" max="8200" width="8.75" style="1" customWidth="1"/>
    <col min="8201" max="8202" width="10.125" style="1"/>
    <col min="8203" max="8203" width="10.625" style="1" bestFit="1" customWidth="1"/>
    <col min="8204" max="8448" width="10.125" style="1"/>
    <col min="8449" max="8449" width="3.125" style="1" customWidth="1"/>
    <col min="8450" max="8450" width="29.5" style="1" customWidth="1"/>
    <col min="8451" max="8451" width="8.75" style="1" customWidth="1"/>
    <col min="8452" max="8452" width="1.5" style="1" customWidth="1"/>
    <col min="8453" max="8453" width="10.75" style="1" customWidth="1"/>
    <col min="8454" max="8454" width="6.375" style="1" customWidth="1"/>
    <col min="8455" max="8455" width="6.75" style="1" customWidth="1"/>
    <col min="8456" max="8456" width="8.75" style="1" customWidth="1"/>
    <col min="8457" max="8458" width="10.125" style="1"/>
    <col min="8459" max="8459" width="10.625" style="1" bestFit="1" customWidth="1"/>
    <col min="8460" max="8704" width="10.125" style="1"/>
    <col min="8705" max="8705" width="3.125" style="1" customWidth="1"/>
    <col min="8706" max="8706" width="29.5" style="1" customWidth="1"/>
    <col min="8707" max="8707" width="8.75" style="1" customWidth="1"/>
    <col min="8708" max="8708" width="1.5" style="1" customWidth="1"/>
    <col min="8709" max="8709" width="10.75" style="1" customWidth="1"/>
    <col min="8710" max="8710" width="6.375" style="1" customWidth="1"/>
    <col min="8711" max="8711" width="6.75" style="1" customWidth="1"/>
    <col min="8712" max="8712" width="8.75" style="1" customWidth="1"/>
    <col min="8713" max="8714" width="10.125" style="1"/>
    <col min="8715" max="8715" width="10.625" style="1" bestFit="1" customWidth="1"/>
    <col min="8716" max="8960" width="10.125" style="1"/>
    <col min="8961" max="8961" width="3.125" style="1" customWidth="1"/>
    <col min="8962" max="8962" width="29.5" style="1" customWidth="1"/>
    <col min="8963" max="8963" width="8.75" style="1" customWidth="1"/>
    <col min="8964" max="8964" width="1.5" style="1" customWidth="1"/>
    <col min="8965" max="8965" width="10.75" style="1" customWidth="1"/>
    <col min="8966" max="8966" width="6.375" style="1" customWidth="1"/>
    <col min="8967" max="8967" width="6.75" style="1" customWidth="1"/>
    <col min="8968" max="8968" width="8.75" style="1" customWidth="1"/>
    <col min="8969" max="8970" width="10.125" style="1"/>
    <col min="8971" max="8971" width="10.625" style="1" bestFit="1" customWidth="1"/>
    <col min="8972" max="9216" width="10.125" style="1"/>
    <col min="9217" max="9217" width="3.125" style="1" customWidth="1"/>
    <col min="9218" max="9218" width="29.5" style="1" customWidth="1"/>
    <col min="9219" max="9219" width="8.75" style="1" customWidth="1"/>
    <col min="9220" max="9220" width="1.5" style="1" customWidth="1"/>
    <col min="9221" max="9221" width="10.75" style="1" customWidth="1"/>
    <col min="9222" max="9222" width="6.375" style="1" customWidth="1"/>
    <col min="9223" max="9223" width="6.75" style="1" customWidth="1"/>
    <col min="9224" max="9224" width="8.75" style="1" customWidth="1"/>
    <col min="9225" max="9226" width="10.125" style="1"/>
    <col min="9227" max="9227" width="10.625" style="1" bestFit="1" customWidth="1"/>
    <col min="9228" max="9472" width="10.125" style="1"/>
    <col min="9473" max="9473" width="3.125" style="1" customWidth="1"/>
    <col min="9474" max="9474" width="29.5" style="1" customWidth="1"/>
    <col min="9475" max="9475" width="8.75" style="1" customWidth="1"/>
    <col min="9476" max="9476" width="1.5" style="1" customWidth="1"/>
    <col min="9477" max="9477" width="10.75" style="1" customWidth="1"/>
    <col min="9478" max="9478" width="6.375" style="1" customWidth="1"/>
    <col min="9479" max="9479" width="6.75" style="1" customWidth="1"/>
    <col min="9480" max="9480" width="8.75" style="1" customWidth="1"/>
    <col min="9481" max="9482" width="10.125" style="1"/>
    <col min="9483" max="9483" width="10.625" style="1" bestFit="1" customWidth="1"/>
    <col min="9484" max="9728" width="10.125" style="1"/>
    <col min="9729" max="9729" width="3.125" style="1" customWidth="1"/>
    <col min="9730" max="9730" width="29.5" style="1" customWidth="1"/>
    <col min="9731" max="9731" width="8.75" style="1" customWidth="1"/>
    <col min="9732" max="9732" width="1.5" style="1" customWidth="1"/>
    <col min="9733" max="9733" width="10.75" style="1" customWidth="1"/>
    <col min="9734" max="9734" width="6.375" style="1" customWidth="1"/>
    <col min="9735" max="9735" width="6.75" style="1" customWidth="1"/>
    <col min="9736" max="9736" width="8.75" style="1" customWidth="1"/>
    <col min="9737" max="9738" width="10.125" style="1"/>
    <col min="9739" max="9739" width="10.625" style="1" bestFit="1" customWidth="1"/>
    <col min="9740" max="9984" width="10.125" style="1"/>
    <col min="9985" max="9985" width="3.125" style="1" customWidth="1"/>
    <col min="9986" max="9986" width="29.5" style="1" customWidth="1"/>
    <col min="9987" max="9987" width="8.75" style="1" customWidth="1"/>
    <col min="9988" max="9988" width="1.5" style="1" customWidth="1"/>
    <col min="9989" max="9989" width="10.75" style="1" customWidth="1"/>
    <col min="9990" max="9990" width="6.375" style="1" customWidth="1"/>
    <col min="9991" max="9991" width="6.75" style="1" customWidth="1"/>
    <col min="9992" max="9992" width="8.75" style="1" customWidth="1"/>
    <col min="9993" max="9994" width="10.125" style="1"/>
    <col min="9995" max="9995" width="10.625" style="1" bestFit="1" customWidth="1"/>
    <col min="9996" max="10240" width="10.125" style="1"/>
    <col min="10241" max="10241" width="3.125" style="1" customWidth="1"/>
    <col min="10242" max="10242" width="29.5" style="1" customWidth="1"/>
    <col min="10243" max="10243" width="8.75" style="1" customWidth="1"/>
    <col min="10244" max="10244" width="1.5" style="1" customWidth="1"/>
    <col min="10245" max="10245" width="10.75" style="1" customWidth="1"/>
    <col min="10246" max="10246" width="6.375" style="1" customWidth="1"/>
    <col min="10247" max="10247" width="6.75" style="1" customWidth="1"/>
    <col min="10248" max="10248" width="8.75" style="1" customWidth="1"/>
    <col min="10249" max="10250" width="10.125" style="1"/>
    <col min="10251" max="10251" width="10.625" style="1" bestFit="1" customWidth="1"/>
    <col min="10252" max="10496" width="10.125" style="1"/>
    <col min="10497" max="10497" width="3.125" style="1" customWidth="1"/>
    <col min="10498" max="10498" width="29.5" style="1" customWidth="1"/>
    <col min="10499" max="10499" width="8.75" style="1" customWidth="1"/>
    <col min="10500" max="10500" width="1.5" style="1" customWidth="1"/>
    <col min="10501" max="10501" width="10.75" style="1" customWidth="1"/>
    <col min="10502" max="10502" width="6.375" style="1" customWidth="1"/>
    <col min="10503" max="10503" width="6.75" style="1" customWidth="1"/>
    <col min="10504" max="10504" width="8.75" style="1" customWidth="1"/>
    <col min="10505" max="10506" width="10.125" style="1"/>
    <col min="10507" max="10507" width="10.625" style="1" bestFit="1" customWidth="1"/>
    <col min="10508" max="10752" width="10.125" style="1"/>
    <col min="10753" max="10753" width="3.125" style="1" customWidth="1"/>
    <col min="10754" max="10754" width="29.5" style="1" customWidth="1"/>
    <col min="10755" max="10755" width="8.75" style="1" customWidth="1"/>
    <col min="10756" max="10756" width="1.5" style="1" customWidth="1"/>
    <col min="10757" max="10757" width="10.75" style="1" customWidth="1"/>
    <col min="10758" max="10758" width="6.375" style="1" customWidth="1"/>
    <col min="10759" max="10759" width="6.75" style="1" customWidth="1"/>
    <col min="10760" max="10760" width="8.75" style="1" customWidth="1"/>
    <col min="10761" max="10762" width="10.125" style="1"/>
    <col min="10763" max="10763" width="10.625" style="1" bestFit="1" customWidth="1"/>
    <col min="10764" max="11008" width="10.125" style="1"/>
    <col min="11009" max="11009" width="3.125" style="1" customWidth="1"/>
    <col min="11010" max="11010" width="29.5" style="1" customWidth="1"/>
    <col min="11011" max="11011" width="8.75" style="1" customWidth="1"/>
    <col min="11012" max="11012" width="1.5" style="1" customWidth="1"/>
    <col min="11013" max="11013" width="10.75" style="1" customWidth="1"/>
    <col min="11014" max="11014" width="6.375" style="1" customWidth="1"/>
    <col min="11015" max="11015" width="6.75" style="1" customWidth="1"/>
    <col min="11016" max="11016" width="8.75" style="1" customWidth="1"/>
    <col min="11017" max="11018" width="10.125" style="1"/>
    <col min="11019" max="11019" width="10.625" style="1" bestFit="1" customWidth="1"/>
    <col min="11020" max="11264" width="10.125" style="1"/>
    <col min="11265" max="11265" width="3.125" style="1" customWidth="1"/>
    <col min="11266" max="11266" width="29.5" style="1" customWidth="1"/>
    <col min="11267" max="11267" width="8.75" style="1" customWidth="1"/>
    <col min="11268" max="11268" width="1.5" style="1" customWidth="1"/>
    <col min="11269" max="11269" width="10.75" style="1" customWidth="1"/>
    <col min="11270" max="11270" width="6.375" style="1" customWidth="1"/>
    <col min="11271" max="11271" width="6.75" style="1" customWidth="1"/>
    <col min="11272" max="11272" width="8.75" style="1" customWidth="1"/>
    <col min="11273" max="11274" width="10.125" style="1"/>
    <col min="11275" max="11275" width="10.625" style="1" bestFit="1" customWidth="1"/>
    <col min="11276" max="11520" width="10.125" style="1"/>
    <col min="11521" max="11521" width="3.125" style="1" customWidth="1"/>
    <col min="11522" max="11522" width="29.5" style="1" customWidth="1"/>
    <col min="11523" max="11523" width="8.75" style="1" customWidth="1"/>
    <col min="11524" max="11524" width="1.5" style="1" customWidth="1"/>
    <col min="11525" max="11525" width="10.75" style="1" customWidth="1"/>
    <col min="11526" max="11526" width="6.375" style="1" customWidth="1"/>
    <col min="11527" max="11527" width="6.75" style="1" customWidth="1"/>
    <col min="11528" max="11528" width="8.75" style="1" customWidth="1"/>
    <col min="11529" max="11530" width="10.125" style="1"/>
    <col min="11531" max="11531" width="10.625" style="1" bestFit="1" customWidth="1"/>
    <col min="11532" max="11776" width="10.125" style="1"/>
    <col min="11777" max="11777" width="3.125" style="1" customWidth="1"/>
    <col min="11778" max="11778" width="29.5" style="1" customWidth="1"/>
    <col min="11779" max="11779" width="8.75" style="1" customWidth="1"/>
    <col min="11780" max="11780" width="1.5" style="1" customWidth="1"/>
    <col min="11781" max="11781" width="10.75" style="1" customWidth="1"/>
    <col min="11782" max="11782" width="6.375" style="1" customWidth="1"/>
    <col min="11783" max="11783" width="6.75" style="1" customWidth="1"/>
    <col min="11784" max="11784" width="8.75" style="1" customWidth="1"/>
    <col min="11785" max="11786" width="10.125" style="1"/>
    <col min="11787" max="11787" width="10.625" style="1" bestFit="1" customWidth="1"/>
    <col min="11788" max="12032" width="10.125" style="1"/>
    <col min="12033" max="12033" width="3.125" style="1" customWidth="1"/>
    <col min="12034" max="12034" width="29.5" style="1" customWidth="1"/>
    <col min="12035" max="12035" width="8.75" style="1" customWidth="1"/>
    <col min="12036" max="12036" width="1.5" style="1" customWidth="1"/>
    <col min="12037" max="12037" width="10.75" style="1" customWidth="1"/>
    <col min="12038" max="12038" width="6.375" style="1" customWidth="1"/>
    <col min="12039" max="12039" width="6.75" style="1" customWidth="1"/>
    <col min="12040" max="12040" width="8.75" style="1" customWidth="1"/>
    <col min="12041" max="12042" width="10.125" style="1"/>
    <col min="12043" max="12043" width="10.625" style="1" bestFit="1" customWidth="1"/>
    <col min="12044" max="12288" width="10.125" style="1"/>
    <col min="12289" max="12289" width="3.125" style="1" customWidth="1"/>
    <col min="12290" max="12290" width="29.5" style="1" customWidth="1"/>
    <col min="12291" max="12291" width="8.75" style="1" customWidth="1"/>
    <col min="12292" max="12292" width="1.5" style="1" customWidth="1"/>
    <col min="12293" max="12293" width="10.75" style="1" customWidth="1"/>
    <col min="12294" max="12294" width="6.375" style="1" customWidth="1"/>
    <col min="12295" max="12295" width="6.75" style="1" customWidth="1"/>
    <col min="12296" max="12296" width="8.75" style="1" customWidth="1"/>
    <col min="12297" max="12298" width="10.125" style="1"/>
    <col min="12299" max="12299" width="10.625" style="1" bestFit="1" customWidth="1"/>
    <col min="12300" max="12544" width="10.125" style="1"/>
    <col min="12545" max="12545" width="3.125" style="1" customWidth="1"/>
    <col min="12546" max="12546" width="29.5" style="1" customWidth="1"/>
    <col min="12547" max="12547" width="8.75" style="1" customWidth="1"/>
    <col min="12548" max="12548" width="1.5" style="1" customWidth="1"/>
    <col min="12549" max="12549" width="10.75" style="1" customWidth="1"/>
    <col min="12550" max="12550" width="6.375" style="1" customWidth="1"/>
    <col min="12551" max="12551" width="6.75" style="1" customWidth="1"/>
    <col min="12552" max="12552" width="8.75" style="1" customWidth="1"/>
    <col min="12553" max="12554" width="10.125" style="1"/>
    <col min="12555" max="12555" width="10.625" style="1" bestFit="1" customWidth="1"/>
    <col min="12556" max="12800" width="10.125" style="1"/>
    <col min="12801" max="12801" width="3.125" style="1" customWidth="1"/>
    <col min="12802" max="12802" width="29.5" style="1" customWidth="1"/>
    <col min="12803" max="12803" width="8.75" style="1" customWidth="1"/>
    <col min="12804" max="12804" width="1.5" style="1" customWidth="1"/>
    <col min="12805" max="12805" width="10.75" style="1" customWidth="1"/>
    <col min="12806" max="12806" width="6.375" style="1" customWidth="1"/>
    <col min="12807" max="12807" width="6.75" style="1" customWidth="1"/>
    <col min="12808" max="12808" width="8.75" style="1" customWidth="1"/>
    <col min="12809" max="12810" width="10.125" style="1"/>
    <col min="12811" max="12811" width="10.625" style="1" bestFit="1" customWidth="1"/>
    <col min="12812" max="13056" width="10.125" style="1"/>
    <col min="13057" max="13057" width="3.125" style="1" customWidth="1"/>
    <col min="13058" max="13058" width="29.5" style="1" customWidth="1"/>
    <col min="13059" max="13059" width="8.75" style="1" customWidth="1"/>
    <col min="13060" max="13060" width="1.5" style="1" customWidth="1"/>
    <col min="13061" max="13061" width="10.75" style="1" customWidth="1"/>
    <col min="13062" max="13062" width="6.375" style="1" customWidth="1"/>
    <col min="13063" max="13063" width="6.75" style="1" customWidth="1"/>
    <col min="13064" max="13064" width="8.75" style="1" customWidth="1"/>
    <col min="13065" max="13066" width="10.125" style="1"/>
    <col min="13067" max="13067" width="10.625" style="1" bestFit="1" customWidth="1"/>
    <col min="13068" max="13312" width="10.125" style="1"/>
    <col min="13313" max="13313" width="3.125" style="1" customWidth="1"/>
    <col min="13314" max="13314" width="29.5" style="1" customWidth="1"/>
    <col min="13315" max="13315" width="8.75" style="1" customWidth="1"/>
    <col min="13316" max="13316" width="1.5" style="1" customWidth="1"/>
    <col min="13317" max="13317" width="10.75" style="1" customWidth="1"/>
    <col min="13318" max="13318" width="6.375" style="1" customWidth="1"/>
    <col min="13319" max="13319" width="6.75" style="1" customWidth="1"/>
    <col min="13320" max="13320" width="8.75" style="1" customWidth="1"/>
    <col min="13321" max="13322" width="10.125" style="1"/>
    <col min="13323" max="13323" width="10.625" style="1" bestFit="1" customWidth="1"/>
    <col min="13324" max="13568" width="10.125" style="1"/>
    <col min="13569" max="13569" width="3.125" style="1" customWidth="1"/>
    <col min="13570" max="13570" width="29.5" style="1" customWidth="1"/>
    <col min="13571" max="13571" width="8.75" style="1" customWidth="1"/>
    <col min="13572" max="13572" width="1.5" style="1" customWidth="1"/>
    <col min="13573" max="13573" width="10.75" style="1" customWidth="1"/>
    <col min="13574" max="13574" width="6.375" style="1" customWidth="1"/>
    <col min="13575" max="13575" width="6.75" style="1" customWidth="1"/>
    <col min="13576" max="13576" width="8.75" style="1" customWidth="1"/>
    <col min="13577" max="13578" width="10.125" style="1"/>
    <col min="13579" max="13579" width="10.625" style="1" bestFit="1" customWidth="1"/>
    <col min="13580" max="13824" width="10.125" style="1"/>
    <col min="13825" max="13825" width="3.125" style="1" customWidth="1"/>
    <col min="13826" max="13826" width="29.5" style="1" customWidth="1"/>
    <col min="13827" max="13827" width="8.75" style="1" customWidth="1"/>
    <col min="13828" max="13828" width="1.5" style="1" customWidth="1"/>
    <col min="13829" max="13829" width="10.75" style="1" customWidth="1"/>
    <col min="13830" max="13830" width="6.375" style="1" customWidth="1"/>
    <col min="13831" max="13831" width="6.75" style="1" customWidth="1"/>
    <col min="13832" max="13832" width="8.75" style="1" customWidth="1"/>
    <col min="13833" max="13834" width="10.125" style="1"/>
    <col min="13835" max="13835" width="10.625" style="1" bestFit="1" customWidth="1"/>
    <col min="13836" max="14080" width="10.125" style="1"/>
    <col min="14081" max="14081" width="3.125" style="1" customWidth="1"/>
    <col min="14082" max="14082" width="29.5" style="1" customWidth="1"/>
    <col min="14083" max="14083" width="8.75" style="1" customWidth="1"/>
    <col min="14084" max="14084" width="1.5" style="1" customWidth="1"/>
    <col min="14085" max="14085" width="10.75" style="1" customWidth="1"/>
    <col min="14086" max="14086" width="6.375" style="1" customWidth="1"/>
    <col min="14087" max="14087" width="6.75" style="1" customWidth="1"/>
    <col min="14088" max="14088" width="8.75" style="1" customWidth="1"/>
    <col min="14089" max="14090" width="10.125" style="1"/>
    <col min="14091" max="14091" width="10.625" style="1" bestFit="1" customWidth="1"/>
    <col min="14092" max="14336" width="10.125" style="1"/>
    <col min="14337" max="14337" width="3.125" style="1" customWidth="1"/>
    <col min="14338" max="14338" width="29.5" style="1" customWidth="1"/>
    <col min="14339" max="14339" width="8.75" style="1" customWidth="1"/>
    <col min="14340" max="14340" width="1.5" style="1" customWidth="1"/>
    <col min="14341" max="14341" width="10.75" style="1" customWidth="1"/>
    <col min="14342" max="14342" width="6.375" style="1" customWidth="1"/>
    <col min="14343" max="14343" width="6.75" style="1" customWidth="1"/>
    <col min="14344" max="14344" width="8.75" style="1" customWidth="1"/>
    <col min="14345" max="14346" width="10.125" style="1"/>
    <col min="14347" max="14347" width="10.625" style="1" bestFit="1" customWidth="1"/>
    <col min="14348" max="14592" width="10.125" style="1"/>
    <col min="14593" max="14593" width="3.125" style="1" customWidth="1"/>
    <col min="14594" max="14594" width="29.5" style="1" customWidth="1"/>
    <col min="14595" max="14595" width="8.75" style="1" customWidth="1"/>
    <col min="14596" max="14596" width="1.5" style="1" customWidth="1"/>
    <col min="14597" max="14597" width="10.75" style="1" customWidth="1"/>
    <col min="14598" max="14598" width="6.375" style="1" customWidth="1"/>
    <col min="14599" max="14599" width="6.75" style="1" customWidth="1"/>
    <col min="14600" max="14600" width="8.75" style="1" customWidth="1"/>
    <col min="14601" max="14602" width="10.125" style="1"/>
    <col min="14603" max="14603" width="10.625" style="1" bestFit="1" customWidth="1"/>
    <col min="14604" max="14848" width="10.125" style="1"/>
    <col min="14849" max="14849" width="3.125" style="1" customWidth="1"/>
    <col min="14850" max="14850" width="29.5" style="1" customWidth="1"/>
    <col min="14851" max="14851" width="8.75" style="1" customWidth="1"/>
    <col min="14852" max="14852" width="1.5" style="1" customWidth="1"/>
    <col min="14853" max="14853" width="10.75" style="1" customWidth="1"/>
    <col min="14854" max="14854" width="6.375" style="1" customWidth="1"/>
    <col min="14855" max="14855" width="6.75" style="1" customWidth="1"/>
    <col min="14856" max="14856" width="8.75" style="1" customWidth="1"/>
    <col min="14857" max="14858" width="10.125" style="1"/>
    <col min="14859" max="14859" width="10.625" style="1" bestFit="1" customWidth="1"/>
    <col min="14860" max="15104" width="10.125" style="1"/>
    <col min="15105" max="15105" width="3.125" style="1" customWidth="1"/>
    <col min="15106" max="15106" width="29.5" style="1" customWidth="1"/>
    <col min="15107" max="15107" width="8.75" style="1" customWidth="1"/>
    <col min="15108" max="15108" width="1.5" style="1" customWidth="1"/>
    <col min="15109" max="15109" width="10.75" style="1" customWidth="1"/>
    <col min="15110" max="15110" width="6.375" style="1" customWidth="1"/>
    <col min="15111" max="15111" width="6.75" style="1" customWidth="1"/>
    <col min="15112" max="15112" width="8.75" style="1" customWidth="1"/>
    <col min="15113" max="15114" width="10.125" style="1"/>
    <col min="15115" max="15115" width="10.625" style="1" bestFit="1" customWidth="1"/>
    <col min="15116" max="15360" width="10.125" style="1"/>
    <col min="15361" max="15361" width="3.125" style="1" customWidth="1"/>
    <col min="15362" max="15362" width="29.5" style="1" customWidth="1"/>
    <col min="15363" max="15363" width="8.75" style="1" customWidth="1"/>
    <col min="15364" max="15364" width="1.5" style="1" customWidth="1"/>
    <col min="15365" max="15365" width="10.75" style="1" customWidth="1"/>
    <col min="15366" max="15366" width="6.375" style="1" customWidth="1"/>
    <col min="15367" max="15367" width="6.75" style="1" customWidth="1"/>
    <col min="15368" max="15368" width="8.75" style="1" customWidth="1"/>
    <col min="15369" max="15370" width="10.125" style="1"/>
    <col min="15371" max="15371" width="10.625" style="1" bestFit="1" customWidth="1"/>
    <col min="15372" max="15616" width="10.125" style="1"/>
    <col min="15617" max="15617" width="3.125" style="1" customWidth="1"/>
    <col min="15618" max="15618" width="29.5" style="1" customWidth="1"/>
    <col min="15619" max="15619" width="8.75" style="1" customWidth="1"/>
    <col min="15620" max="15620" width="1.5" style="1" customWidth="1"/>
    <col min="15621" max="15621" width="10.75" style="1" customWidth="1"/>
    <col min="15622" max="15622" width="6.375" style="1" customWidth="1"/>
    <col min="15623" max="15623" width="6.75" style="1" customWidth="1"/>
    <col min="15624" max="15624" width="8.75" style="1" customWidth="1"/>
    <col min="15625" max="15626" width="10.125" style="1"/>
    <col min="15627" max="15627" width="10.625" style="1" bestFit="1" customWidth="1"/>
    <col min="15628" max="15872" width="10.125" style="1"/>
    <col min="15873" max="15873" width="3.125" style="1" customWidth="1"/>
    <col min="15874" max="15874" width="29.5" style="1" customWidth="1"/>
    <col min="15875" max="15875" width="8.75" style="1" customWidth="1"/>
    <col min="15876" max="15876" width="1.5" style="1" customWidth="1"/>
    <col min="15877" max="15877" width="10.75" style="1" customWidth="1"/>
    <col min="15878" max="15878" width="6.375" style="1" customWidth="1"/>
    <col min="15879" max="15879" width="6.75" style="1" customWidth="1"/>
    <col min="15880" max="15880" width="8.75" style="1" customWidth="1"/>
    <col min="15881" max="15882" width="10.125" style="1"/>
    <col min="15883" max="15883" width="10.625" style="1" bestFit="1" customWidth="1"/>
    <col min="15884" max="16128" width="10.125" style="1"/>
    <col min="16129" max="16129" width="3.125" style="1" customWidth="1"/>
    <col min="16130" max="16130" width="29.5" style="1" customWidth="1"/>
    <col min="16131" max="16131" width="8.75" style="1" customWidth="1"/>
    <col min="16132" max="16132" width="1.5" style="1" customWidth="1"/>
    <col min="16133" max="16133" width="10.75" style="1" customWidth="1"/>
    <col min="16134" max="16134" width="6.375" style="1" customWidth="1"/>
    <col min="16135" max="16135" width="6.75" style="1" customWidth="1"/>
    <col min="16136" max="16136" width="8.75" style="1" customWidth="1"/>
    <col min="16137" max="16138" width="10.125" style="1"/>
    <col min="16139" max="16139" width="10.625" style="1" bestFit="1" customWidth="1"/>
    <col min="16140" max="16384" width="10.125" style="1"/>
  </cols>
  <sheetData>
    <row r="5" spans="1:12" x14ac:dyDescent="0.25">
      <c r="A5" s="4" t="s">
        <v>0</v>
      </c>
      <c r="B5" s="5"/>
      <c r="C5" s="5"/>
    </row>
    <row r="6" spans="1:12" ht="9" customHeight="1" x14ac:dyDescent="0.25">
      <c r="A6" s="4"/>
      <c r="B6" s="5"/>
      <c r="C6" s="5"/>
    </row>
    <row r="7" spans="1:12" s="7" customFormat="1" ht="15" x14ac:dyDescent="0.25">
      <c r="A7" s="7" t="s">
        <v>1</v>
      </c>
      <c r="B7" s="8"/>
      <c r="D7" s="9"/>
      <c r="E7" s="131" t="s">
        <v>2</v>
      </c>
      <c r="F7" s="132"/>
      <c r="G7" s="133">
        <v>45875</v>
      </c>
      <c r="H7" s="134"/>
      <c r="J7" s="55"/>
      <c r="K7" s="55"/>
    </row>
    <row r="8" spans="1:12" s="7" customFormat="1" ht="15" x14ac:dyDescent="0.25">
      <c r="A8" s="7" t="s">
        <v>53</v>
      </c>
      <c r="B8" s="8"/>
      <c r="D8" s="9"/>
      <c r="E8" s="135" t="s">
        <v>3</v>
      </c>
      <c r="F8" s="136"/>
      <c r="H8" s="11">
        <v>60431</v>
      </c>
      <c r="J8" s="55"/>
      <c r="K8" s="55"/>
      <c r="L8" s="55"/>
    </row>
    <row r="9" spans="1:12" s="7" customFormat="1" ht="15" x14ac:dyDescent="0.25">
      <c r="A9" s="7" t="s">
        <v>54</v>
      </c>
      <c r="B9" s="8"/>
      <c r="D9" s="9"/>
      <c r="E9" s="135" t="s">
        <v>4</v>
      </c>
      <c r="F9" s="136"/>
      <c r="G9" s="137" t="s">
        <v>130</v>
      </c>
      <c r="H9" s="138"/>
      <c r="J9" s="55"/>
      <c r="K9" s="55"/>
      <c r="L9" s="55"/>
    </row>
    <row r="10" spans="1:12" s="7" customFormat="1" ht="15" x14ac:dyDescent="0.25">
      <c r="B10" s="8"/>
      <c r="D10" s="9"/>
      <c r="E10" s="13" t="s">
        <v>5</v>
      </c>
      <c r="F10" s="14"/>
      <c r="G10" s="139" t="s">
        <v>32</v>
      </c>
      <c r="H10" s="140"/>
      <c r="K10" s="55"/>
    </row>
    <row r="11" spans="1:12" s="7" customFormat="1" ht="15" x14ac:dyDescent="0.25">
      <c r="A11" s="15" t="s">
        <v>55</v>
      </c>
      <c r="B11" s="8"/>
      <c r="D11" s="9"/>
      <c r="E11" s="10" t="s">
        <v>6</v>
      </c>
      <c r="F11" s="125" t="s">
        <v>7</v>
      </c>
      <c r="G11" s="125"/>
      <c r="H11" s="126"/>
    </row>
    <row r="12" spans="1:12" s="7" customFormat="1" ht="15" x14ac:dyDescent="0.25">
      <c r="A12" s="15"/>
      <c r="B12" s="8"/>
      <c r="D12" s="9"/>
      <c r="E12" s="13" t="s">
        <v>8</v>
      </c>
      <c r="F12" s="127" t="s">
        <v>9</v>
      </c>
      <c r="G12" s="127"/>
      <c r="H12" s="128"/>
    </row>
    <row r="13" spans="1:12" s="7" customFormat="1" ht="15" x14ac:dyDescent="0.25">
      <c r="A13" s="15"/>
      <c r="B13" s="8"/>
      <c r="D13" s="9"/>
      <c r="E13" s="17"/>
      <c r="F13" s="51"/>
      <c r="G13" s="51"/>
      <c r="H13" s="51"/>
      <c r="K13" s="55"/>
    </row>
    <row r="14" spans="1:12" s="7" customFormat="1" ht="15" x14ac:dyDescent="0.25">
      <c r="A14" s="15"/>
      <c r="B14" s="8"/>
      <c r="D14" s="9"/>
      <c r="E14" s="17"/>
      <c r="F14" s="51"/>
      <c r="G14" s="51"/>
      <c r="H14" s="51"/>
      <c r="K14" s="55"/>
    </row>
    <row r="15" spans="1:12" s="7" customFormat="1" ht="15" x14ac:dyDescent="0.25">
      <c r="A15" s="15"/>
      <c r="B15" s="8"/>
      <c r="D15" s="9"/>
      <c r="E15" s="17"/>
      <c r="F15" s="51"/>
      <c r="G15" s="51"/>
      <c r="H15" s="51"/>
      <c r="K15" s="55"/>
    </row>
    <row r="16" spans="1:12" s="15" customFormat="1" ht="14.25" x14ac:dyDescent="0.2">
      <c r="A16" s="129" t="s">
        <v>10</v>
      </c>
      <c r="B16" s="129"/>
      <c r="C16" s="129"/>
      <c r="D16" s="129"/>
      <c r="E16" s="129"/>
      <c r="F16" s="129"/>
      <c r="G16" s="129"/>
      <c r="H16" s="129"/>
    </row>
    <row r="17" spans="1:8" s="15" customFormat="1" ht="14.25" x14ac:dyDescent="0.2">
      <c r="A17" s="19"/>
      <c r="B17" s="19"/>
      <c r="C17" s="19"/>
      <c r="D17" s="19"/>
      <c r="E17" s="19"/>
      <c r="F17" s="19"/>
      <c r="G17" s="19"/>
      <c r="H17" s="19"/>
    </row>
    <row r="18" spans="1:8" s="15" customFormat="1" ht="14.25" x14ac:dyDescent="0.2">
      <c r="A18" s="19"/>
      <c r="B18" s="19"/>
      <c r="C18" s="19"/>
      <c r="D18" s="19"/>
      <c r="E18" s="19"/>
      <c r="F18" s="19"/>
      <c r="G18" s="19"/>
      <c r="H18" s="19"/>
    </row>
    <row r="19" spans="1:8" s="7" customFormat="1" ht="15" x14ac:dyDescent="0.25">
      <c r="A19" s="7" t="s">
        <v>38</v>
      </c>
      <c r="B19" s="8"/>
      <c r="D19" s="9"/>
      <c r="E19" s="17"/>
      <c r="F19" s="9"/>
      <c r="G19" s="18"/>
    </row>
    <row r="20" spans="1:8" s="7" customFormat="1" ht="15" x14ac:dyDescent="0.25">
      <c r="A20" s="7" t="s">
        <v>39</v>
      </c>
      <c r="B20" s="8"/>
      <c r="D20" s="9"/>
      <c r="E20" s="17"/>
      <c r="F20" s="9"/>
      <c r="G20" s="18"/>
    </row>
    <row r="21" spans="1:8" s="7" customFormat="1" ht="9" customHeight="1" x14ac:dyDescent="0.25">
      <c r="D21" s="9"/>
      <c r="E21" s="17"/>
      <c r="F21" s="18"/>
    </row>
    <row r="22" spans="1:8" s="7" customFormat="1" ht="15" x14ac:dyDescent="0.25">
      <c r="A22" s="20" t="s">
        <v>13</v>
      </c>
      <c r="B22" s="21"/>
      <c r="C22" s="20"/>
      <c r="D22" s="9"/>
      <c r="E22" s="9" t="s">
        <v>40</v>
      </c>
      <c r="F22" s="17" t="s">
        <v>15</v>
      </c>
      <c r="G22" s="9" t="s">
        <v>41</v>
      </c>
      <c r="H22" s="17" t="s">
        <v>17</v>
      </c>
    </row>
    <row r="23" spans="1:8" s="7" customFormat="1" ht="15" x14ac:dyDescent="0.25">
      <c r="A23" s="23" t="s">
        <v>18</v>
      </c>
      <c r="B23" s="23"/>
      <c r="C23" s="22" t="s">
        <v>49</v>
      </c>
      <c r="D23" s="24"/>
      <c r="E23" s="24" t="s">
        <v>50</v>
      </c>
      <c r="F23" s="16"/>
      <c r="G23" s="24" t="s">
        <v>44</v>
      </c>
      <c r="H23" s="14"/>
    </row>
    <row r="24" spans="1:8" s="7" customFormat="1" ht="15" x14ac:dyDescent="0.25">
      <c r="A24" s="7">
        <v>33</v>
      </c>
      <c r="B24" s="7" t="s">
        <v>51</v>
      </c>
      <c r="C24" s="45"/>
      <c r="D24" s="45"/>
      <c r="E24" s="26"/>
      <c r="F24" s="12"/>
      <c r="G24" s="17"/>
      <c r="H24" s="28"/>
    </row>
    <row r="25" spans="1:8" s="7" customFormat="1" ht="15" x14ac:dyDescent="0.25">
      <c r="A25" s="12"/>
      <c r="B25" s="55">
        <v>45748</v>
      </c>
      <c r="C25" s="44">
        <v>45818</v>
      </c>
      <c r="E25" s="26">
        <f>ROUNDDOWN((23974.96/2)/(128664.92/12)*128664.92/1000,)*1000</f>
        <v>143000</v>
      </c>
      <c r="F25" s="12" t="s">
        <v>52</v>
      </c>
      <c r="G25" s="17">
        <v>9</v>
      </c>
      <c r="H25" s="28">
        <f>G25/10*217</f>
        <v>195.3</v>
      </c>
    </row>
    <row r="26" spans="1:8" s="7" customFormat="1" ht="15" x14ac:dyDescent="0.25">
      <c r="A26" s="12"/>
      <c r="B26" s="55">
        <v>45778</v>
      </c>
      <c r="C26" s="44">
        <v>45831</v>
      </c>
      <c r="E26" s="26">
        <f>+E25</f>
        <v>143000</v>
      </c>
      <c r="F26" s="12" t="s">
        <v>52</v>
      </c>
      <c r="G26" s="17">
        <f>+G25</f>
        <v>9</v>
      </c>
      <c r="H26" s="28">
        <f>G26/10*217</f>
        <v>195.3</v>
      </c>
    </row>
    <row r="27" spans="1:8" s="7" customFormat="1" ht="15" x14ac:dyDescent="0.25">
      <c r="A27" s="12"/>
      <c r="B27" s="55">
        <v>45809</v>
      </c>
      <c r="C27" s="44">
        <v>45874</v>
      </c>
      <c r="E27" s="26">
        <f>+E26</f>
        <v>143000</v>
      </c>
      <c r="F27" s="12" t="s">
        <v>52</v>
      </c>
      <c r="G27" s="17">
        <f>+G26</f>
        <v>9</v>
      </c>
      <c r="H27" s="28">
        <f>G27/10*217</f>
        <v>195.3</v>
      </c>
    </row>
    <row r="28" spans="1:8" s="7" customFormat="1" ht="15" x14ac:dyDescent="0.25">
      <c r="A28" s="12"/>
      <c r="C28" s="44"/>
      <c r="D28" s="45"/>
      <c r="E28" s="26"/>
      <c r="F28" s="12"/>
      <c r="G28" s="17"/>
      <c r="H28" s="28"/>
    </row>
    <row r="29" spans="1:8" s="7" customFormat="1" ht="5.25" customHeight="1" x14ac:dyDescent="0.25">
      <c r="A29" s="12"/>
      <c r="B29" s="53"/>
      <c r="C29" s="44"/>
      <c r="D29" s="45"/>
      <c r="E29" s="54"/>
      <c r="F29" s="28"/>
      <c r="G29" s="47"/>
      <c r="H29" s="28"/>
    </row>
    <row r="30" spans="1:8" s="7" customFormat="1" ht="15" x14ac:dyDescent="0.25">
      <c r="A30" s="7">
        <v>16</v>
      </c>
      <c r="B30" s="7" t="s">
        <v>23</v>
      </c>
      <c r="C30" s="62" t="s">
        <v>129</v>
      </c>
      <c r="E30" s="41"/>
      <c r="F30" s="26"/>
      <c r="G30" s="17"/>
      <c r="H30" s="41">
        <v>80</v>
      </c>
    </row>
    <row r="31" spans="1:8" s="7" customFormat="1" ht="15" x14ac:dyDescent="0.25">
      <c r="A31" s="23"/>
      <c r="B31" s="23" t="s">
        <v>24</v>
      </c>
      <c r="C31" s="23"/>
      <c r="D31" s="23"/>
      <c r="E31" s="24"/>
      <c r="F31" s="16"/>
      <c r="G31" s="57"/>
      <c r="H31" s="58"/>
    </row>
    <row r="32" spans="1:8" s="7" customFormat="1" ht="15.75" customHeight="1" x14ac:dyDescent="0.25">
      <c r="D32" s="9"/>
      <c r="E32" s="7" t="s">
        <v>25</v>
      </c>
      <c r="F32" s="9"/>
      <c r="G32" s="12"/>
      <c r="H32" s="41">
        <f>SUM(H24:H31)</f>
        <v>665.90000000000009</v>
      </c>
    </row>
    <row r="33" spans="1:8" s="7" customFormat="1" ht="15.75" customHeight="1" x14ac:dyDescent="0.25">
      <c r="D33" s="9"/>
      <c r="E33" s="7" t="s">
        <v>26</v>
      </c>
      <c r="F33" s="9"/>
      <c r="H33" s="41">
        <f>+H32*0.19</f>
        <v>126.52100000000002</v>
      </c>
    </row>
    <row r="34" spans="1:8" s="7" customFormat="1" thickBot="1" x14ac:dyDescent="0.3">
      <c r="D34" s="9"/>
      <c r="E34" s="34" t="s">
        <v>27</v>
      </c>
      <c r="F34" s="35"/>
      <c r="G34" s="60"/>
      <c r="H34" s="61">
        <f>SUM(H32:H33)</f>
        <v>792.42100000000005</v>
      </c>
    </row>
    <row r="35" spans="1:8" s="7" customFormat="1" ht="7.5" customHeight="1" thickTop="1" x14ac:dyDescent="0.25">
      <c r="D35" s="9"/>
      <c r="E35" s="38"/>
      <c r="F35" s="17"/>
      <c r="G35" s="9"/>
      <c r="H35" s="41"/>
    </row>
    <row r="36" spans="1:8" s="7" customFormat="1" ht="15" x14ac:dyDescent="0.25">
      <c r="A36" s="7" t="s">
        <v>48</v>
      </c>
      <c r="B36" s="8"/>
      <c r="D36" s="9"/>
      <c r="E36" s="17"/>
      <c r="F36" s="18"/>
    </row>
    <row r="37" spans="1:8" s="7" customFormat="1" ht="15" x14ac:dyDescent="0.25">
      <c r="D37" s="9"/>
      <c r="E37" s="17"/>
      <c r="F37" s="18"/>
    </row>
    <row r="38" spans="1:8" s="7" customFormat="1" ht="15" x14ac:dyDescent="0.25">
      <c r="D38" s="9"/>
      <c r="E38" s="17"/>
      <c r="F38" s="18"/>
    </row>
    <row r="39" spans="1:8" ht="14.25" customHeight="1" x14ac:dyDescent="0.25"/>
    <row r="40" spans="1:8" x14ac:dyDescent="0.25">
      <c r="B40" s="23"/>
    </row>
    <row r="43" spans="1:8" x14ac:dyDescent="0.25">
      <c r="D43" s="1"/>
      <c r="E43" s="1"/>
      <c r="F43" s="1"/>
    </row>
    <row r="44" spans="1:8" x14ac:dyDescent="0.25">
      <c r="D44" s="1"/>
      <c r="E44" s="1"/>
      <c r="F44" s="1"/>
    </row>
    <row r="45" spans="1:8" x14ac:dyDescent="0.25">
      <c r="D45" s="1"/>
      <c r="E45" s="1"/>
      <c r="F45" s="1"/>
    </row>
    <row r="46" spans="1:8" x14ac:dyDescent="0.25">
      <c r="D46" s="1"/>
      <c r="E46" s="1"/>
      <c r="F46" s="1"/>
    </row>
    <row r="47" spans="1:8" x14ac:dyDescent="0.25">
      <c r="D47" s="1"/>
      <c r="E47" s="1"/>
      <c r="F47" s="1"/>
    </row>
    <row r="48" spans="1:8" x14ac:dyDescent="0.25">
      <c r="D48" s="1"/>
      <c r="E48" s="1"/>
      <c r="F48" s="1"/>
    </row>
    <row r="49" spans="1:8" x14ac:dyDescent="0.25">
      <c r="A49" s="142" t="s">
        <v>98</v>
      </c>
      <c r="B49" s="142"/>
      <c r="C49" s="142"/>
      <c r="D49" s="142"/>
      <c r="E49" s="142"/>
      <c r="F49" s="142"/>
      <c r="G49" s="142"/>
      <c r="H49" s="142"/>
    </row>
  </sheetData>
  <mergeCells count="10">
    <mergeCell ref="F11:H11"/>
    <mergeCell ref="F12:H12"/>
    <mergeCell ref="A16:H16"/>
    <mergeCell ref="A49:H49"/>
    <mergeCell ref="E7:F7"/>
    <mergeCell ref="G7:H7"/>
    <mergeCell ref="E8:F8"/>
    <mergeCell ref="E9:F9"/>
    <mergeCell ref="G9:H9"/>
    <mergeCell ref="G10:H10"/>
  </mergeCells>
  <pageMargins left="0.78740157480314965" right="0.78740157480314965" top="0.98425196850393704" bottom="0.98425196850393704" header="0.51181102362204722" footer="0.51181102362204722"/>
  <pageSetup paperSize="9" orientation="portrait" horizontalDpi="300" verticalDpi="300" r:id="rId1"/>
  <headerFooter alignWithMargins="0">
    <oddHeader>&amp;C&amp;"Times New Roman,Standard"&amp;16Hartmut Ahting
Steuerberater
Diplom-Wirtschaftsingenieur</oddHeader>
    <oddFooter>&amp;L&amp;"Times New Roman,Standard"Heerstrasse 50
60488 Frankfurt
&amp;C&amp;"Times New Roman,Standard"Deutsche Bank
BLZ 500 700 24
Konto 409 28 62&amp;R&amp;"Times New Roman,Standard"Tel:      069 / 788 031-71
Fax:     069 / 788 031-72
Mobil: 0174 / 326 99 58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9012D-193F-4046-86A9-72678F9B516B}">
  <dimension ref="A5:T50"/>
  <sheetViews>
    <sheetView workbookViewId="0">
      <selection activeCell="A47" sqref="A47:XFD47"/>
    </sheetView>
  </sheetViews>
  <sheetFormatPr baseColWidth="10" defaultColWidth="10.125" defaultRowHeight="15" x14ac:dyDescent="0.25"/>
  <cols>
    <col min="1" max="1" width="3.125" style="7" customWidth="1"/>
    <col min="2" max="2" width="30.5" style="7" customWidth="1"/>
    <col min="3" max="3" width="8.75" style="7" customWidth="1"/>
    <col min="4" max="4" width="1.5" style="9" customWidth="1"/>
    <col min="5" max="5" width="10" style="17" customWidth="1"/>
    <col min="6" max="6" width="6.125" style="18" customWidth="1"/>
    <col min="7" max="7" width="7.25" style="7" customWidth="1"/>
    <col min="8" max="8" width="8.5" style="7" customWidth="1"/>
    <col min="9" max="9" width="1.125" style="7" customWidth="1"/>
    <col min="10" max="256" width="10.125" style="7"/>
    <col min="257" max="257" width="3.125" style="7" customWidth="1"/>
    <col min="258" max="258" width="30.5" style="7" customWidth="1"/>
    <col min="259" max="259" width="8.75" style="7" customWidth="1"/>
    <col min="260" max="260" width="1.5" style="7" customWidth="1"/>
    <col min="261" max="261" width="10" style="7" customWidth="1"/>
    <col min="262" max="262" width="6.125" style="7" customWidth="1"/>
    <col min="263" max="263" width="7.25" style="7" customWidth="1"/>
    <col min="264" max="264" width="8.5" style="7" customWidth="1"/>
    <col min="265" max="265" width="1.125" style="7" customWidth="1"/>
    <col min="266" max="512" width="10.125" style="7"/>
    <col min="513" max="513" width="3.125" style="7" customWidth="1"/>
    <col min="514" max="514" width="30.5" style="7" customWidth="1"/>
    <col min="515" max="515" width="8.75" style="7" customWidth="1"/>
    <col min="516" max="516" width="1.5" style="7" customWidth="1"/>
    <col min="517" max="517" width="10" style="7" customWidth="1"/>
    <col min="518" max="518" width="6.125" style="7" customWidth="1"/>
    <col min="519" max="519" width="7.25" style="7" customWidth="1"/>
    <col min="520" max="520" width="8.5" style="7" customWidth="1"/>
    <col min="521" max="521" width="1.125" style="7" customWidth="1"/>
    <col min="522" max="768" width="10.125" style="7"/>
    <col min="769" max="769" width="3.125" style="7" customWidth="1"/>
    <col min="770" max="770" width="30.5" style="7" customWidth="1"/>
    <col min="771" max="771" width="8.75" style="7" customWidth="1"/>
    <col min="772" max="772" width="1.5" style="7" customWidth="1"/>
    <col min="773" max="773" width="10" style="7" customWidth="1"/>
    <col min="774" max="774" width="6.125" style="7" customWidth="1"/>
    <col min="775" max="775" width="7.25" style="7" customWidth="1"/>
    <col min="776" max="776" width="8.5" style="7" customWidth="1"/>
    <col min="777" max="777" width="1.125" style="7" customWidth="1"/>
    <col min="778" max="1024" width="10.125" style="7"/>
    <col min="1025" max="1025" width="3.125" style="7" customWidth="1"/>
    <col min="1026" max="1026" width="30.5" style="7" customWidth="1"/>
    <col min="1027" max="1027" width="8.75" style="7" customWidth="1"/>
    <col min="1028" max="1028" width="1.5" style="7" customWidth="1"/>
    <col min="1029" max="1029" width="10" style="7" customWidth="1"/>
    <col min="1030" max="1030" width="6.125" style="7" customWidth="1"/>
    <col min="1031" max="1031" width="7.25" style="7" customWidth="1"/>
    <col min="1032" max="1032" width="8.5" style="7" customWidth="1"/>
    <col min="1033" max="1033" width="1.125" style="7" customWidth="1"/>
    <col min="1034" max="1280" width="10.125" style="7"/>
    <col min="1281" max="1281" width="3.125" style="7" customWidth="1"/>
    <col min="1282" max="1282" width="30.5" style="7" customWidth="1"/>
    <col min="1283" max="1283" width="8.75" style="7" customWidth="1"/>
    <col min="1284" max="1284" width="1.5" style="7" customWidth="1"/>
    <col min="1285" max="1285" width="10" style="7" customWidth="1"/>
    <col min="1286" max="1286" width="6.125" style="7" customWidth="1"/>
    <col min="1287" max="1287" width="7.25" style="7" customWidth="1"/>
    <col min="1288" max="1288" width="8.5" style="7" customWidth="1"/>
    <col min="1289" max="1289" width="1.125" style="7" customWidth="1"/>
    <col min="1290" max="1536" width="10.125" style="7"/>
    <col min="1537" max="1537" width="3.125" style="7" customWidth="1"/>
    <col min="1538" max="1538" width="30.5" style="7" customWidth="1"/>
    <col min="1539" max="1539" width="8.75" style="7" customWidth="1"/>
    <col min="1540" max="1540" width="1.5" style="7" customWidth="1"/>
    <col min="1541" max="1541" width="10" style="7" customWidth="1"/>
    <col min="1542" max="1542" width="6.125" style="7" customWidth="1"/>
    <col min="1543" max="1543" width="7.25" style="7" customWidth="1"/>
    <col min="1544" max="1544" width="8.5" style="7" customWidth="1"/>
    <col min="1545" max="1545" width="1.125" style="7" customWidth="1"/>
    <col min="1546" max="1792" width="10.125" style="7"/>
    <col min="1793" max="1793" width="3.125" style="7" customWidth="1"/>
    <col min="1794" max="1794" width="30.5" style="7" customWidth="1"/>
    <col min="1795" max="1795" width="8.75" style="7" customWidth="1"/>
    <col min="1796" max="1796" width="1.5" style="7" customWidth="1"/>
    <col min="1797" max="1797" width="10" style="7" customWidth="1"/>
    <col min="1798" max="1798" width="6.125" style="7" customWidth="1"/>
    <col min="1799" max="1799" width="7.25" style="7" customWidth="1"/>
    <col min="1800" max="1800" width="8.5" style="7" customWidth="1"/>
    <col min="1801" max="1801" width="1.125" style="7" customWidth="1"/>
    <col min="1802" max="2048" width="10.125" style="7"/>
    <col min="2049" max="2049" width="3.125" style="7" customWidth="1"/>
    <col min="2050" max="2050" width="30.5" style="7" customWidth="1"/>
    <col min="2051" max="2051" width="8.75" style="7" customWidth="1"/>
    <col min="2052" max="2052" width="1.5" style="7" customWidth="1"/>
    <col min="2053" max="2053" width="10" style="7" customWidth="1"/>
    <col min="2054" max="2054" width="6.125" style="7" customWidth="1"/>
    <col min="2055" max="2055" width="7.25" style="7" customWidth="1"/>
    <col min="2056" max="2056" width="8.5" style="7" customWidth="1"/>
    <col min="2057" max="2057" width="1.125" style="7" customWidth="1"/>
    <col min="2058" max="2304" width="10.125" style="7"/>
    <col min="2305" max="2305" width="3.125" style="7" customWidth="1"/>
    <col min="2306" max="2306" width="30.5" style="7" customWidth="1"/>
    <col min="2307" max="2307" width="8.75" style="7" customWidth="1"/>
    <col min="2308" max="2308" width="1.5" style="7" customWidth="1"/>
    <col min="2309" max="2309" width="10" style="7" customWidth="1"/>
    <col min="2310" max="2310" width="6.125" style="7" customWidth="1"/>
    <col min="2311" max="2311" width="7.25" style="7" customWidth="1"/>
    <col min="2312" max="2312" width="8.5" style="7" customWidth="1"/>
    <col min="2313" max="2313" width="1.125" style="7" customWidth="1"/>
    <col min="2314" max="2560" width="10.125" style="7"/>
    <col min="2561" max="2561" width="3.125" style="7" customWidth="1"/>
    <col min="2562" max="2562" width="30.5" style="7" customWidth="1"/>
    <col min="2563" max="2563" width="8.75" style="7" customWidth="1"/>
    <col min="2564" max="2564" width="1.5" style="7" customWidth="1"/>
    <col min="2565" max="2565" width="10" style="7" customWidth="1"/>
    <col min="2566" max="2566" width="6.125" style="7" customWidth="1"/>
    <col min="2567" max="2567" width="7.25" style="7" customWidth="1"/>
    <col min="2568" max="2568" width="8.5" style="7" customWidth="1"/>
    <col min="2569" max="2569" width="1.125" style="7" customWidth="1"/>
    <col min="2570" max="2816" width="10.125" style="7"/>
    <col min="2817" max="2817" width="3.125" style="7" customWidth="1"/>
    <col min="2818" max="2818" width="30.5" style="7" customWidth="1"/>
    <col min="2819" max="2819" width="8.75" style="7" customWidth="1"/>
    <col min="2820" max="2820" width="1.5" style="7" customWidth="1"/>
    <col min="2821" max="2821" width="10" style="7" customWidth="1"/>
    <col min="2822" max="2822" width="6.125" style="7" customWidth="1"/>
    <col min="2823" max="2823" width="7.25" style="7" customWidth="1"/>
    <col min="2824" max="2824" width="8.5" style="7" customWidth="1"/>
    <col min="2825" max="2825" width="1.125" style="7" customWidth="1"/>
    <col min="2826" max="3072" width="10.125" style="7"/>
    <col min="3073" max="3073" width="3.125" style="7" customWidth="1"/>
    <col min="3074" max="3074" width="30.5" style="7" customWidth="1"/>
    <col min="3075" max="3075" width="8.75" style="7" customWidth="1"/>
    <col min="3076" max="3076" width="1.5" style="7" customWidth="1"/>
    <col min="3077" max="3077" width="10" style="7" customWidth="1"/>
    <col min="3078" max="3078" width="6.125" style="7" customWidth="1"/>
    <col min="3079" max="3079" width="7.25" style="7" customWidth="1"/>
    <col min="3080" max="3080" width="8.5" style="7" customWidth="1"/>
    <col min="3081" max="3081" width="1.125" style="7" customWidth="1"/>
    <col min="3082" max="3328" width="10.125" style="7"/>
    <col min="3329" max="3329" width="3.125" style="7" customWidth="1"/>
    <col min="3330" max="3330" width="30.5" style="7" customWidth="1"/>
    <col min="3331" max="3331" width="8.75" style="7" customWidth="1"/>
    <col min="3332" max="3332" width="1.5" style="7" customWidth="1"/>
    <col min="3333" max="3333" width="10" style="7" customWidth="1"/>
    <col min="3334" max="3334" width="6.125" style="7" customWidth="1"/>
    <col min="3335" max="3335" width="7.25" style="7" customWidth="1"/>
    <col min="3336" max="3336" width="8.5" style="7" customWidth="1"/>
    <col min="3337" max="3337" width="1.125" style="7" customWidth="1"/>
    <col min="3338" max="3584" width="10.125" style="7"/>
    <col min="3585" max="3585" width="3.125" style="7" customWidth="1"/>
    <col min="3586" max="3586" width="30.5" style="7" customWidth="1"/>
    <col min="3587" max="3587" width="8.75" style="7" customWidth="1"/>
    <col min="3588" max="3588" width="1.5" style="7" customWidth="1"/>
    <col min="3589" max="3589" width="10" style="7" customWidth="1"/>
    <col min="3590" max="3590" width="6.125" style="7" customWidth="1"/>
    <col min="3591" max="3591" width="7.25" style="7" customWidth="1"/>
    <col min="3592" max="3592" width="8.5" style="7" customWidth="1"/>
    <col min="3593" max="3593" width="1.125" style="7" customWidth="1"/>
    <col min="3594" max="3840" width="10.125" style="7"/>
    <col min="3841" max="3841" width="3.125" style="7" customWidth="1"/>
    <col min="3842" max="3842" width="30.5" style="7" customWidth="1"/>
    <col min="3843" max="3843" width="8.75" style="7" customWidth="1"/>
    <col min="3844" max="3844" width="1.5" style="7" customWidth="1"/>
    <col min="3845" max="3845" width="10" style="7" customWidth="1"/>
    <col min="3846" max="3846" width="6.125" style="7" customWidth="1"/>
    <col min="3847" max="3847" width="7.25" style="7" customWidth="1"/>
    <col min="3848" max="3848" width="8.5" style="7" customWidth="1"/>
    <col min="3849" max="3849" width="1.125" style="7" customWidth="1"/>
    <col min="3850" max="4096" width="10.125" style="7"/>
    <col min="4097" max="4097" width="3.125" style="7" customWidth="1"/>
    <col min="4098" max="4098" width="30.5" style="7" customWidth="1"/>
    <col min="4099" max="4099" width="8.75" style="7" customWidth="1"/>
    <col min="4100" max="4100" width="1.5" style="7" customWidth="1"/>
    <col min="4101" max="4101" width="10" style="7" customWidth="1"/>
    <col min="4102" max="4102" width="6.125" style="7" customWidth="1"/>
    <col min="4103" max="4103" width="7.25" style="7" customWidth="1"/>
    <col min="4104" max="4104" width="8.5" style="7" customWidth="1"/>
    <col min="4105" max="4105" width="1.125" style="7" customWidth="1"/>
    <col min="4106" max="4352" width="10.125" style="7"/>
    <col min="4353" max="4353" width="3.125" style="7" customWidth="1"/>
    <col min="4354" max="4354" width="30.5" style="7" customWidth="1"/>
    <col min="4355" max="4355" width="8.75" style="7" customWidth="1"/>
    <col min="4356" max="4356" width="1.5" style="7" customWidth="1"/>
    <col min="4357" max="4357" width="10" style="7" customWidth="1"/>
    <col min="4358" max="4358" width="6.125" style="7" customWidth="1"/>
    <col min="4359" max="4359" width="7.25" style="7" customWidth="1"/>
    <col min="4360" max="4360" width="8.5" style="7" customWidth="1"/>
    <col min="4361" max="4361" width="1.125" style="7" customWidth="1"/>
    <col min="4362" max="4608" width="10.125" style="7"/>
    <col min="4609" max="4609" width="3.125" style="7" customWidth="1"/>
    <col min="4610" max="4610" width="30.5" style="7" customWidth="1"/>
    <col min="4611" max="4611" width="8.75" style="7" customWidth="1"/>
    <col min="4612" max="4612" width="1.5" style="7" customWidth="1"/>
    <col min="4613" max="4613" width="10" style="7" customWidth="1"/>
    <col min="4614" max="4614" width="6.125" style="7" customWidth="1"/>
    <col min="4615" max="4615" width="7.25" style="7" customWidth="1"/>
    <col min="4616" max="4616" width="8.5" style="7" customWidth="1"/>
    <col min="4617" max="4617" width="1.125" style="7" customWidth="1"/>
    <col min="4618" max="4864" width="10.125" style="7"/>
    <col min="4865" max="4865" width="3.125" style="7" customWidth="1"/>
    <col min="4866" max="4866" width="30.5" style="7" customWidth="1"/>
    <col min="4867" max="4867" width="8.75" style="7" customWidth="1"/>
    <col min="4868" max="4868" width="1.5" style="7" customWidth="1"/>
    <col min="4869" max="4869" width="10" style="7" customWidth="1"/>
    <col min="4870" max="4870" width="6.125" style="7" customWidth="1"/>
    <col min="4871" max="4871" width="7.25" style="7" customWidth="1"/>
    <col min="4872" max="4872" width="8.5" style="7" customWidth="1"/>
    <col min="4873" max="4873" width="1.125" style="7" customWidth="1"/>
    <col min="4874" max="5120" width="10.125" style="7"/>
    <col min="5121" max="5121" width="3.125" style="7" customWidth="1"/>
    <col min="5122" max="5122" width="30.5" style="7" customWidth="1"/>
    <col min="5123" max="5123" width="8.75" style="7" customWidth="1"/>
    <col min="5124" max="5124" width="1.5" style="7" customWidth="1"/>
    <col min="5125" max="5125" width="10" style="7" customWidth="1"/>
    <col min="5126" max="5126" width="6.125" style="7" customWidth="1"/>
    <col min="5127" max="5127" width="7.25" style="7" customWidth="1"/>
    <col min="5128" max="5128" width="8.5" style="7" customWidth="1"/>
    <col min="5129" max="5129" width="1.125" style="7" customWidth="1"/>
    <col min="5130" max="5376" width="10.125" style="7"/>
    <col min="5377" max="5377" width="3.125" style="7" customWidth="1"/>
    <col min="5378" max="5378" width="30.5" style="7" customWidth="1"/>
    <col min="5379" max="5379" width="8.75" style="7" customWidth="1"/>
    <col min="5380" max="5380" width="1.5" style="7" customWidth="1"/>
    <col min="5381" max="5381" width="10" style="7" customWidth="1"/>
    <col min="5382" max="5382" width="6.125" style="7" customWidth="1"/>
    <col min="5383" max="5383" width="7.25" style="7" customWidth="1"/>
    <col min="5384" max="5384" width="8.5" style="7" customWidth="1"/>
    <col min="5385" max="5385" width="1.125" style="7" customWidth="1"/>
    <col min="5386" max="5632" width="10.125" style="7"/>
    <col min="5633" max="5633" width="3.125" style="7" customWidth="1"/>
    <col min="5634" max="5634" width="30.5" style="7" customWidth="1"/>
    <col min="5635" max="5635" width="8.75" style="7" customWidth="1"/>
    <col min="5636" max="5636" width="1.5" style="7" customWidth="1"/>
    <col min="5637" max="5637" width="10" style="7" customWidth="1"/>
    <col min="5638" max="5638" width="6.125" style="7" customWidth="1"/>
    <col min="5639" max="5639" width="7.25" style="7" customWidth="1"/>
    <col min="5640" max="5640" width="8.5" style="7" customWidth="1"/>
    <col min="5641" max="5641" width="1.125" style="7" customWidth="1"/>
    <col min="5642" max="5888" width="10.125" style="7"/>
    <col min="5889" max="5889" width="3.125" style="7" customWidth="1"/>
    <col min="5890" max="5890" width="30.5" style="7" customWidth="1"/>
    <col min="5891" max="5891" width="8.75" style="7" customWidth="1"/>
    <col min="5892" max="5892" width="1.5" style="7" customWidth="1"/>
    <col min="5893" max="5893" width="10" style="7" customWidth="1"/>
    <col min="5894" max="5894" width="6.125" style="7" customWidth="1"/>
    <col min="5895" max="5895" width="7.25" style="7" customWidth="1"/>
    <col min="5896" max="5896" width="8.5" style="7" customWidth="1"/>
    <col min="5897" max="5897" width="1.125" style="7" customWidth="1"/>
    <col min="5898" max="6144" width="10.125" style="7"/>
    <col min="6145" max="6145" width="3.125" style="7" customWidth="1"/>
    <col min="6146" max="6146" width="30.5" style="7" customWidth="1"/>
    <col min="6147" max="6147" width="8.75" style="7" customWidth="1"/>
    <col min="6148" max="6148" width="1.5" style="7" customWidth="1"/>
    <col min="6149" max="6149" width="10" style="7" customWidth="1"/>
    <col min="6150" max="6150" width="6.125" style="7" customWidth="1"/>
    <col min="6151" max="6151" width="7.25" style="7" customWidth="1"/>
    <col min="6152" max="6152" width="8.5" style="7" customWidth="1"/>
    <col min="6153" max="6153" width="1.125" style="7" customWidth="1"/>
    <col min="6154" max="6400" width="10.125" style="7"/>
    <col min="6401" max="6401" width="3.125" style="7" customWidth="1"/>
    <col min="6402" max="6402" width="30.5" style="7" customWidth="1"/>
    <col min="6403" max="6403" width="8.75" style="7" customWidth="1"/>
    <col min="6404" max="6404" width="1.5" style="7" customWidth="1"/>
    <col min="6405" max="6405" width="10" style="7" customWidth="1"/>
    <col min="6406" max="6406" width="6.125" style="7" customWidth="1"/>
    <col min="6407" max="6407" width="7.25" style="7" customWidth="1"/>
    <col min="6408" max="6408" width="8.5" style="7" customWidth="1"/>
    <col min="6409" max="6409" width="1.125" style="7" customWidth="1"/>
    <col min="6410" max="6656" width="10.125" style="7"/>
    <col min="6657" max="6657" width="3.125" style="7" customWidth="1"/>
    <col min="6658" max="6658" width="30.5" style="7" customWidth="1"/>
    <col min="6659" max="6659" width="8.75" style="7" customWidth="1"/>
    <col min="6660" max="6660" width="1.5" style="7" customWidth="1"/>
    <col min="6661" max="6661" width="10" style="7" customWidth="1"/>
    <col min="6662" max="6662" width="6.125" style="7" customWidth="1"/>
    <col min="6663" max="6663" width="7.25" style="7" customWidth="1"/>
    <col min="6664" max="6664" width="8.5" style="7" customWidth="1"/>
    <col min="6665" max="6665" width="1.125" style="7" customWidth="1"/>
    <col min="6666" max="6912" width="10.125" style="7"/>
    <col min="6913" max="6913" width="3.125" style="7" customWidth="1"/>
    <col min="6914" max="6914" width="30.5" style="7" customWidth="1"/>
    <col min="6915" max="6915" width="8.75" style="7" customWidth="1"/>
    <col min="6916" max="6916" width="1.5" style="7" customWidth="1"/>
    <col min="6917" max="6917" width="10" style="7" customWidth="1"/>
    <col min="6918" max="6918" width="6.125" style="7" customWidth="1"/>
    <col min="6919" max="6919" width="7.25" style="7" customWidth="1"/>
    <col min="6920" max="6920" width="8.5" style="7" customWidth="1"/>
    <col min="6921" max="6921" width="1.125" style="7" customWidth="1"/>
    <col min="6922" max="7168" width="10.125" style="7"/>
    <col min="7169" max="7169" width="3.125" style="7" customWidth="1"/>
    <col min="7170" max="7170" width="30.5" style="7" customWidth="1"/>
    <col min="7171" max="7171" width="8.75" style="7" customWidth="1"/>
    <col min="7172" max="7172" width="1.5" style="7" customWidth="1"/>
    <col min="7173" max="7173" width="10" style="7" customWidth="1"/>
    <col min="7174" max="7174" width="6.125" style="7" customWidth="1"/>
    <col min="7175" max="7175" width="7.25" style="7" customWidth="1"/>
    <col min="7176" max="7176" width="8.5" style="7" customWidth="1"/>
    <col min="7177" max="7177" width="1.125" style="7" customWidth="1"/>
    <col min="7178" max="7424" width="10.125" style="7"/>
    <col min="7425" max="7425" width="3.125" style="7" customWidth="1"/>
    <col min="7426" max="7426" width="30.5" style="7" customWidth="1"/>
    <col min="7427" max="7427" width="8.75" style="7" customWidth="1"/>
    <col min="7428" max="7428" width="1.5" style="7" customWidth="1"/>
    <col min="7429" max="7429" width="10" style="7" customWidth="1"/>
    <col min="7430" max="7430" width="6.125" style="7" customWidth="1"/>
    <col min="7431" max="7431" width="7.25" style="7" customWidth="1"/>
    <col min="7432" max="7432" width="8.5" style="7" customWidth="1"/>
    <col min="7433" max="7433" width="1.125" style="7" customWidth="1"/>
    <col min="7434" max="7680" width="10.125" style="7"/>
    <col min="7681" max="7681" width="3.125" style="7" customWidth="1"/>
    <col min="7682" max="7682" width="30.5" style="7" customWidth="1"/>
    <col min="7683" max="7683" width="8.75" style="7" customWidth="1"/>
    <col min="7684" max="7684" width="1.5" style="7" customWidth="1"/>
    <col min="7685" max="7685" width="10" style="7" customWidth="1"/>
    <col min="7686" max="7686" width="6.125" style="7" customWidth="1"/>
    <col min="7687" max="7687" width="7.25" style="7" customWidth="1"/>
    <col min="7688" max="7688" width="8.5" style="7" customWidth="1"/>
    <col min="7689" max="7689" width="1.125" style="7" customWidth="1"/>
    <col min="7690" max="7936" width="10.125" style="7"/>
    <col min="7937" max="7937" width="3.125" style="7" customWidth="1"/>
    <col min="7938" max="7938" width="30.5" style="7" customWidth="1"/>
    <col min="7939" max="7939" width="8.75" style="7" customWidth="1"/>
    <col min="7940" max="7940" width="1.5" style="7" customWidth="1"/>
    <col min="7941" max="7941" width="10" style="7" customWidth="1"/>
    <col min="7942" max="7942" width="6.125" style="7" customWidth="1"/>
    <col min="7943" max="7943" width="7.25" style="7" customWidth="1"/>
    <col min="7944" max="7944" width="8.5" style="7" customWidth="1"/>
    <col min="7945" max="7945" width="1.125" style="7" customWidth="1"/>
    <col min="7946" max="8192" width="10.125" style="7"/>
    <col min="8193" max="8193" width="3.125" style="7" customWidth="1"/>
    <col min="8194" max="8194" width="30.5" style="7" customWidth="1"/>
    <col min="8195" max="8195" width="8.75" style="7" customWidth="1"/>
    <col min="8196" max="8196" width="1.5" style="7" customWidth="1"/>
    <col min="8197" max="8197" width="10" style="7" customWidth="1"/>
    <col min="8198" max="8198" width="6.125" style="7" customWidth="1"/>
    <col min="8199" max="8199" width="7.25" style="7" customWidth="1"/>
    <col min="8200" max="8200" width="8.5" style="7" customWidth="1"/>
    <col min="8201" max="8201" width="1.125" style="7" customWidth="1"/>
    <col min="8202" max="8448" width="10.125" style="7"/>
    <col min="8449" max="8449" width="3.125" style="7" customWidth="1"/>
    <col min="8450" max="8450" width="30.5" style="7" customWidth="1"/>
    <col min="8451" max="8451" width="8.75" style="7" customWidth="1"/>
    <col min="8452" max="8452" width="1.5" style="7" customWidth="1"/>
    <col min="8453" max="8453" width="10" style="7" customWidth="1"/>
    <col min="8454" max="8454" width="6.125" style="7" customWidth="1"/>
    <col min="8455" max="8455" width="7.25" style="7" customWidth="1"/>
    <col min="8456" max="8456" width="8.5" style="7" customWidth="1"/>
    <col min="8457" max="8457" width="1.125" style="7" customWidth="1"/>
    <col min="8458" max="8704" width="10.125" style="7"/>
    <col min="8705" max="8705" width="3.125" style="7" customWidth="1"/>
    <col min="8706" max="8706" width="30.5" style="7" customWidth="1"/>
    <col min="8707" max="8707" width="8.75" style="7" customWidth="1"/>
    <col min="8708" max="8708" width="1.5" style="7" customWidth="1"/>
    <col min="8709" max="8709" width="10" style="7" customWidth="1"/>
    <col min="8710" max="8710" width="6.125" style="7" customWidth="1"/>
    <col min="8711" max="8711" width="7.25" style="7" customWidth="1"/>
    <col min="8712" max="8712" width="8.5" style="7" customWidth="1"/>
    <col min="8713" max="8713" width="1.125" style="7" customWidth="1"/>
    <col min="8714" max="8960" width="10.125" style="7"/>
    <col min="8961" max="8961" width="3.125" style="7" customWidth="1"/>
    <col min="8962" max="8962" width="30.5" style="7" customWidth="1"/>
    <col min="8963" max="8963" width="8.75" style="7" customWidth="1"/>
    <col min="8964" max="8964" width="1.5" style="7" customWidth="1"/>
    <col min="8965" max="8965" width="10" style="7" customWidth="1"/>
    <col min="8966" max="8966" width="6.125" style="7" customWidth="1"/>
    <col min="8967" max="8967" width="7.25" style="7" customWidth="1"/>
    <col min="8968" max="8968" width="8.5" style="7" customWidth="1"/>
    <col min="8969" max="8969" width="1.125" style="7" customWidth="1"/>
    <col min="8970" max="9216" width="10.125" style="7"/>
    <col min="9217" max="9217" width="3.125" style="7" customWidth="1"/>
    <col min="9218" max="9218" width="30.5" style="7" customWidth="1"/>
    <col min="9219" max="9219" width="8.75" style="7" customWidth="1"/>
    <col min="9220" max="9220" width="1.5" style="7" customWidth="1"/>
    <col min="9221" max="9221" width="10" style="7" customWidth="1"/>
    <col min="9222" max="9222" width="6.125" style="7" customWidth="1"/>
    <col min="9223" max="9223" width="7.25" style="7" customWidth="1"/>
    <col min="9224" max="9224" width="8.5" style="7" customWidth="1"/>
    <col min="9225" max="9225" width="1.125" style="7" customWidth="1"/>
    <col min="9226" max="9472" width="10.125" style="7"/>
    <col min="9473" max="9473" width="3.125" style="7" customWidth="1"/>
    <col min="9474" max="9474" width="30.5" style="7" customWidth="1"/>
    <col min="9475" max="9475" width="8.75" style="7" customWidth="1"/>
    <col min="9476" max="9476" width="1.5" style="7" customWidth="1"/>
    <col min="9477" max="9477" width="10" style="7" customWidth="1"/>
    <col min="9478" max="9478" width="6.125" style="7" customWidth="1"/>
    <col min="9479" max="9479" width="7.25" style="7" customWidth="1"/>
    <col min="9480" max="9480" width="8.5" style="7" customWidth="1"/>
    <col min="9481" max="9481" width="1.125" style="7" customWidth="1"/>
    <col min="9482" max="9728" width="10.125" style="7"/>
    <col min="9729" max="9729" width="3.125" style="7" customWidth="1"/>
    <col min="9730" max="9730" width="30.5" style="7" customWidth="1"/>
    <col min="9731" max="9731" width="8.75" style="7" customWidth="1"/>
    <col min="9732" max="9732" width="1.5" style="7" customWidth="1"/>
    <col min="9733" max="9733" width="10" style="7" customWidth="1"/>
    <col min="9734" max="9734" width="6.125" style="7" customWidth="1"/>
    <col min="9735" max="9735" width="7.25" style="7" customWidth="1"/>
    <col min="9736" max="9736" width="8.5" style="7" customWidth="1"/>
    <col min="9737" max="9737" width="1.125" style="7" customWidth="1"/>
    <col min="9738" max="9984" width="10.125" style="7"/>
    <col min="9985" max="9985" width="3.125" style="7" customWidth="1"/>
    <col min="9986" max="9986" width="30.5" style="7" customWidth="1"/>
    <col min="9987" max="9987" width="8.75" style="7" customWidth="1"/>
    <col min="9988" max="9988" width="1.5" style="7" customWidth="1"/>
    <col min="9989" max="9989" width="10" style="7" customWidth="1"/>
    <col min="9990" max="9990" width="6.125" style="7" customWidth="1"/>
    <col min="9991" max="9991" width="7.25" style="7" customWidth="1"/>
    <col min="9992" max="9992" width="8.5" style="7" customWidth="1"/>
    <col min="9993" max="9993" width="1.125" style="7" customWidth="1"/>
    <col min="9994" max="10240" width="10.125" style="7"/>
    <col min="10241" max="10241" width="3.125" style="7" customWidth="1"/>
    <col min="10242" max="10242" width="30.5" style="7" customWidth="1"/>
    <col min="10243" max="10243" width="8.75" style="7" customWidth="1"/>
    <col min="10244" max="10244" width="1.5" style="7" customWidth="1"/>
    <col min="10245" max="10245" width="10" style="7" customWidth="1"/>
    <col min="10246" max="10246" width="6.125" style="7" customWidth="1"/>
    <col min="10247" max="10247" width="7.25" style="7" customWidth="1"/>
    <col min="10248" max="10248" width="8.5" style="7" customWidth="1"/>
    <col min="10249" max="10249" width="1.125" style="7" customWidth="1"/>
    <col min="10250" max="10496" width="10.125" style="7"/>
    <col min="10497" max="10497" width="3.125" style="7" customWidth="1"/>
    <col min="10498" max="10498" width="30.5" style="7" customWidth="1"/>
    <col min="10499" max="10499" width="8.75" style="7" customWidth="1"/>
    <col min="10500" max="10500" width="1.5" style="7" customWidth="1"/>
    <col min="10501" max="10501" width="10" style="7" customWidth="1"/>
    <col min="10502" max="10502" width="6.125" style="7" customWidth="1"/>
    <col min="10503" max="10503" width="7.25" style="7" customWidth="1"/>
    <col min="10504" max="10504" width="8.5" style="7" customWidth="1"/>
    <col min="10505" max="10505" width="1.125" style="7" customWidth="1"/>
    <col min="10506" max="10752" width="10.125" style="7"/>
    <col min="10753" max="10753" width="3.125" style="7" customWidth="1"/>
    <col min="10754" max="10754" width="30.5" style="7" customWidth="1"/>
    <col min="10755" max="10755" width="8.75" style="7" customWidth="1"/>
    <col min="10756" max="10756" width="1.5" style="7" customWidth="1"/>
    <col min="10757" max="10757" width="10" style="7" customWidth="1"/>
    <col min="10758" max="10758" width="6.125" style="7" customWidth="1"/>
    <col min="10759" max="10759" width="7.25" style="7" customWidth="1"/>
    <col min="10760" max="10760" width="8.5" style="7" customWidth="1"/>
    <col min="10761" max="10761" width="1.125" style="7" customWidth="1"/>
    <col min="10762" max="11008" width="10.125" style="7"/>
    <col min="11009" max="11009" width="3.125" style="7" customWidth="1"/>
    <col min="11010" max="11010" width="30.5" style="7" customWidth="1"/>
    <col min="11011" max="11011" width="8.75" style="7" customWidth="1"/>
    <col min="11012" max="11012" width="1.5" style="7" customWidth="1"/>
    <col min="11013" max="11013" width="10" style="7" customWidth="1"/>
    <col min="11014" max="11014" width="6.125" style="7" customWidth="1"/>
    <col min="11015" max="11015" width="7.25" style="7" customWidth="1"/>
    <col min="11016" max="11016" width="8.5" style="7" customWidth="1"/>
    <col min="11017" max="11017" width="1.125" style="7" customWidth="1"/>
    <col min="11018" max="11264" width="10.125" style="7"/>
    <col min="11265" max="11265" width="3.125" style="7" customWidth="1"/>
    <col min="11266" max="11266" width="30.5" style="7" customWidth="1"/>
    <col min="11267" max="11267" width="8.75" style="7" customWidth="1"/>
    <col min="11268" max="11268" width="1.5" style="7" customWidth="1"/>
    <col min="11269" max="11269" width="10" style="7" customWidth="1"/>
    <col min="11270" max="11270" width="6.125" style="7" customWidth="1"/>
    <col min="11271" max="11271" width="7.25" style="7" customWidth="1"/>
    <col min="11272" max="11272" width="8.5" style="7" customWidth="1"/>
    <col min="11273" max="11273" width="1.125" style="7" customWidth="1"/>
    <col min="11274" max="11520" width="10.125" style="7"/>
    <col min="11521" max="11521" width="3.125" style="7" customWidth="1"/>
    <col min="11522" max="11522" width="30.5" style="7" customWidth="1"/>
    <col min="11523" max="11523" width="8.75" style="7" customWidth="1"/>
    <col min="11524" max="11524" width="1.5" style="7" customWidth="1"/>
    <col min="11525" max="11525" width="10" style="7" customWidth="1"/>
    <col min="11526" max="11526" width="6.125" style="7" customWidth="1"/>
    <col min="11527" max="11527" width="7.25" style="7" customWidth="1"/>
    <col min="11528" max="11528" width="8.5" style="7" customWidth="1"/>
    <col min="11529" max="11529" width="1.125" style="7" customWidth="1"/>
    <col min="11530" max="11776" width="10.125" style="7"/>
    <col min="11777" max="11777" width="3.125" style="7" customWidth="1"/>
    <col min="11778" max="11778" width="30.5" style="7" customWidth="1"/>
    <col min="11779" max="11779" width="8.75" style="7" customWidth="1"/>
    <col min="11780" max="11780" width="1.5" style="7" customWidth="1"/>
    <col min="11781" max="11781" width="10" style="7" customWidth="1"/>
    <col min="11782" max="11782" width="6.125" style="7" customWidth="1"/>
    <col min="11783" max="11783" width="7.25" style="7" customWidth="1"/>
    <col min="11784" max="11784" width="8.5" style="7" customWidth="1"/>
    <col min="11785" max="11785" width="1.125" style="7" customWidth="1"/>
    <col min="11786" max="12032" width="10.125" style="7"/>
    <col min="12033" max="12033" width="3.125" style="7" customWidth="1"/>
    <col min="12034" max="12034" width="30.5" style="7" customWidth="1"/>
    <col min="12035" max="12035" width="8.75" style="7" customWidth="1"/>
    <col min="12036" max="12036" width="1.5" style="7" customWidth="1"/>
    <col min="12037" max="12037" width="10" style="7" customWidth="1"/>
    <col min="12038" max="12038" width="6.125" style="7" customWidth="1"/>
    <col min="12039" max="12039" width="7.25" style="7" customWidth="1"/>
    <col min="12040" max="12040" width="8.5" style="7" customWidth="1"/>
    <col min="12041" max="12041" width="1.125" style="7" customWidth="1"/>
    <col min="12042" max="12288" width="10.125" style="7"/>
    <col min="12289" max="12289" width="3.125" style="7" customWidth="1"/>
    <col min="12290" max="12290" width="30.5" style="7" customWidth="1"/>
    <col min="12291" max="12291" width="8.75" style="7" customWidth="1"/>
    <col min="12292" max="12292" width="1.5" style="7" customWidth="1"/>
    <col min="12293" max="12293" width="10" style="7" customWidth="1"/>
    <col min="12294" max="12294" width="6.125" style="7" customWidth="1"/>
    <col min="12295" max="12295" width="7.25" style="7" customWidth="1"/>
    <col min="12296" max="12296" width="8.5" style="7" customWidth="1"/>
    <col min="12297" max="12297" width="1.125" style="7" customWidth="1"/>
    <col min="12298" max="12544" width="10.125" style="7"/>
    <col min="12545" max="12545" width="3.125" style="7" customWidth="1"/>
    <col min="12546" max="12546" width="30.5" style="7" customWidth="1"/>
    <col min="12547" max="12547" width="8.75" style="7" customWidth="1"/>
    <col min="12548" max="12548" width="1.5" style="7" customWidth="1"/>
    <col min="12549" max="12549" width="10" style="7" customWidth="1"/>
    <col min="12550" max="12550" width="6.125" style="7" customWidth="1"/>
    <col min="12551" max="12551" width="7.25" style="7" customWidth="1"/>
    <col min="12552" max="12552" width="8.5" style="7" customWidth="1"/>
    <col min="12553" max="12553" width="1.125" style="7" customWidth="1"/>
    <col min="12554" max="12800" width="10.125" style="7"/>
    <col min="12801" max="12801" width="3.125" style="7" customWidth="1"/>
    <col min="12802" max="12802" width="30.5" style="7" customWidth="1"/>
    <col min="12803" max="12803" width="8.75" style="7" customWidth="1"/>
    <col min="12804" max="12804" width="1.5" style="7" customWidth="1"/>
    <col min="12805" max="12805" width="10" style="7" customWidth="1"/>
    <col min="12806" max="12806" width="6.125" style="7" customWidth="1"/>
    <col min="12807" max="12807" width="7.25" style="7" customWidth="1"/>
    <col min="12808" max="12808" width="8.5" style="7" customWidth="1"/>
    <col min="12809" max="12809" width="1.125" style="7" customWidth="1"/>
    <col min="12810" max="13056" width="10.125" style="7"/>
    <col min="13057" max="13057" width="3.125" style="7" customWidth="1"/>
    <col min="13058" max="13058" width="30.5" style="7" customWidth="1"/>
    <col min="13059" max="13059" width="8.75" style="7" customWidth="1"/>
    <col min="13060" max="13060" width="1.5" style="7" customWidth="1"/>
    <col min="13061" max="13061" width="10" style="7" customWidth="1"/>
    <col min="13062" max="13062" width="6.125" style="7" customWidth="1"/>
    <col min="13063" max="13063" width="7.25" style="7" customWidth="1"/>
    <col min="13064" max="13064" width="8.5" style="7" customWidth="1"/>
    <col min="13065" max="13065" width="1.125" style="7" customWidth="1"/>
    <col min="13066" max="13312" width="10.125" style="7"/>
    <col min="13313" max="13313" width="3.125" style="7" customWidth="1"/>
    <col min="13314" max="13314" width="30.5" style="7" customWidth="1"/>
    <col min="13315" max="13315" width="8.75" style="7" customWidth="1"/>
    <col min="13316" max="13316" width="1.5" style="7" customWidth="1"/>
    <col min="13317" max="13317" width="10" style="7" customWidth="1"/>
    <col min="13318" max="13318" width="6.125" style="7" customWidth="1"/>
    <col min="13319" max="13319" width="7.25" style="7" customWidth="1"/>
    <col min="13320" max="13320" width="8.5" style="7" customWidth="1"/>
    <col min="13321" max="13321" width="1.125" style="7" customWidth="1"/>
    <col min="13322" max="13568" width="10.125" style="7"/>
    <col min="13569" max="13569" width="3.125" style="7" customWidth="1"/>
    <col min="13570" max="13570" width="30.5" style="7" customWidth="1"/>
    <col min="13571" max="13571" width="8.75" style="7" customWidth="1"/>
    <col min="13572" max="13572" width="1.5" style="7" customWidth="1"/>
    <col min="13573" max="13573" width="10" style="7" customWidth="1"/>
    <col min="13574" max="13574" width="6.125" style="7" customWidth="1"/>
    <col min="13575" max="13575" width="7.25" style="7" customWidth="1"/>
    <col min="13576" max="13576" width="8.5" style="7" customWidth="1"/>
    <col min="13577" max="13577" width="1.125" style="7" customWidth="1"/>
    <col min="13578" max="13824" width="10.125" style="7"/>
    <col min="13825" max="13825" width="3.125" style="7" customWidth="1"/>
    <col min="13826" max="13826" width="30.5" style="7" customWidth="1"/>
    <col min="13827" max="13827" width="8.75" style="7" customWidth="1"/>
    <col min="13828" max="13828" width="1.5" style="7" customWidth="1"/>
    <col min="13829" max="13829" width="10" style="7" customWidth="1"/>
    <col min="13830" max="13830" width="6.125" style="7" customWidth="1"/>
    <col min="13831" max="13831" width="7.25" style="7" customWidth="1"/>
    <col min="13832" max="13832" width="8.5" style="7" customWidth="1"/>
    <col min="13833" max="13833" width="1.125" style="7" customWidth="1"/>
    <col min="13834" max="14080" width="10.125" style="7"/>
    <col min="14081" max="14081" width="3.125" style="7" customWidth="1"/>
    <col min="14082" max="14082" width="30.5" style="7" customWidth="1"/>
    <col min="14083" max="14083" width="8.75" style="7" customWidth="1"/>
    <col min="14084" max="14084" width="1.5" style="7" customWidth="1"/>
    <col min="14085" max="14085" width="10" style="7" customWidth="1"/>
    <col min="14086" max="14086" width="6.125" style="7" customWidth="1"/>
    <col min="14087" max="14087" width="7.25" style="7" customWidth="1"/>
    <col min="14088" max="14088" width="8.5" style="7" customWidth="1"/>
    <col min="14089" max="14089" width="1.125" style="7" customWidth="1"/>
    <col min="14090" max="14336" width="10.125" style="7"/>
    <col min="14337" max="14337" width="3.125" style="7" customWidth="1"/>
    <col min="14338" max="14338" width="30.5" style="7" customWidth="1"/>
    <col min="14339" max="14339" width="8.75" style="7" customWidth="1"/>
    <col min="14340" max="14340" width="1.5" style="7" customWidth="1"/>
    <col min="14341" max="14341" width="10" style="7" customWidth="1"/>
    <col min="14342" max="14342" width="6.125" style="7" customWidth="1"/>
    <col min="14343" max="14343" width="7.25" style="7" customWidth="1"/>
    <col min="14344" max="14344" width="8.5" style="7" customWidth="1"/>
    <col min="14345" max="14345" width="1.125" style="7" customWidth="1"/>
    <col min="14346" max="14592" width="10.125" style="7"/>
    <col min="14593" max="14593" width="3.125" style="7" customWidth="1"/>
    <col min="14594" max="14594" width="30.5" style="7" customWidth="1"/>
    <col min="14595" max="14595" width="8.75" style="7" customWidth="1"/>
    <col min="14596" max="14596" width="1.5" style="7" customWidth="1"/>
    <col min="14597" max="14597" width="10" style="7" customWidth="1"/>
    <col min="14598" max="14598" width="6.125" style="7" customWidth="1"/>
    <col min="14599" max="14599" width="7.25" style="7" customWidth="1"/>
    <col min="14600" max="14600" width="8.5" style="7" customWidth="1"/>
    <col min="14601" max="14601" width="1.125" style="7" customWidth="1"/>
    <col min="14602" max="14848" width="10.125" style="7"/>
    <col min="14849" max="14849" width="3.125" style="7" customWidth="1"/>
    <col min="14850" max="14850" width="30.5" style="7" customWidth="1"/>
    <col min="14851" max="14851" width="8.75" style="7" customWidth="1"/>
    <col min="14852" max="14852" width="1.5" style="7" customWidth="1"/>
    <col min="14853" max="14853" width="10" style="7" customWidth="1"/>
    <col min="14854" max="14854" width="6.125" style="7" customWidth="1"/>
    <col min="14855" max="14855" width="7.25" style="7" customWidth="1"/>
    <col min="14856" max="14856" width="8.5" style="7" customWidth="1"/>
    <col min="14857" max="14857" width="1.125" style="7" customWidth="1"/>
    <col min="14858" max="15104" width="10.125" style="7"/>
    <col min="15105" max="15105" width="3.125" style="7" customWidth="1"/>
    <col min="15106" max="15106" width="30.5" style="7" customWidth="1"/>
    <col min="15107" max="15107" width="8.75" style="7" customWidth="1"/>
    <col min="15108" max="15108" width="1.5" style="7" customWidth="1"/>
    <col min="15109" max="15109" width="10" style="7" customWidth="1"/>
    <col min="15110" max="15110" width="6.125" style="7" customWidth="1"/>
    <col min="15111" max="15111" width="7.25" style="7" customWidth="1"/>
    <col min="15112" max="15112" width="8.5" style="7" customWidth="1"/>
    <col min="15113" max="15113" width="1.125" style="7" customWidth="1"/>
    <col min="15114" max="15360" width="10.125" style="7"/>
    <col min="15361" max="15361" width="3.125" style="7" customWidth="1"/>
    <col min="15362" max="15362" width="30.5" style="7" customWidth="1"/>
    <col min="15363" max="15363" width="8.75" style="7" customWidth="1"/>
    <col min="15364" max="15364" width="1.5" style="7" customWidth="1"/>
    <col min="15365" max="15365" width="10" style="7" customWidth="1"/>
    <col min="15366" max="15366" width="6.125" style="7" customWidth="1"/>
    <col min="15367" max="15367" width="7.25" style="7" customWidth="1"/>
    <col min="15368" max="15368" width="8.5" style="7" customWidth="1"/>
    <col min="15369" max="15369" width="1.125" style="7" customWidth="1"/>
    <col min="15370" max="15616" width="10.125" style="7"/>
    <col min="15617" max="15617" width="3.125" style="7" customWidth="1"/>
    <col min="15618" max="15618" width="30.5" style="7" customWidth="1"/>
    <col min="15619" max="15619" width="8.75" style="7" customWidth="1"/>
    <col min="15620" max="15620" width="1.5" style="7" customWidth="1"/>
    <col min="15621" max="15621" width="10" style="7" customWidth="1"/>
    <col min="15622" max="15622" width="6.125" style="7" customWidth="1"/>
    <col min="15623" max="15623" width="7.25" style="7" customWidth="1"/>
    <col min="15624" max="15624" width="8.5" style="7" customWidth="1"/>
    <col min="15625" max="15625" width="1.125" style="7" customWidth="1"/>
    <col min="15626" max="15872" width="10.125" style="7"/>
    <col min="15873" max="15873" width="3.125" style="7" customWidth="1"/>
    <col min="15874" max="15874" width="30.5" style="7" customWidth="1"/>
    <col min="15875" max="15875" width="8.75" style="7" customWidth="1"/>
    <col min="15876" max="15876" width="1.5" style="7" customWidth="1"/>
    <col min="15877" max="15877" width="10" style="7" customWidth="1"/>
    <col min="15878" max="15878" width="6.125" style="7" customWidth="1"/>
    <col min="15879" max="15879" width="7.25" style="7" customWidth="1"/>
    <col min="15880" max="15880" width="8.5" style="7" customWidth="1"/>
    <col min="15881" max="15881" width="1.125" style="7" customWidth="1"/>
    <col min="15882" max="16128" width="10.125" style="7"/>
    <col min="16129" max="16129" width="3.125" style="7" customWidth="1"/>
    <col min="16130" max="16130" width="30.5" style="7" customWidth="1"/>
    <col min="16131" max="16131" width="8.75" style="7" customWidth="1"/>
    <col min="16132" max="16132" width="1.5" style="7" customWidth="1"/>
    <col min="16133" max="16133" width="10" style="7" customWidth="1"/>
    <col min="16134" max="16134" width="6.125" style="7" customWidth="1"/>
    <col min="16135" max="16135" width="7.25" style="7" customWidth="1"/>
    <col min="16136" max="16136" width="8.5" style="7" customWidth="1"/>
    <col min="16137" max="16137" width="1.125" style="7" customWidth="1"/>
    <col min="16138" max="16384" width="10.125" style="7"/>
  </cols>
  <sheetData>
    <row r="5" spans="1:20" x14ac:dyDescent="0.25">
      <c r="A5" s="109" t="s">
        <v>0</v>
      </c>
      <c r="B5" s="110"/>
      <c r="C5" s="110"/>
    </row>
    <row r="6" spans="1:20" ht="9" customHeight="1" x14ac:dyDescent="0.25">
      <c r="A6" s="109"/>
      <c r="B6" s="110"/>
      <c r="C6" s="110"/>
    </row>
    <row r="7" spans="1:20" x14ac:dyDescent="0.25">
      <c r="A7" s="7" t="s">
        <v>1</v>
      </c>
      <c r="B7" s="8"/>
      <c r="E7" s="131" t="s">
        <v>2</v>
      </c>
      <c r="F7" s="132"/>
      <c r="G7" s="133">
        <v>45951</v>
      </c>
      <c r="H7" s="134"/>
    </row>
    <row r="8" spans="1:20" x14ac:dyDescent="0.25">
      <c r="A8" s="7" t="s">
        <v>53</v>
      </c>
      <c r="B8" s="8"/>
      <c r="E8" s="135" t="s">
        <v>3</v>
      </c>
      <c r="F8" s="136"/>
      <c r="H8" s="11">
        <v>60431</v>
      </c>
    </row>
    <row r="9" spans="1:20" x14ac:dyDescent="0.25">
      <c r="A9" s="7" t="s">
        <v>54</v>
      </c>
      <c r="B9" s="8"/>
      <c r="E9" s="135" t="s">
        <v>4</v>
      </c>
      <c r="F9" s="136"/>
      <c r="G9" s="137" t="s">
        <v>131</v>
      </c>
      <c r="H9" s="138"/>
    </row>
    <row r="10" spans="1:20" x14ac:dyDescent="0.25">
      <c r="B10" s="8"/>
      <c r="E10" s="13" t="s">
        <v>5</v>
      </c>
      <c r="F10" s="14"/>
      <c r="G10" s="139" t="s">
        <v>32</v>
      </c>
      <c r="H10" s="140"/>
      <c r="L10" s="7">
        <v>34</v>
      </c>
      <c r="M10" s="7" t="s">
        <v>33</v>
      </c>
      <c r="N10" s="44"/>
      <c r="O10" s="45"/>
      <c r="P10" s="46"/>
      <c r="R10" s="47"/>
      <c r="S10" s="28"/>
    </row>
    <row r="11" spans="1:20" x14ac:dyDescent="0.25">
      <c r="A11" s="15" t="s">
        <v>55</v>
      </c>
      <c r="B11" s="8"/>
      <c r="E11" s="10" t="s">
        <v>6</v>
      </c>
      <c r="F11" s="125" t="s">
        <v>7</v>
      </c>
      <c r="G11" s="125"/>
      <c r="H11" s="126"/>
      <c r="M11" s="7" t="s">
        <v>34</v>
      </c>
      <c r="O11" s="45"/>
    </row>
    <row r="12" spans="1:20" x14ac:dyDescent="0.25">
      <c r="A12" s="15"/>
      <c r="B12" s="8"/>
      <c r="E12" s="13" t="s">
        <v>8</v>
      </c>
      <c r="F12" s="127" t="s">
        <v>9</v>
      </c>
      <c r="G12" s="127"/>
      <c r="H12" s="128"/>
      <c r="M12" s="48" t="s">
        <v>35</v>
      </c>
      <c r="P12" s="49">
        <v>50</v>
      </c>
      <c r="Q12" s="47" t="s">
        <v>36</v>
      </c>
      <c r="R12" s="50">
        <v>0.5</v>
      </c>
      <c r="S12" s="28">
        <f>+R12*P12</f>
        <v>25</v>
      </c>
    </row>
    <row r="13" spans="1:20" x14ac:dyDescent="0.25">
      <c r="A13" s="15"/>
      <c r="B13" s="8"/>
      <c r="F13" s="51"/>
      <c r="G13" s="51"/>
      <c r="H13" s="51"/>
      <c r="M13" s="7" t="s">
        <v>37</v>
      </c>
      <c r="P13" s="49"/>
      <c r="Q13" s="47"/>
      <c r="R13" s="50"/>
      <c r="S13" s="28"/>
    </row>
    <row r="14" spans="1:20" x14ac:dyDescent="0.25">
      <c r="A14" s="15"/>
      <c r="B14" s="8"/>
      <c r="F14" s="51"/>
      <c r="G14" s="51"/>
      <c r="H14" s="51"/>
    </row>
    <row r="15" spans="1:20" x14ac:dyDescent="0.25">
      <c r="A15" s="15"/>
      <c r="B15" s="8"/>
      <c r="F15" s="51"/>
      <c r="G15" s="51"/>
      <c r="H15" s="51"/>
      <c r="M15" s="52" t="s">
        <v>45</v>
      </c>
      <c r="N15" s="53" t="s">
        <v>46</v>
      </c>
      <c r="O15" s="44"/>
      <c r="P15" s="45"/>
      <c r="Q15" s="54">
        <v>18</v>
      </c>
      <c r="R15" s="28"/>
      <c r="S15" s="47">
        <v>2</v>
      </c>
      <c r="T15" s="28">
        <f>+S15*Q15</f>
        <v>36</v>
      </c>
    </row>
    <row r="16" spans="1:20" s="15" customFormat="1" ht="14.25" x14ac:dyDescent="0.2">
      <c r="A16" s="129" t="s">
        <v>10</v>
      </c>
      <c r="B16" s="129"/>
      <c r="C16" s="129"/>
      <c r="D16" s="129"/>
      <c r="E16" s="129"/>
      <c r="F16" s="129"/>
      <c r="G16" s="129"/>
      <c r="H16" s="129"/>
    </row>
    <row r="17" spans="1:8" s="15" customFormat="1" ht="14.25" x14ac:dyDescent="0.2">
      <c r="A17" s="19"/>
      <c r="B17" s="19"/>
      <c r="C17" s="19"/>
      <c r="D17" s="19"/>
      <c r="E17" s="19"/>
      <c r="F17" s="19"/>
      <c r="G17" s="19"/>
      <c r="H17" s="19"/>
    </row>
    <row r="18" spans="1:8" s="15" customFormat="1" ht="14.25" x14ac:dyDescent="0.2">
      <c r="A18" s="19"/>
      <c r="B18" s="19"/>
      <c r="C18" s="19"/>
      <c r="D18" s="19"/>
      <c r="E18" s="19"/>
      <c r="F18" s="19"/>
      <c r="G18" s="19"/>
      <c r="H18" s="19"/>
    </row>
    <row r="19" spans="1:8" x14ac:dyDescent="0.25">
      <c r="A19" s="7" t="s">
        <v>38</v>
      </c>
      <c r="B19" s="8"/>
      <c r="F19" s="9"/>
      <c r="G19" s="18"/>
    </row>
    <row r="20" spans="1:8" x14ac:dyDescent="0.25">
      <c r="A20" s="7" t="s">
        <v>39</v>
      </c>
      <c r="B20" s="8"/>
      <c r="F20" s="9"/>
      <c r="G20" s="18"/>
    </row>
    <row r="21" spans="1:8" ht="9" customHeight="1" x14ac:dyDescent="0.25"/>
    <row r="22" spans="1:8" x14ac:dyDescent="0.25">
      <c r="A22" s="20" t="s">
        <v>13</v>
      </c>
      <c r="B22" s="21"/>
      <c r="C22" s="20"/>
      <c r="E22" s="9" t="s">
        <v>40</v>
      </c>
      <c r="F22" s="17" t="s">
        <v>15</v>
      </c>
      <c r="G22" s="9" t="s">
        <v>41</v>
      </c>
      <c r="H22" s="17" t="s">
        <v>17</v>
      </c>
    </row>
    <row r="23" spans="1:8" x14ac:dyDescent="0.25">
      <c r="A23" s="23" t="s">
        <v>18</v>
      </c>
      <c r="B23" s="23"/>
      <c r="C23" s="22" t="s">
        <v>42</v>
      </c>
      <c r="D23" s="24"/>
      <c r="E23" s="24" t="s">
        <v>43</v>
      </c>
      <c r="F23" s="16"/>
      <c r="G23" s="24" t="s">
        <v>44</v>
      </c>
      <c r="H23" s="14"/>
    </row>
    <row r="24" spans="1:8" x14ac:dyDescent="0.25">
      <c r="A24" s="7">
        <v>34</v>
      </c>
      <c r="B24" s="7" t="s">
        <v>125</v>
      </c>
      <c r="D24" s="45"/>
      <c r="E24" s="26"/>
      <c r="F24" s="28"/>
      <c r="G24" s="47"/>
      <c r="H24" s="28"/>
    </row>
    <row r="25" spans="1:8" x14ac:dyDescent="0.25">
      <c r="A25" s="12" t="s">
        <v>45</v>
      </c>
      <c r="B25" s="53" t="s">
        <v>126</v>
      </c>
      <c r="C25" s="44"/>
      <c r="D25" s="45"/>
      <c r="E25" s="7"/>
      <c r="F25" s="7"/>
    </row>
    <row r="26" spans="1:8" x14ac:dyDescent="0.25">
      <c r="B26" s="111">
        <v>45839</v>
      </c>
      <c r="C26" s="44">
        <v>45860</v>
      </c>
      <c r="E26" s="54">
        <v>28</v>
      </c>
      <c r="F26" s="28"/>
      <c r="G26" s="47">
        <v>2</v>
      </c>
      <c r="H26" s="28">
        <f>+G26*E26</f>
        <v>56</v>
      </c>
    </row>
    <row r="27" spans="1:8" x14ac:dyDescent="0.25">
      <c r="B27" s="111">
        <v>45870</v>
      </c>
      <c r="C27" s="44">
        <v>45894</v>
      </c>
      <c r="D27" s="7"/>
      <c r="E27" s="54">
        <v>28</v>
      </c>
      <c r="F27" s="28"/>
      <c r="G27" s="47">
        <v>2</v>
      </c>
      <c r="H27" s="28">
        <f t="shared" ref="H27:H28" si="0">+G27*E27</f>
        <v>56</v>
      </c>
    </row>
    <row r="28" spans="1:8" x14ac:dyDescent="0.25">
      <c r="B28" s="111">
        <v>45901</v>
      </c>
      <c r="C28" s="44">
        <v>45919</v>
      </c>
      <c r="D28" s="45"/>
      <c r="E28" s="54">
        <v>28</v>
      </c>
      <c r="F28" s="28"/>
      <c r="G28" s="47">
        <v>2</v>
      </c>
      <c r="H28" s="28">
        <f t="shared" si="0"/>
        <v>56</v>
      </c>
    </row>
    <row r="29" spans="1:8" x14ac:dyDescent="0.25">
      <c r="A29" s="12"/>
      <c r="B29" s="111"/>
      <c r="C29" s="44"/>
      <c r="D29" s="45"/>
      <c r="E29" s="54"/>
      <c r="F29" s="28"/>
      <c r="G29" s="47"/>
      <c r="H29" s="28"/>
    </row>
    <row r="30" spans="1:8" x14ac:dyDescent="0.25">
      <c r="A30" s="12"/>
      <c r="B30" s="111"/>
      <c r="C30" s="44"/>
      <c r="D30" s="45"/>
      <c r="E30" s="54"/>
      <c r="F30" s="28"/>
      <c r="G30" s="47"/>
      <c r="H30" s="28"/>
    </row>
    <row r="31" spans="1:8" x14ac:dyDescent="0.25">
      <c r="B31" s="111"/>
      <c r="C31" s="44"/>
      <c r="D31" s="45"/>
      <c r="E31" s="54"/>
      <c r="F31" s="28"/>
      <c r="G31" s="47"/>
      <c r="H31" s="28"/>
    </row>
    <row r="32" spans="1:8" x14ac:dyDescent="0.25">
      <c r="A32" s="12"/>
      <c r="C32" s="44"/>
      <c r="D32" s="45"/>
      <c r="E32" s="54"/>
      <c r="F32" s="28"/>
      <c r="G32" s="47"/>
      <c r="H32" s="28"/>
    </row>
    <row r="33" spans="1:10" x14ac:dyDescent="0.25">
      <c r="A33" s="12"/>
      <c r="C33" s="44"/>
      <c r="D33" s="45"/>
      <c r="E33" s="54"/>
      <c r="F33" s="28"/>
      <c r="G33" s="47"/>
      <c r="H33" s="28"/>
    </row>
    <row r="34" spans="1:10" ht="9" customHeight="1" x14ac:dyDescent="0.25">
      <c r="A34" s="12"/>
      <c r="B34" s="53"/>
      <c r="C34" s="44"/>
      <c r="D34" s="45"/>
      <c r="E34" s="54"/>
      <c r="F34" s="28"/>
      <c r="G34" s="47"/>
      <c r="H34" s="28"/>
    </row>
    <row r="35" spans="1:10" x14ac:dyDescent="0.25">
      <c r="A35" s="7">
        <v>16</v>
      </c>
      <c r="B35" s="7" t="s">
        <v>23</v>
      </c>
      <c r="C35" s="56" t="s">
        <v>132</v>
      </c>
      <c r="D35" s="7"/>
      <c r="E35" s="41">
        <f>SUM(H24:H34)</f>
        <v>168</v>
      </c>
      <c r="F35" s="26"/>
      <c r="G35" s="17">
        <f>+E35*0.2</f>
        <v>33.6</v>
      </c>
      <c r="H35" s="41">
        <f>+G35</f>
        <v>33.6</v>
      </c>
    </row>
    <row r="36" spans="1:10" x14ac:dyDescent="0.25">
      <c r="A36" s="23"/>
      <c r="B36" s="23" t="s">
        <v>24</v>
      </c>
      <c r="C36" s="23"/>
      <c r="D36" s="23"/>
      <c r="E36" s="24"/>
      <c r="F36" s="16"/>
      <c r="G36" s="57"/>
      <c r="H36" s="58"/>
    </row>
    <row r="37" spans="1:10" ht="15.75" customHeight="1" x14ac:dyDescent="0.25">
      <c r="E37" s="7" t="s">
        <v>25</v>
      </c>
      <c r="F37" s="9"/>
      <c r="G37" s="12"/>
      <c r="H37" s="41">
        <f>SUM(H24:H36)</f>
        <v>201.6</v>
      </c>
      <c r="J37" s="59"/>
    </row>
    <row r="38" spans="1:10" ht="15.75" customHeight="1" x14ac:dyDescent="0.25">
      <c r="E38" s="7" t="s">
        <v>26</v>
      </c>
      <c r="F38" s="9"/>
      <c r="H38" s="41">
        <f>+H37*0.19</f>
        <v>38.304000000000002</v>
      </c>
    </row>
    <row r="39" spans="1:10" ht="15.75" thickBot="1" x14ac:dyDescent="0.3">
      <c r="E39" s="34" t="s">
        <v>27</v>
      </c>
      <c r="F39" s="35"/>
      <c r="G39" s="60"/>
      <c r="H39" s="61">
        <f>SUM(H37:H38)</f>
        <v>239.904</v>
      </c>
    </row>
    <row r="40" spans="1:10" ht="7.5" customHeight="1" thickTop="1" x14ac:dyDescent="0.25">
      <c r="E40" s="38"/>
      <c r="F40" s="17"/>
      <c r="G40" s="9"/>
      <c r="H40" s="41"/>
    </row>
    <row r="41" spans="1:10" x14ac:dyDescent="0.25">
      <c r="A41" s="7" t="s">
        <v>48</v>
      </c>
      <c r="B41" s="8"/>
    </row>
    <row r="44" spans="1:10" ht="14.25" customHeight="1" x14ac:dyDescent="0.25"/>
    <row r="45" spans="1:10" x14ac:dyDescent="0.25">
      <c r="B45" s="23"/>
    </row>
    <row r="48" spans="1:10" x14ac:dyDescent="0.25">
      <c r="D48" s="7"/>
      <c r="E48" s="7"/>
      <c r="F48" s="7"/>
    </row>
    <row r="49" spans="1:8" x14ac:dyDescent="0.25">
      <c r="D49" s="7"/>
      <c r="E49" s="7"/>
      <c r="F49" s="7"/>
    </row>
    <row r="50" spans="1:8" x14ac:dyDescent="0.25">
      <c r="A50" s="143" t="s">
        <v>127</v>
      </c>
      <c r="B50" s="143"/>
      <c r="C50" s="143"/>
      <c r="D50" s="143"/>
      <c r="E50" s="143"/>
      <c r="F50" s="143"/>
      <c r="G50" s="143"/>
      <c r="H50" s="143"/>
    </row>
  </sheetData>
  <mergeCells count="10">
    <mergeCell ref="F11:H11"/>
    <mergeCell ref="F12:H12"/>
    <mergeCell ref="A16:H16"/>
    <mergeCell ref="A50:H50"/>
    <mergeCell ref="E7:F7"/>
    <mergeCell ref="G7:H7"/>
    <mergeCell ref="E8:F8"/>
    <mergeCell ref="E9:F9"/>
    <mergeCell ref="G9:H9"/>
    <mergeCell ref="G10:H10"/>
  </mergeCells>
  <pageMargins left="0.78740157480314965" right="0.78740157480314965" top="0.98425196850393704" bottom="0.98425196850393704" header="0.51181102362204722" footer="0.51181102362204722"/>
  <pageSetup paperSize="9" orientation="portrait" horizontalDpi="300" verticalDpi="300" r:id="rId1"/>
  <headerFooter alignWithMargins="0">
    <oddHeader>&amp;C&amp;"Times New Roman,Standard"&amp;16Hartmut Ahting
Steuerberater
Diplom-Wirtschaftsingenieur</oddHeader>
    <oddFooter>&amp;L&amp;"Times New Roman,Standard"Heerstrasse 50
60488 Frankfurt
&amp;C&amp;"Times New Roman,Standard"Deutsche Bank
BLZ 500 700 24
Konto 409 28 62&amp;R&amp;"Times New Roman,Standard"Tel:      069 / 788 031-71
Fax:     069 / 788 031-72
Mobil: 0174 / 326 99 58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CD7A4-8009-427F-BDC6-608FE0319F91}">
  <dimension ref="A5:L49"/>
  <sheetViews>
    <sheetView workbookViewId="0">
      <selection activeCell="A30" sqref="A30:H31"/>
    </sheetView>
  </sheetViews>
  <sheetFormatPr baseColWidth="10" defaultColWidth="10.125" defaultRowHeight="15.75" x14ac:dyDescent="0.25"/>
  <cols>
    <col min="1" max="1" width="3.125" style="1" customWidth="1"/>
    <col min="2" max="2" width="29.5" style="1" customWidth="1"/>
    <col min="3" max="3" width="10" style="1" customWidth="1"/>
    <col min="4" max="4" width="1.5" style="2" customWidth="1"/>
    <col min="5" max="5" width="10.75" style="3" customWidth="1"/>
    <col min="6" max="6" width="6.375" style="6" customWidth="1"/>
    <col min="7" max="7" width="6.75" style="1" customWidth="1"/>
    <col min="8" max="8" width="8.75" style="1" customWidth="1"/>
    <col min="9" max="10" width="10.125" style="1"/>
    <col min="11" max="11" width="10.625" style="1" bestFit="1" customWidth="1"/>
    <col min="12" max="256" width="10.125" style="1"/>
    <col min="257" max="257" width="3.125" style="1" customWidth="1"/>
    <col min="258" max="258" width="29.5" style="1" customWidth="1"/>
    <col min="259" max="259" width="8.75" style="1" customWidth="1"/>
    <col min="260" max="260" width="1.5" style="1" customWidth="1"/>
    <col min="261" max="261" width="10.75" style="1" customWidth="1"/>
    <col min="262" max="262" width="6.375" style="1" customWidth="1"/>
    <col min="263" max="263" width="6.75" style="1" customWidth="1"/>
    <col min="264" max="264" width="8.75" style="1" customWidth="1"/>
    <col min="265" max="266" width="10.125" style="1"/>
    <col min="267" max="267" width="10.625" style="1" bestFit="1" customWidth="1"/>
    <col min="268" max="512" width="10.125" style="1"/>
    <col min="513" max="513" width="3.125" style="1" customWidth="1"/>
    <col min="514" max="514" width="29.5" style="1" customWidth="1"/>
    <col min="515" max="515" width="8.75" style="1" customWidth="1"/>
    <col min="516" max="516" width="1.5" style="1" customWidth="1"/>
    <col min="517" max="517" width="10.75" style="1" customWidth="1"/>
    <col min="518" max="518" width="6.375" style="1" customWidth="1"/>
    <col min="519" max="519" width="6.75" style="1" customWidth="1"/>
    <col min="520" max="520" width="8.75" style="1" customWidth="1"/>
    <col min="521" max="522" width="10.125" style="1"/>
    <col min="523" max="523" width="10.625" style="1" bestFit="1" customWidth="1"/>
    <col min="524" max="768" width="10.125" style="1"/>
    <col min="769" max="769" width="3.125" style="1" customWidth="1"/>
    <col min="770" max="770" width="29.5" style="1" customWidth="1"/>
    <col min="771" max="771" width="8.75" style="1" customWidth="1"/>
    <col min="772" max="772" width="1.5" style="1" customWidth="1"/>
    <col min="773" max="773" width="10.75" style="1" customWidth="1"/>
    <col min="774" max="774" width="6.375" style="1" customWidth="1"/>
    <col min="775" max="775" width="6.75" style="1" customWidth="1"/>
    <col min="776" max="776" width="8.75" style="1" customWidth="1"/>
    <col min="777" max="778" width="10.125" style="1"/>
    <col min="779" max="779" width="10.625" style="1" bestFit="1" customWidth="1"/>
    <col min="780" max="1024" width="10.125" style="1"/>
    <col min="1025" max="1025" width="3.125" style="1" customWidth="1"/>
    <col min="1026" max="1026" width="29.5" style="1" customWidth="1"/>
    <col min="1027" max="1027" width="8.75" style="1" customWidth="1"/>
    <col min="1028" max="1028" width="1.5" style="1" customWidth="1"/>
    <col min="1029" max="1029" width="10.75" style="1" customWidth="1"/>
    <col min="1030" max="1030" width="6.375" style="1" customWidth="1"/>
    <col min="1031" max="1031" width="6.75" style="1" customWidth="1"/>
    <col min="1032" max="1032" width="8.75" style="1" customWidth="1"/>
    <col min="1033" max="1034" width="10.125" style="1"/>
    <col min="1035" max="1035" width="10.625" style="1" bestFit="1" customWidth="1"/>
    <col min="1036" max="1280" width="10.125" style="1"/>
    <col min="1281" max="1281" width="3.125" style="1" customWidth="1"/>
    <col min="1282" max="1282" width="29.5" style="1" customWidth="1"/>
    <col min="1283" max="1283" width="8.75" style="1" customWidth="1"/>
    <col min="1284" max="1284" width="1.5" style="1" customWidth="1"/>
    <col min="1285" max="1285" width="10.75" style="1" customWidth="1"/>
    <col min="1286" max="1286" width="6.375" style="1" customWidth="1"/>
    <col min="1287" max="1287" width="6.75" style="1" customWidth="1"/>
    <col min="1288" max="1288" width="8.75" style="1" customWidth="1"/>
    <col min="1289" max="1290" width="10.125" style="1"/>
    <col min="1291" max="1291" width="10.625" style="1" bestFit="1" customWidth="1"/>
    <col min="1292" max="1536" width="10.125" style="1"/>
    <col min="1537" max="1537" width="3.125" style="1" customWidth="1"/>
    <col min="1538" max="1538" width="29.5" style="1" customWidth="1"/>
    <col min="1539" max="1539" width="8.75" style="1" customWidth="1"/>
    <col min="1540" max="1540" width="1.5" style="1" customWidth="1"/>
    <col min="1541" max="1541" width="10.75" style="1" customWidth="1"/>
    <col min="1542" max="1542" width="6.375" style="1" customWidth="1"/>
    <col min="1543" max="1543" width="6.75" style="1" customWidth="1"/>
    <col min="1544" max="1544" width="8.75" style="1" customWidth="1"/>
    <col min="1545" max="1546" width="10.125" style="1"/>
    <col min="1547" max="1547" width="10.625" style="1" bestFit="1" customWidth="1"/>
    <col min="1548" max="1792" width="10.125" style="1"/>
    <col min="1793" max="1793" width="3.125" style="1" customWidth="1"/>
    <col min="1794" max="1794" width="29.5" style="1" customWidth="1"/>
    <col min="1795" max="1795" width="8.75" style="1" customWidth="1"/>
    <col min="1796" max="1796" width="1.5" style="1" customWidth="1"/>
    <col min="1797" max="1797" width="10.75" style="1" customWidth="1"/>
    <col min="1798" max="1798" width="6.375" style="1" customWidth="1"/>
    <col min="1799" max="1799" width="6.75" style="1" customWidth="1"/>
    <col min="1800" max="1800" width="8.75" style="1" customWidth="1"/>
    <col min="1801" max="1802" width="10.125" style="1"/>
    <col min="1803" max="1803" width="10.625" style="1" bestFit="1" customWidth="1"/>
    <col min="1804" max="2048" width="10.125" style="1"/>
    <col min="2049" max="2049" width="3.125" style="1" customWidth="1"/>
    <col min="2050" max="2050" width="29.5" style="1" customWidth="1"/>
    <col min="2051" max="2051" width="8.75" style="1" customWidth="1"/>
    <col min="2052" max="2052" width="1.5" style="1" customWidth="1"/>
    <col min="2053" max="2053" width="10.75" style="1" customWidth="1"/>
    <col min="2054" max="2054" width="6.375" style="1" customWidth="1"/>
    <col min="2055" max="2055" width="6.75" style="1" customWidth="1"/>
    <col min="2056" max="2056" width="8.75" style="1" customWidth="1"/>
    <col min="2057" max="2058" width="10.125" style="1"/>
    <col min="2059" max="2059" width="10.625" style="1" bestFit="1" customWidth="1"/>
    <col min="2060" max="2304" width="10.125" style="1"/>
    <col min="2305" max="2305" width="3.125" style="1" customWidth="1"/>
    <col min="2306" max="2306" width="29.5" style="1" customWidth="1"/>
    <col min="2307" max="2307" width="8.75" style="1" customWidth="1"/>
    <col min="2308" max="2308" width="1.5" style="1" customWidth="1"/>
    <col min="2309" max="2309" width="10.75" style="1" customWidth="1"/>
    <col min="2310" max="2310" width="6.375" style="1" customWidth="1"/>
    <col min="2311" max="2311" width="6.75" style="1" customWidth="1"/>
    <col min="2312" max="2312" width="8.75" style="1" customWidth="1"/>
    <col min="2313" max="2314" width="10.125" style="1"/>
    <col min="2315" max="2315" width="10.625" style="1" bestFit="1" customWidth="1"/>
    <col min="2316" max="2560" width="10.125" style="1"/>
    <col min="2561" max="2561" width="3.125" style="1" customWidth="1"/>
    <col min="2562" max="2562" width="29.5" style="1" customWidth="1"/>
    <col min="2563" max="2563" width="8.75" style="1" customWidth="1"/>
    <col min="2564" max="2564" width="1.5" style="1" customWidth="1"/>
    <col min="2565" max="2565" width="10.75" style="1" customWidth="1"/>
    <col min="2566" max="2566" width="6.375" style="1" customWidth="1"/>
    <col min="2567" max="2567" width="6.75" style="1" customWidth="1"/>
    <col min="2568" max="2568" width="8.75" style="1" customWidth="1"/>
    <col min="2569" max="2570" width="10.125" style="1"/>
    <col min="2571" max="2571" width="10.625" style="1" bestFit="1" customWidth="1"/>
    <col min="2572" max="2816" width="10.125" style="1"/>
    <col min="2817" max="2817" width="3.125" style="1" customWidth="1"/>
    <col min="2818" max="2818" width="29.5" style="1" customWidth="1"/>
    <col min="2819" max="2819" width="8.75" style="1" customWidth="1"/>
    <col min="2820" max="2820" width="1.5" style="1" customWidth="1"/>
    <col min="2821" max="2821" width="10.75" style="1" customWidth="1"/>
    <col min="2822" max="2822" width="6.375" style="1" customWidth="1"/>
    <col min="2823" max="2823" width="6.75" style="1" customWidth="1"/>
    <col min="2824" max="2824" width="8.75" style="1" customWidth="1"/>
    <col min="2825" max="2826" width="10.125" style="1"/>
    <col min="2827" max="2827" width="10.625" style="1" bestFit="1" customWidth="1"/>
    <col min="2828" max="3072" width="10.125" style="1"/>
    <col min="3073" max="3073" width="3.125" style="1" customWidth="1"/>
    <col min="3074" max="3074" width="29.5" style="1" customWidth="1"/>
    <col min="3075" max="3075" width="8.75" style="1" customWidth="1"/>
    <col min="3076" max="3076" width="1.5" style="1" customWidth="1"/>
    <col min="3077" max="3077" width="10.75" style="1" customWidth="1"/>
    <col min="3078" max="3078" width="6.375" style="1" customWidth="1"/>
    <col min="3079" max="3079" width="6.75" style="1" customWidth="1"/>
    <col min="3080" max="3080" width="8.75" style="1" customWidth="1"/>
    <col min="3081" max="3082" width="10.125" style="1"/>
    <col min="3083" max="3083" width="10.625" style="1" bestFit="1" customWidth="1"/>
    <col min="3084" max="3328" width="10.125" style="1"/>
    <col min="3329" max="3329" width="3.125" style="1" customWidth="1"/>
    <col min="3330" max="3330" width="29.5" style="1" customWidth="1"/>
    <col min="3331" max="3331" width="8.75" style="1" customWidth="1"/>
    <col min="3332" max="3332" width="1.5" style="1" customWidth="1"/>
    <col min="3333" max="3333" width="10.75" style="1" customWidth="1"/>
    <col min="3334" max="3334" width="6.375" style="1" customWidth="1"/>
    <col min="3335" max="3335" width="6.75" style="1" customWidth="1"/>
    <col min="3336" max="3336" width="8.75" style="1" customWidth="1"/>
    <col min="3337" max="3338" width="10.125" style="1"/>
    <col min="3339" max="3339" width="10.625" style="1" bestFit="1" customWidth="1"/>
    <col min="3340" max="3584" width="10.125" style="1"/>
    <col min="3585" max="3585" width="3.125" style="1" customWidth="1"/>
    <col min="3586" max="3586" width="29.5" style="1" customWidth="1"/>
    <col min="3587" max="3587" width="8.75" style="1" customWidth="1"/>
    <col min="3588" max="3588" width="1.5" style="1" customWidth="1"/>
    <col min="3589" max="3589" width="10.75" style="1" customWidth="1"/>
    <col min="3590" max="3590" width="6.375" style="1" customWidth="1"/>
    <col min="3591" max="3591" width="6.75" style="1" customWidth="1"/>
    <col min="3592" max="3592" width="8.75" style="1" customWidth="1"/>
    <col min="3593" max="3594" width="10.125" style="1"/>
    <col min="3595" max="3595" width="10.625" style="1" bestFit="1" customWidth="1"/>
    <col min="3596" max="3840" width="10.125" style="1"/>
    <col min="3841" max="3841" width="3.125" style="1" customWidth="1"/>
    <col min="3842" max="3842" width="29.5" style="1" customWidth="1"/>
    <col min="3843" max="3843" width="8.75" style="1" customWidth="1"/>
    <col min="3844" max="3844" width="1.5" style="1" customWidth="1"/>
    <col min="3845" max="3845" width="10.75" style="1" customWidth="1"/>
    <col min="3846" max="3846" width="6.375" style="1" customWidth="1"/>
    <col min="3847" max="3847" width="6.75" style="1" customWidth="1"/>
    <col min="3848" max="3848" width="8.75" style="1" customWidth="1"/>
    <col min="3849" max="3850" width="10.125" style="1"/>
    <col min="3851" max="3851" width="10.625" style="1" bestFit="1" customWidth="1"/>
    <col min="3852" max="4096" width="10.125" style="1"/>
    <col min="4097" max="4097" width="3.125" style="1" customWidth="1"/>
    <col min="4098" max="4098" width="29.5" style="1" customWidth="1"/>
    <col min="4099" max="4099" width="8.75" style="1" customWidth="1"/>
    <col min="4100" max="4100" width="1.5" style="1" customWidth="1"/>
    <col min="4101" max="4101" width="10.75" style="1" customWidth="1"/>
    <col min="4102" max="4102" width="6.375" style="1" customWidth="1"/>
    <col min="4103" max="4103" width="6.75" style="1" customWidth="1"/>
    <col min="4104" max="4104" width="8.75" style="1" customWidth="1"/>
    <col min="4105" max="4106" width="10.125" style="1"/>
    <col min="4107" max="4107" width="10.625" style="1" bestFit="1" customWidth="1"/>
    <col min="4108" max="4352" width="10.125" style="1"/>
    <col min="4353" max="4353" width="3.125" style="1" customWidth="1"/>
    <col min="4354" max="4354" width="29.5" style="1" customWidth="1"/>
    <col min="4355" max="4355" width="8.75" style="1" customWidth="1"/>
    <col min="4356" max="4356" width="1.5" style="1" customWidth="1"/>
    <col min="4357" max="4357" width="10.75" style="1" customWidth="1"/>
    <col min="4358" max="4358" width="6.375" style="1" customWidth="1"/>
    <col min="4359" max="4359" width="6.75" style="1" customWidth="1"/>
    <col min="4360" max="4360" width="8.75" style="1" customWidth="1"/>
    <col min="4361" max="4362" width="10.125" style="1"/>
    <col min="4363" max="4363" width="10.625" style="1" bestFit="1" customWidth="1"/>
    <col min="4364" max="4608" width="10.125" style="1"/>
    <col min="4609" max="4609" width="3.125" style="1" customWidth="1"/>
    <col min="4610" max="4610" width="29.5" style="1" customWidth="1"/>
    <col min="4611" max="4611" width="8.75" style="1" customWidth="1"/>
    <col min="4612" max="4612" width="1.5" style="1" customWidth="1"/>
    <col min="4613" max="4613" width="10.75" style="1" customWidth="1"/>
    <col min="4614" max="4614" width="6.375" style="1" customWidth="1"/>
    <col min="4615" max="4615" width="6.75" style="1" customWidth="1"/>
    <col min="4616" max="4616" width="8.75" style="1" customWidth="1"/>
    <col min="4617" max="4618" width="10.125" style="1"/>
    <col min="4619" max="4619" width="10.625" style="1" bestFit="1" customWidth="1"/>
    <col min="4620" max="4864" width="10.125" style="1"/>
    <col min="4865" max="4865" width="3.125" style="1" customWidth="1"/>
    <col min="4866" max="4866" width="29.5" style="1" customWidth="1"/>
    <col min="4867" max="4867" width="8.75" style="1" customWidth="1"/>
    <col min="4868" max="4868" width="1.5" style="1" customWidth="1"/>
    <col min="4869" max="4869" width="10.75" style="1" customWidth="1"/>
    <col min="4870" max="4870" width="6.375" style="1" customWidth="1"/>
    <col min="4871" max="4871" width="6.75" style="1" customWidth="1"/>
    <col min="4872" max="4872" width="8.75" style="1" customWidth="1"/>
    <col min="4873" max="4874" width="10.125" style="1"/>
    <col min="4875" max="4875" width="10.625" style="1" bestFit="1" customWidth="1"/>
    <col min="4876" max="5120" width="10.125" style="1"/>
    <col min="5121" max="5121" width="3.125" style="1" customWidth="1"/>
    <col min="5122" max="5122" width="29.5" style="1" customWidth="1"/>
    <col min="5123" max="5123" width="8.75" style="1" customWidth="1"/>
    <col min="5124" max="5124" width="1.5" style="1" customWidth="1"/>
    <col min="5125" max="5125" width="10.75" style="1" customWidth="1"/>
    <col min="5126" max="5126" width="6.375" style="1" customWidth="1"/>
    <col min="5127" max="5127" width="6.75" style="1" customWidth="1"/>
    <col min="5128" max="5128" width="8.75" style="1" customWidth="1"/>
    <col min="5129" max="5130" width="10.125" style="1"/>
    <col min="5131" max="5131" width="10.625" style="1" bestFit="1" customWidth="1"/>
    <col min="5132" max="5376" width="10.125" style="1"/>
    <col min="5377" max="5377" width="3.125" style="1" customWidth="1"/>
    <col min="5378" max="5378" width="29.5" style="1" customWidth="1"/>
    <col min="5379" max="5379" width="8.75" style="1" customWidth="1"/>
    <col min="5380" max="5380" width="1.5" style="1" customWidth="1"/>
    <col min="5381" max="5381" width="10.75" style="1" customWidth="1"/>
    <col min="5382" max="5382" width="6.375" style="1" customWidth="1"/>
    <col min="5383" max="5383" width="6.75" style="1" customWidth="1"/>
    <col min="5384" max="5384" width="8.75" style="1" customWidth="1"/>
    <col min="5385" max="5386" width="10.125" style="1"/>
    <col min="5387" max="5387" width="10.625" style="1" bestFit="1" customWidth="1"/>
    <col min="5388" max="5632" width="10.125" style="1"/>
    <col min="5633" max="5633" width="3.125" style="1" customWidth="1"/>
    <col min="5634" max="5634" width="29.5" style="1" customWidth="1"/>
    <col min="5635" max="5635" width="8.75" style="1" customWidth="1"/>
    <col min="5636" max="5636" width="1.5" style="1" customWidth="1"/>
    <col min="5637" max="5637" width="10.75" style="1" customWidth="1"/>
    <col min="5638" max="5638" width="6.375" style="1" customWidth="1"/>
    <col min="5639" max="5639" width="6.75" style="1" customWidth="1"/>
    <col min="5640" max="5640" width="8.75" style="1" customWidth="1"/>
    <col min="5641" max="5642" width="10.125" style="1"/>
    <col min="5643" max="5643" width="10.625" style="1" bestFit="1" customWidth="1"/>
    <col min="5644" max="5888" width="10.125" style="1"/>
    <col min="5889" max="5889" width="3.125" style="1" customWidth="1"/>
    <col min="5890" max="5890" width="29.5" style="1" customWidth="1"/>
    <col min="5891" max="5891" width="8.75" style="1" customWidth="1"/>
    <col min="5892" max="5892" width="1.5" style="1" customWidth="1"/>
    <col min="5893" max="5893" width="10.75" style="1" customWidth="1"/>
    <col min="5894" max="5894" width="6.375" style="1" customWidth="1"/>
    <col min="5895" max="5895" width="6.75" style="1" customWidth="1"/>
    <col min="5896" max="5896" width="8.75" style="1" customWidth="1"/>
    <col min="5897" max="5898" width="10.125" style="1"/>
    <col min="5899" max="5899" width="10.625" style="1" bestFit="1" customWidth="1"/>
    <col min="5900" max="6144" width="10.125" style="1"/>
    <col min="6145" max="6145" width="3.125" style="1" customWidth="1"/>
    <col min="6146" max="6146" width="29.5" style="1" customWidth="1"/>
    <col min="6147" max="6147" width="8.75" style="1" customWidth="1"/>
    <col min="6148" max="6148" width="1.5" style="1" customWidth="1"/>
    <col min="6149" max="6149" width="10.75" style="1" customWidth="1"/>
    <col min="6150" max="6150" width="6.375" style="1" customWidth="1"/>
    <col min="6151" max="6151" width="6.75" style="1" customWidth="1"/>
    <col min="6152" max="6152" width="8.75" style="1" customWidth="1"/>
    <col min="6153" max="6154" width="10.125" style="1"/>
    <col min="6155" max="6155" width="10.625" style="1" bestFit="1" customWidth="1"/>
    <col min="6156" max="6400" width="10.125" style="1"/>
    <col min="6401" max="6401" width="3.125" style="1" customWidth="1"/>
    <col min="6402" max="6402" width="29.5" style="1" customWidth="1"/>
    <col min="6403" max="6403" width="8.75" style="1" customWidth="1"/>
    <col min="6404" max="6404" width="1.5" style="1" customWidth="1"/>
    <col min="6405" max="6405" width="10.75" style="1" customWidth="1"/>
    <col min="6406" max="6406" width="6.375" style="1" customWidth="1"/>
    <col min="6407" max="6407" width="6.75" style="1" customWidth="1"/>
    <col min="6408" max="6408" width="8.75" style="1" customWidth="1"/>
    <col min="6409" max="6410" width="10.125" style="1"/>
    <col min="6411" max="6411" width="10.625" style="1" bestFit="1" customWidth="1"/>
    <col min="6412" max="6656" width="10.125" style="1"/>
    <col min="6657" max="6657" width="3.125" style="1" customWidth="1"/>
    <col min="6658" max="6658" width="29.5" style="1" customWidth="1"/>
    <col min="6659" max="6659" width="8.75" style="1" customWidth="1"/>
    <col min="6660" max="6660" width="1.5" style="1" customWidth="1"/>
    <col min="6661" max="6661" width="10.75" style="1" customWidth="1"/>
    <col min="6662" max="6662" width="6.375" style="1" customWidth="1"/>
    <col min="6663" max="6663" width="6.75" style="1" customWidth="1"/>
    <col min="6664" max="6664" width="8.75" style="1" customWidth="1"/>
    <col min="6665" max="6666" width="10.125" style="1"/>
    <col min="6667" max="6667" width="10.625" style="1" bestFit="1" customWidth="1"/>
    <col min="6668" max="6912" width="10.125" style="1"/>
    <col min="6913" max="6913" width="3.125" style="1" customWidth="1"/>
    <col min="6914" max="6914" width="29.5" style="1" customWidth="1"/>
    <col min="6915" max="6915" width="8.75" style="1" customWidth="1"/>
    <col min="6916" max="6916" width="1.5" style="1" customWidth="1"/>
    <col min="6917" max="6917" width="10.75" style="1" customWidth="1"/>
    <col min="6918" max="6918" width="6.375" style="1" customWidth="1"/>
    <col min="6919" max="6919" width="6.75" style="1" customWidth="1"/>
    <col min="6920" max="6920" width="8.75" style="1" customWidth="1"/>
    <col min="6921" max="6922" width="10.125" style="1"/>
    <col min="6923" max="6923" width="10.625" style="1" bestFit="1" customWidth="1"/>
    <col min="6924" max="7168" width="10.125" style="1"/>
    <col min="7169" max="7169" width="3.125" style="1" customWidth="1"/>
    <col min="7170" max="7170" width="29.5" style="1" customWidth="1"/>
    <col min="7171" max="7171" width="8.75" style="1" customWidth="1"/>
    <col min="7172" max="7172" width="1.5" style="1" customWidth="1"/>
    <col min="7173" max="7173" width="10.75" style="1" customWidth="1"/>
    <col min="7174" max="7174" width="6.375" style="1" customWidth="1"/>
    <col min="7175" max="7175" width="6.75" style="1" customWidth="1"/>
    <col min="7176" max="7176" width="8.75" style="1" customWidth="1"/>
    <col min="7177" max="7178" width="10.125" style="1"/>
    <col min="7179" max="7179" width="10.625" style="1" bestFit="1" customWidth="1"/>
    <col min="7180" max="7424" width="10.125" style="1"/>
    <col min="7425" max="7425" width="3.125" style="1" customWidth="1"/>
    <col min="7426" max="7426" width="29.5" style="1" customWidth="1"/>
    <col min="7427" max="7427" width="8.75" style="1" customWidth="1"/>
    <col min="7428" max="7428" width="1.5" style="1" customWidth="1"/>
    <col min="7429" max="7429" width="10.75" style="1" customWidth="1"/>
    <col min="7430" max="7430" width="6.375" style="1" customWidth="1"/>
    <col min="7431" max="7431" width="6.75" style="1" customWidth="1"/>
    <col min="7432" max="7432" width="8.75" style="1" customWidth="1"/>
    <col min="7433" max="7434" width="10.125" style="1"/>
    <col min="7435" max="7435" width="10.625" style="1" bestFit="1" customWidth="1"/>
    <col min="7436" max="7680" width="10.125" style="1"/>
    <col min="7681" max="7681" width="3.125" style="1" customWidth="1"/>
    <col min="7682" max="7682" width="29.5" style="1" customWidth="1"/>
    <col min="7683" max="7683" width="8.75" style="1" customWidth="1"/>
    <col min="7684" max="7684" width="1.5" style="1" customWidth="1"/>
    <col min="7685" max="7685" width="10.75" style="1" customWidth="1"/>
    <col min="7686" max="7686" width="6.375" style="1" customWidth="1"/>
    <col min="7687" max="7687" width="6.75" style="1" customWidth="1"/>
    <col min="7688" max="7688" width="8.75" style="1" customWidth="1"/>
    <col min="7689" max="7690" width="10.125" style="1"/>
    <col min="7691" max="7691" width="10.625" style="1" bestFit="1" customWidth="1"/>
    <col min="7692" max="7936" width="10.125" style="1"/>
    <col min="7937" max="7937" width="3.125" style="1" customWidth="1"/>
    <col min="7938" max="7938" width="29.5" style="1" customWidth="1"/>
    <col min="7939" max="7939" width="8.75" style="1" customWidth="1"/>
    <col min="7940" max="7940" width="1.5" style="1" customWidth="1"/>
    <col min="7941" max="7941" width="10.75" style="1" customWidth="1"/>
    <col min="7942" max="7942" width="6.375" style="1" customWidth="1"/>
    <col min="7943" max="7943" width="6.75" style="1" customWidth="1"/>
    <col min="7944" max="7944" width="8.75" style="1" customWidth="1"/>
    <col min="7945" max="7946" width="10.125" style="1"/>
    <col min="7947" max="7947" width="10.625" style="1" bestFit="1" customWidth="1"/>
    <col min="7948" max="8192" width="10.125" style="1"/>
    <col min="8193" max="8193" width="3.125" style="1" customWidth="1"/>
    <col min="8194" max="8194" width="29.5" style="1" customWidth="1"/>
    <col min="8195" max="8195" width="8.75" style="1" customWidth="1"/>
    <col min="8196" max="8196" width="1.5" style="1" customWidth="1"/>
    <col min="8197" max="8197" width="10.75" style="1" customWidth="1"/>
    <col min="8198" max="8198" width="6.375" style="1" customWidth="1"/>
    <col min="8199" max="8199" width="6.75" style="1" customWidth="1"/>
    <col min="8200" max="8200" width="8.75" style="1" customWidth="1"/>
    <col min="8201" max="8202" width="10.125" style="1"/>
    <col min="8203" max="8203" width="10.625" style="1" bestFit="1" customWidth="1"/>
    <col min="8204" max="8448" width="10.125" style="1"/>
    <col min="8449" max="8449" width="3.125" style="1" customWidth="1"/>
    <col min="8450" max="8450" width="29.5" style="1" customWidth="1"/>
    <col min="8451" max="8451" width="8.75" style="1" customWidth="1"/>
    <col min="8452" max="8452" width="1.5" style="1" customWidth="1"/>
    <col min="8453" max="8453" width="10.75" style="1" customWidth="1"/>
    <col min="8454" max="8454" width="6.375" style="1" customWidth="1"/>
    <col min="8455" max="8455" width="6.75" style="1" customWidth="1"/>
    <col min="8456" max="8456" width="8.75" style="1" customWidth="1"/>
    <col min="8457" max="8458" width="10.125" style="1"/>
    <col min="8459" max="8459" width="10.625" style="1" bestFit="1" customWidth="1"/>
    <col min="8460" max="8704" width="10.125" style="1"/>
    <col min="8705" max="8705" width="3.125" style="1" customWidth="1"/>
    <col min="8706" max="8706" width="29.5" style="1" customWidth="1"/>
    <col min="8707" max="8707" width="8.75" style="1" customWidth="1"/>
    <col min="8708" max="8708" width="1.5" style="1" customWidth="1"/>
    <col min="8709" max="8709" width="10.75" style="1" customWidth="1"/>
    <col min="8710" max="8710" width="6.375" style="1" customWidth="1"/>
    <col min="8711" max="8711" width="6.75" style="1" customWidth="1"/>
    <col min="8712" max="8712" width="8.75" style="1" customWidth="1"/>
    <col min="8713" max="8714" width="10.125" style="1"/>
    <col min="8715" max="8715" width="10.625" style="1" bestFit="1" customWidth="1"/>
    <col min="8716" max="8960" width="10.125" style="1"/>
    <col min="8961" max="8961" width="3.125" style="1" customWidth="1"/>
    <col min="8962" max="8962" width="29.5" style="1" customWidth="1"/>
    <col min="8963" max="8963" width="8.75" style="1" customWidth="1"/>
    <col min="8964" max="8964" width="1.5" style="1" customWidth="1"/>
    <col min="8965" max="8965" width="10.75" style="1" customWidth="1"/>
    <col min="8966" max="8966" width="6.375" style="1" customWidth="1"/>
    <col min="8967" max="8967" width="6.75" style="1" customWidth="1"/>
    <col min="8968" max="8968" width="8.75" style="1" customWidth="1"/>
    <col min="8969" max="8970" width="10.125" style="1"/>
    <col min="8971" max="8971" width="10.625" style="1" bestFit="1" customWidth="1"/>
    <col min="8972" max="9216" width="10.125" style="1"/>
    <col min="9217" max="9217" width="3.125" style="1" customWidth="1"/>
    <col min="9218" max="9218" width="29.5" style="1" customWidth="1"/>
    <col min="9219" max="9219" width="8.75" style="1" customWidth="1"/>
    <col min="9220" max="9220" width="1.5" style="1" customWidth="1"/>
    <col min="9221" max="9221" width="10.75" style="1" customWidth="1"/>
    <col min="9222" max="9222" width="6.375" style="1" customWidth="1"/>
    <col min="9223" max="9223" width="6.75" style="1" customWidth="1"/>
    <col min="9224" max="9224" width="8.75" style="1" customWidth="1"/>
    <col min="9225" max="9226" width="10.125" style="1"/>
    <col min="9227" max="9227" width="10.625" style="1" bestFit="1" customWidth="1"/>
    <col min="9228" max="9472" width="10.125" style="1"/>
    <col min="9473" max="9473" width="3.125" style="1" customWidth="1"/>
    <col min="9474" max="9474" width="29.5" style="1" customWidth="1"/>
    <col min="9475" max="9475" width="8.75" style="1" customWidth="1"/>
    <col min="9476" max="9476" width="1.5" style="1" customWidth="1"/>
    <col min="9477" max="9477" width="10.75" style="1" customWidth="1"/>
    <col min="9478" max="9478" width="6.375" style="1" customWidth="1"/>
    <col min="9479" max="9479" width="6.75" style="1" customWidth="1"/>
    <col min="9480" max="9480" width="8.75" style="1" customWidth="1"/>
    <col min="9481" max="9482" width="10.125" style="1"/>
    <col min="9483" max="9483" width="10.625" style="1" bestFit="1" customWidth="1"/>
    <col min="9484" max="9728" width="10.125" style="1"/>
    <col min="9729" max="9729" width="3.125" style="1" customWidth="1"/>
    <col min="9730" max="9730" width="29.5" style="1" customWidth="1"/>
    <col min="9731" max="9731" width="8.75" style="1" customWidth="1"/>
    <col min="9732" max="9732" width="1.5" style="1" customWidth="1"/>
    <col min="9733" max="9733" width="10.75" style="1" customWidth="1"/>
    <col min="9734" max="9734" width="6.375" style="1" customWidth="1"/>
    <col min="9735" max="9735" width="6.75" style="1" customWidth="1"/>
    <col min="9736" max="9736" width="8.75" style="1" customWidth="1"/>
    <col min="9737" max="9738" width="10.125" style="1"/>
    <col min="9739" max="9739" width="10.625" style="1" bestFit="1" customWidth="1"/>
    <col min="9740" max="9984" width="10.125" style="1"/>
    <col min="9985" max="9985" width="3.125" style="1" customWidth="1"/>
    <col min="9986" max="9986" width="29.5" style="1" customWidth="1"/>
    <col min="9987" max="9987" width="8.75" style="1" customWidth="1"/>
    <col min="9988" max="9988" width="1.5" style="1" customWidth="1"/>
    <col min="9989" max="9989" width="10.75" style="1" customWidth="1"/>
    <col min="9990" max="9990" width="6.375" style="1" customWidth="1"/>
    <col min="9991" max="9991" width="6.75" style="1" customWidth="1"/>
    <col min="9992" max="9992" width="8.75" style="1" customWidth="1"/>
    <col min="9993" max="9994" width="10.125" style="1"/>
    <col min="9995" max="9995" width="10.625" style="1" bestFit="1" customWidth="1"/>
    <col min="9996" max="10240" width="10.125" style="1"/>
    <col min="10241" max="10241" width="3.125" style="1" customWidth="1"/>
    <col min="10242" max="10242" width="29.5" style="1" customWidth="1"/>
    <col min="10243" max="10243" width="8.75" style="1" customWidth="1"/>
    <col min="10244" max="10244" width="1.5" style="1" customWidth="1"/>
    <col min="10245" max="10245" width="10.75" style="1" customWidth="1"/>
    <col min="10246" max="10246" width="6.375" style="1" customWidth="1"/>
    <col min="10247" max="10247" width="6.75" style="1" customWidth="1"/>
    <col min="10248" max="10248" width="8.75" style="1" customWidth="1"/>
    <col min="10249" max="10250" width="10.125" style="1"/>
    <col min="10251" max="10251" width="10.625" style="1" bestFit="1" customWidth="1"/>
    <col min="10252" max="10496" width="10.125" style="1"/>
    <col min="10497" max="10497" width="3.125" style="1" customWidth="1"/>
    <col min="10498" max="10498" width="29.5" style="1" customWidth="1"/>
    <col min="10499" max="10499" width="8.75" style="1" customWidth="1"/>
    <col min="10500" max="10500" width="1.5" style="1" customWidth="1"/>
    <col min="10501" max="10501" width="10.75" style="1" customWidth="1"/>
    <col min="10502" max="10502" width="6.375" style="1" customWidth="1"/>
    <col min="10503" max="10503" width="6.75" style="1" customWidth="1"/>
    <col min="10504" max="10504" width="8.75" style="1" customWidth="1"/>
    <col min="10505" max="10506" width="10.125" style="1"/>
    <col min="10507" max="10507" width="10.625" style="1" bestFit="1" customWidth="1"/>
    <col min="10508" max="10752" width="10.125" style="1"/>
    <col min="10753" max="10753" width="3.125" style="1" customWidth="1"/>
    <col min="10754" max="10754" width="29.5" style="1" customWidth="1"/>
    <col min="10755" max="10755" width="8.75" style="1" customWidth="1"/>
    <col min="10756" max="10756" width="1.5" style="1" customWidth="1"/>
    <col min="10757" max="10757" width="10.75" style="1" customWidth="1"/>
    <col min="10758" max="10758" width="6.375" style="1" customWidth="1"/>
    <col min="10759" max="10759" width="6.75" style="1" customWidth="1"/>
    <col min="10760" max="10760" width="8.75" style="1" customWidth="1"/>
    <col min="10761" max="10762" width="10.125" style="1"/>
    <col min="10763" max="10763" width="10.625" style="1" bestFit="1" customWidth="1"/>
    <col min="10764" max="11008" width="10.125" style="1"/>
    <col min="11009" max="11009" width="3.125" style="1" customWidth="1"/>
    <col min="11010" max="11010" width="29.5" style="1" customWidth="1"/>
    <col min="11011" max="11011" width="8.75" style="1" customWidth="1"/>
    <col min="11012" max="11012" width="1.5" style="1" customWidth="1"/>
    <col min="11013" max="11013" width="10.75" style="1" customWidth="1"/>
    <col min="11014" max="11014" width="6.375" style="1" customWidth="1"/>
    <col min="11015" max="11015" width="6.75" style="1" customWidth="1"/>
    <col min="11016" max="11016" width="8.75" style="1" customWidth="1"/>
    <col min="11017" max="11018" width="10.125" style="1"/>
    <col min="11019" max="11019" width="10.625" style="1" bestFit="1" customWidth="1"/>
    <col min="11020" max="11264" width="10.125" style="1"/>
    <col min="11265" max="11265" width="3.125" style="1" customWidth="1"/>
    <col min="11266" max="11266" width="29.5" style="1" customWidth="1"/>
    <col min="11267" max="11267" width="8.75" style="1" customWidth="1"/>
    <col min="11268" max="11268" width="1.5" style="1" customWidth="1"/>
    <col min="11269" max="11269" width="10.75" style="1" customWidth="1"/>
    <col min="11270" max="11270" width="6.375" style="1" customWidth="1"/>
    <col min="11271" max="11271" width="6.75" style="1" customWidth="1"/>
    <col min="11272" max="11272" width="8.75" style="1" customWidth="1"/>
    <col min="11273" max="11274" width="10.125" style="1"/>
    <col min="11275" max="11275" width="10.625" style="1" bestFit="1" customWidth="1"/>
    <col min="11276" max="11520" width="10.125" style="1"/>
    <col min="11521" max="11521" width="3.125" style="1" customWidth="1"/>
    <col min="11522" max="11522" width="29.5" style="1" customWidth="1"/>
    <col min="11523" max="11523" width="8.75" style="1" customWidth="1"/>
    <col min="11524" max="11524" width="1.5" style="1" customWidth="1"/>
    <col min="11525" max="11525" width="10.75" style="1" customWidth="1"/>
    <col min="11526" max="11526" width="6.375" style="1" customWidth="1"/>
    <col min="11527" max="11527" width="6.75" style="1" customWidth="1"/>
    <col min="11528" max="11528" width="8.75" style="1" customWidth="1"/>
    <col min="11529" max="11530" width="10.125" style="1"/>
    <col min="11531" max="11531" width="10.625" style="1" bestFit="1" customWidth="1"/>
    <col min="11532" max="11776" width="10.125" style="1"/>
    <col min="11777" max="11777" width="3.125" style="1" customWidth="1"/>
    <col min="11778" max="11778" width="29.5" style="1" customWidth="1"/>
    <col min="11779" max="11779" width="8.75" style="1" customWidth="1"/>
    <col min="11780" max="11780" width="1.5" style="1" customWidth="1"/>
    <col min="11781" max="11781" width="10.75" style="1" customWidth="1"/>
    <col min="11782" max="11782" width="6.375" style="1" customWidth="1"/>
    <col min="11783" max="11783" width="6.75" style="1" customWidth="1"/>
    <col min="11784" max="11784" width="8.75" style="1" customWidth="1"/>
    <col min="11785" max="11786" width="10.125" style="1"/>
    <col min="11787" max="11787" width="10.625" style="1" bestFit="1" customWidth="1"/>
    <col min="11788" max="12032" width="10.125" style="1"/>
    <col min="12033" max="12033" width="3.125" style="1" customWidth="1"/>
    <col min="12034" max="12034" width="29.5" style="1" customWidth="1"/>
    <col min="12035" max="12035" width="8.75" style="1" customWidth="1"/>
    <col min="12036" max="12036" width="1.5" style="1" customWidth="1"/>
    <col min="12037" max="12037" width="10.75" style="1" customWidth="1"/>
    <col min="12038" max="12038" width="6.375" style="1" customWidth="1"/>
    <col min="12039" max="12039" width="6.75" style="1" customWidth="1"/>
    <col min="12040" max="12040" width="8.75" style="1" customWidth="1"/>
    <col min="12041" max="12042" width="10.125" style="1"/>
    <col min="12043" max="12043" width="10.625" style="1" bestFit="1" customWidth="1"/>
    <col min="12044" max="12288" width="10.125" style="1"/>
    <col min="12289" max="12289" width="3.125" style="1" customWidth="1"/>
    <col min="12290" max="12290" width="29.5" style="1" customWidth="1"/>
    <col min="12291" max="12291" width="8.75" style="1" customWidth="1"/>
    <col min="12292" max="12292" width="1.5" style="1" customWidth="1"/>
    <col min="12293" max="12293" width="10.75" style="1" customWidth="1"/>
    <col min="12294" max="12294" width="6.375" style="1" customWidth="1"/>
    <col min="12295" max="12295" width="6.75" style="1" customWidth="1"/>
    <col min="12296" max="12296" width="8.75" style="1" customWidth="1"/>
    <col min="12297" max="12298" width="10.125" style="1"/>
    <col min="12299" max="12299" width="10.625" style="1" bestFit="1" customWidth="1"/>
    <col min="12300" max="12544" width="10.125" style="1"/>
    <col min="12545" max="12545" width="3.125" style="1" customWidth="1"/>
    <col min="12546" max="12546" width="29.5" style="1" customWidth="1"/>
    <col min="12547" max="12547" width="8.75" style="1" customWidth="1"/>
    <col min="12548" max="12548" width="1.5" style="1" customWidth="1"/>
    <col min="12549" max="12549" width="10.75" style="1" customWidth="1"/>
    <col min="12550" max="12550" width="6.375" style="1" customWidth="1"/>
    <col min="12551" max="12551" width="6.75" style="1" customWidth="1"/>
    <col min="12552" max="12552" width="8.75" style="1" customWidth="1"/>
    <col min="12553" max="12554" width="10.125" style="1"/>
    <col min="12555" max="12555" width="10.625" style="1" bestFit="1" customWidth="1"/>
    <col min="12556" max="12800" width="10.125" style="1"/>
    <col min="12801" max="12801" width="3.125" style="1" customWidth="1"/>
    <col min="12802" max="12802" width="29.5" style="1" customWidth="1"/>
    <col min="12803" max="12803" width="8.75" style="1" customWidth="1"/>
    <col min="12804" max="12804" width="1.5" style="1" customWidth="1"/>
    <col min="12805" max="12805" width="10.75" style="1" customWidth="1"/>
    <col min="12806" max="12806" width="6.375" style="1" customWidth="1"/>
    <col min="12807" max="12807" width="6.75" style="1" customWidth="1"/>
    <col min="12808" max="12808" width="8.75" style="1" customWidth="1"/>
    <col min="12809" max="12810" width="10.125" style="1"/>
    <col min="12811" max="12811" width="10.625" style="1" bestFit="1" customWidth="1"/>
    <col min="12812" max="13056" width="10.125" style="1"/>
    <col min="13057" max="13057" width="3.125" style="1" customWidth="1"/>
    <col min="13058" max="13058" width="29.5" style="1" customWidth="1"/>
    <col min="13059" max="13059" width="8.75" style="1" customWidth="1"/>
    <col min="13060" max="13060" width="1.5" style="1" customWidth="1"/>
    <col min="13061" max="13061" width="10.75" style="1" customWidth="1"/>
    <col min="13062" max="13062" width="6.375" style="1" customWidth="1"/>
    <col min="13063" max="13063" width="6.75" style="1" customWidth="1"/>
    <col min="13064" max="13064" width="8.75" style="1" customWidth="1"/>
    <col min="13065" max="13066" width="10.125" style="1"/>
    <col min="13067" max="13067" width="10.625" style="1" bestFit="1" customWidth="1"/>
    <col min="13068" max="13312" width="10.125" style="1"/>
    <col min="13313" max="13313" width="3.125" style="1" customWidth="1"/>
    <col min="13314" max="13314" width="29.5" style="1" customWidth="1"/>
    <col min="13315" max="13315" width="8.75" style="1" customWidth="1"/>
    <col min="13316" max="13316" width="1.5" style="1" customWidth="1"/>
    <col min="13317" max="13317" width="10.75" style="1" customWidth="1"/>
    <col min="13318" max="13318" width="6.375" style="1" customWidth="1"/>
    <col min="13319" max="13319" width="6.75" style="1" customWidth="1"/>
    <col min="13320" max="13320" width="8.75" style="1" customWidth="1"/>
    <col min="13321" max="13322" width="10.125" style="1"/>
    <col min="13323" max="13323" width="10.625" style="1" bestFit="1" customWidth="1"/>
    <col min="13324" max="13568" width="10.125" style="1"/>
    <col min="13569" max="13569" width="3.125" style="1" customWidth="1"/>
    <col min="13570" max="13570" width="29.5" style="1" customWidth="1"/>
    <col min="13571" max="13571" width="8.75" style="1" customWidth="1"/>
    <col min="13572" max="13572" width="1.5" style="1" customWidth="1"/>
    <col min="13573" max="13573" width="10.75" style="1" customWidth="1"/>
    <col min="13574" max="13574" width="6.375" style="1" customWidth="1"/>
    <col min="13575" max="13575" width="6.75" style="1" customWidth="1"/>
    <col min="13576" max="13576" width="8.75" style="1" customWidth="1"/>
    <col min="13577" max="13578" width="10.125" style="1"/>
    <col min="13579" max="13579" width="10.625" style="1" bestFit="1" customWidth="1"/>
    <col min="13580" max="13824" width="10.125" style="1"/>
    <col min="13825" max="13825" width="3.125" style="1" customWidth="1"/>
    <col min="13826" max="13826" width="29.5" style="1" customWidth="1"/>
    <col min="13827" max="13827" width="8.75" style="1" customWidth="1"/>
    <col min="13828" max="13828" width="1.5" style="1" customWidth="1"/>
    <col min="13829" max="13829" width="10.75" style="1" customWidth="1"/>
    <col min="13830" max="13830" width="6.375" style="1" customWidth="1"/>
    <col min="13831" max="13831" width="6.75" style="1" customWidth="1"/>
    <col min="13832" max="13832" width="8.75" style="1" customWidth="1"/>
    <col min="13833" max="13834" width="10.125" style="1"/>
    <col min="13835" max="13835" width="10.625" style="1" bestFit="1" customWidth="1"/>
    <col min="13836" max="14080" width="10.125" style="1"/>
    <col min="14081" max="14081" width="3.125" style="1" customWidth="1"/>
    <col min="14082" max="14082" width="29.5" style="1" customWidth="1"/>
    <col min="14083" max="14083" width="8.75" style="1" customWidth="1"/>
    <col min="14084" max="14084" width="1.5" style="1" customWidth="1"/>
    <col min="14085" max="14085" width="10.75" style="1" customWidth="1"/>
    <col min="14086" max="14086" width="6.375" style="1" customWidth="1"/>
    <col min="14087" max="14087" width="6.75" style="1" customWidth="1"/>
    <col min="14088" max="14088" width="8.75" style="1" customWidth="1"/>
    <col min="14089" max="14090" width="10.125" style="1"/>
    <col min="14091" max="14091" width="10.625" style="1" bestFit="1" customWidth="1"/>
    <col min="14092" max="14336" width="10.125" style="1"/>
    <col min="14337" max="14337" width="3.125" style="1" customWidth="1"/>
    <col min="14338" max="14338" width="29.5" style="1" customWidth="1"/>
    <col min="14339" max="14339" width="8.75" style="1" customWidth="1"/>
    <col min="14340" max="14340" width="1.5" style="1" customWidth="1"/>
    <col min="14341" max="14341" width="10.75" style="1" customWidth="1"/>
    <col min="14342" max="14342" width="6.375" style="1" customWidth="1"/>
    <col min="14343" max="14343" width="6.75" style="1" customWidth="1"/>
    <col min="14344" max="14344" width="8.75" style="1" customWidth="1"/>
    <col min="14345" max="14346" width="10.125" style="1"/>
    <col min="14347" max="14347" width="10.625" style="1" bestFit="1" customWidth="1"/>
    <col min="14348" max="14592" width="10.125" style="1"/>
    <col min="14593" max="14593" width="3.125" style="1" customWidth="1"/>
    <col min="14594" max="14594" width="29.5" style="1" customWidth="1"/>
    <col min="14595" max="14595" width="8.75" style="1" customWidth="1"/>
    <col min="14596" max="14596" width="1.5" style="1" customWidth="1"/>
    <col min="14597" max="14597" width="10.75" style="1" customWidth="1"/>
    <col min="14598" max="14598" width="6.375" style="1" customWidth="1"/>
    <col min="14599" max="14599" width="6.75" style="1" customWidth="1"/>
    <col min="14600" max="14600" width="8.75" style="1" customWidth="1"/>
    <col min="14601" max="14602" width="10.125" style="1"/>
    <col min="14603" max="14603" width="10.625" style="1" bestFit="1" customWidth="1"/>
    <col min="14604" max="14848" width="10.125" style="1"/>
    <col min="14849" max="14849" width="3.125" style="1" customWidth="1"/>
    <col min="14850" max="14850" width="29.5" style="1" customWidth="1"/>
    <col min="14851" max="14851" width="8.75" style="1" customWidth="1"/>
    <col min="14852" max="14852" width="1.5" style="1" customWidth="1"/>
    <col min="14853" max="14853" width="10.75" style="1" customWidth="1"/>
    <col min="14854" max="14854" width="6.375" style="1" customWidth="1"/>
    <col min="14855" max="14855" width="6.75" style="1" customWidth="1"/>
    <col min="14856" max="14856" width="8.75" style="1" customWidth="1"/>
    <col min="14857" max="14858" width="10.125" style="1"/>
    <col min="14859" max="14859" width="10.625" style="1" bestFit="1" customWidth="1"/>
    <col min="14860" max="15104" width="10.125" style="1"/>
    <col min="15105" max="15105" width="3.125" style="1" customWidth="1"/>
    <col min="15106" max="15106" width="29.5" style="1" customWidth="1"/>
    <col min="15107" max="15107" width="8.75" style="1" customWidth="1"/>
    <col min="15108" max="15108" width="1.5" style="1" customWidth="1"/>
    <col min="15109" max="15109" width="10.75" style="1" customWidth="1"/>
    <col min="15110" max="15110" width="6.375" style="1" customWidth="1"/>
    <col min="15111" max="15111" width="6.75" style="1" customWidth="1"/>
    <col min="15112" max="15112" width="8.75" style="1" customWidth="1"/>
    <col min="15113" max="15114" width="10.125" style="1"/>
    <col min="15115" max="15115" width="10.625" style="1" bestFit="1" customWidth="1"/>
    <col min="15116" max="15360" width="10.125" style="1"/>
    <col min="15361" max="15361" width="3.125" style="1" customWidth="1"/>
    <col min="15362" max="15362" width="29.5" style="1" customWidth="1"/>
    <col min="15363" max="15363" width="8.75" style="1" customWidth="1"/>
    <col min="15364" max="15364" width="1.5" style="1" customWidth="1"/>
    <col min="15365" max="15365" width="10.75" style="1" customWidth="1"/>
    <col min="15366" max="15366" width="6.375" style="1" customWidth="1"/>
    <col min="15367" max="15367" width="6.75" style="1" customWidth="1"/>
    <col min="15368" max="15368" width="8.75" style="1" customWidth="1"/>
    <col min="15369" max="15370" width="10.125" style="1"/>
    <col min="15371" max="15371" width="10.625" style="1" bestFit="1" customWidth="1"/>
    <col min="15372" max="15616" width="10.125" style="1"/>
    <col min="15617" max="15617" width="3.125" style="1" customWidth="1"/>
    <col min="15618" max="15618" width="29.5" style="1" customWidth="1"/>
    <col min="15619" max="15619" width="8.75" style="1" customWidth="1"/>
    <col min="15620" max="15620" width="1.5" style="1" customWidth="1"/>
    <col min="15621" max="15621" width="10.75" style="1" customWidth="1"/>
    <col min="15622" max="15622" width="6.375" style="1" customWidth="1"/>
    <col min="15623" max="15623" width="6.75" style="1" customWidth="1"/>
    <col min="15624" max="15624" width="8.75" style="1" customWidth="1"/>
    <col min="15625" max="15626" width="10.125" style="1"/>
    <col min="15627" max="15627" width="10.625" style="1" bestFit="1" customWidth="1"/>
    <col min="15628" max="15872" width="10.125" style="1"/>
    <col min="15873" max="15873" width="3.125" style="1" customWidth="1"/>
    <col min="15874" max="15874" width="29.5" style="1" customWidth="1"/>
    <col min="15875" max="15875" width="8.75" style="1" customWidth="1"/>
    <col min="15876" max="15876" width="1.5" style="1" customWidth="1"/>
    <col min="15877" max="15877" width="10.75" style="1" customWidth="1"/>
    <col min="15878" max="15878" width="6.375" style="1" customWidth="1"/>
    <col min="15879" max="15879" width="6.75" style="1" customWidth="1"/>
    <col min="15880" max="15880" width="8.75" style="1" customWidth="1"/>
    <col min="15881" max="15882" width="10.125" style="1"/>
    <col min="15883" max="15883" width="10.625" style="1" bestFit="1" customWidth="1"/>
    <col min="15884" max="16128" width="10.125" style="1"/>
    <col min="16129" max="16129" width="3.125" style="1" customWidth="1"/>
    <col min="16130" max="16130" width="29.5" style="1" customWidth="1"/>
    <col min="16131" max="16131" width="8.75" style="1" customWidth="1"/>
    <col min="16132" max="16132" width="1.5" style="1" customWidth="1"/>
    <col min="16133" max="16133" width="10.75" style="1" customWidth="1"/>
    <col min="16134" max="16134" width="6.375" style="1" customWidth="1"/>
    <col min="16135" max="16135" width="6.75" style="1" customWidth="1"/>
    <col min="16136" max="16136" width="8.75" style="1" customWidth="1"/>
    <col min="16137" max="16138" width="10.125" style="1"/>
    <col min="16139" max="16139" width="10.625" style="1" bestFit="1" customWidth="1"/>
    <col min="16140" max="16384" width="10.125" style="1"/>
  </cols>
  <sheetData>
    <row r="5" spans="1:12" x14ac:dyDescent="0.25">
      <c r="A5" s="4" t="s">
        <v>0</v>
      </c>
      <c r="B5" s="5"/>
      <c r="C5" s="5"/>
    </row>
    <row r="6" spans="1:12" ht="9" customHeight="1" x14ac:dyDescent="0.25">
      <c r="A6" s="4"/>
      <c r="B6" s="5"/>
      <c r="C6" s="5"/>
    </row>
    <row r="7" spans="1:12" s="7" customFormat="1" ht="15" x14ac:dyDescent="0.25">
      <c r="A7" s="7" t="s">
        <v>1</v>
      </c>
      <c r="B7" s="8"/>
      <c r="D7" s="9"/>
      <c r="E7" s="131" t="s">
        <v>2</v>
      </c>
      <c r="F7" s="132"/>
      <c r="G7" s="133">
        <v>45957</v>
      </c>
      <c r="H7" s="134"/>
      <c r="J7" s="55"/>
      <c r="K7" s="55"/>
    </row>
    <row r="8" spans="1:12" s="7" customFormat="1" ht="15" x14ac:dyDescent="0.25">
      <c r="A8" s="7" t="s">
        <v>53</v>
      </c>
      <c r="B8" s="8"/>
      <c r="D8" s="9"/>
      <c r="E8" s="135" t="s">
        <v>3</v>
      </c>
      <c r="F8" s="136"/>
      <c r="H8" s="11">
        <v>60431</v>
      </c>
      <c r="J8" s="55"/>
      <c r="K8" s="55"/>
      <c r="L8" s="55"/>
    </row>
    <row r="9" spans="1:12" s="7" customFormat="1" ht="15" x14ac:dyDescent="0.25">
      <c r="A9" s="7" t="s">
        <v>54</v>
      </c>
      <c r="B9" s="8"/>
      <c r="D9" s="9"/>
      <c r="E9" s="135" t="s">
        <v>4</v>
      </c>
      <c r="F9" s="136"/>
      <c r="G9" s="137" t="s">
        <v>133</v>
      </c>
      <c r="H9" s="138"/>
      <c r="J9" s="55"/>
      <c r="K9" s="55"/>
      <c r="L9" s="55"/>
    </row>
    <row r="10" spans="1:12" s="7" customFormat="1" ht="15" x14ac:dyDescent="0.25">
      <c r="B10" s="8"/>
      <c r="D10" s="9"/>
      <c r="E10" s="13" t="s">
        <v>5</v>
      </c>
      <c r="F10" s="14"/>
      <c r="G10" s="139" t="s">
        <v>32</v>
      </c>
      <c r="H10" s="140"/>
      <c r="J10" s="55"/>
      <c r="K10" s="55"/>
    </row>
    <row r="11" spans="1:12" s="7" customFormat="1" ht="15" x14ac:dyDescent="0.25">
      <c r="A11" s="15" t="s">
        <v>55</v>
      </c>
      <c r="B11" s="8"/>
      <c r="D11" s="9"/>
      <c r="E11" s="10" t="s">
        <v>6</v>
      </c>
      <c r="F11" s="125" t="s">
        <v>7</v>
      </c>
      <c r="G11" s="125"/>
      <c r="H11" s="126"/>
    </row>
    <row r="12" spans="1:12" s="7" customFormat="1" ht="15" x14ac:dyDescent="0.25">
      <c r="A12" s="15"/>
      <c r="B12" s="8"/>
      <c r="D12" s="9"/>
      <c r="E12" s="13" t="s">
        <v>8</v>
      </c>
      <c r="F12" s="127" t="s">
        <v>9</v>
      </c>
      <c r="G12" s="127"/>
      <c r="H12" s="128"/>
    </row>
    <row r="13" spans="1:12" s="7" customFormat="1" ht="15" x14ac:dyDescent="0.25">
      <c r="A13" s="15"/>
      <c r="B13" s="8"/>
      <c r="D13" s="9"/>
      <c r="E13" s="17"/>
      <c r="F13" s="51"/>
      <c r="G13" s="51"/>
      <c r="H13" s="51"/>
      <c r="K13" s="55"/>
    </row>
    <row r="14" spans="1:12" s="7" customFormat="1" ht="15" x14ac:dyDescent="0.25">
      <c r="A14" s="15"/>
      <c r="B14" s="8"/>
      <c r="D14" s="9"/>
      <c r="E14" s="17"/>
      <c r="F14" s="51"/>
      <c r="G14" s="51"/>
      <c r="H14" s="51"/>
      <c r="K14" s="55"/>
    </row>
    <row r="15" spans="1:12" s="7" customFormat="1" ht="15" x14ac:dyDescent="0.25">
      <c r="A15" s="15"/>
      <c r="B15" s="8"/>
      <c r="D15" s="9"/>
      <c r="E15" s="17"/>
      <c r="F15" s="51"/>
      <c r="G15" s="51"/>
      <c r="H15" s="51"/>
      <c r="K15" s="55"/>
    </row>
    <row r="16" spans="1:12" s="15" customFormat="1" ht="14.25" x14ac:dyDescent="0.2">
      <c r="A16" s="129" t="s">
        <v>10</v>
      </c>
      <c r="B16" s="129"/>
      <c r="C16" s="129"/>
      <c r="D16" s="129"/>
      <c r="E16" s="129"/>
      <c r="F16" s="129"/>
      <c r="G16" s="129"/>
      <c r="H16" s="129"/>
    </row>
    <row r="17" spans="1:8" s="15" customFormat="1" ht="14.25" x14ac:dyDescent="0.2">
      <c r="A17" s="19"/>
      <c r="B17" s="19"/>
      <c r="C17" s="19"/>
      <c r="D17" s="19"/>
      <c r="E17" s="19"/>
      <c r="F17" s="19"/>
      <c r="G17" s="19"/>
      <c r="H17" s="19"/>
    </row>
    <row r="18" spans="1:8" s="15" customFormat="1" ht="14.25" x14ac:dyDescent="0.2">
      <c r="A18" s="19"/>
      <c r="B18" s="19"/>
      <c r="C18" s="19"/>
      <c r="D18" s="19"/>
      <c r="E18" s="19"/>
      <c r="F18" s="19"/>
      <c r="G18" s="19"/>
      <c r="H18" s="19"/>
    </row>
    <row r="19" spans="1:8" s="7" customFormat="1" ht="15" x14ac:dyDescent="0.25">
      <c r="A19" s="7" t="s">
        <v>38</v>
      </c>
      <c r="B19" s="8"/>
      <c r="D19" s="9"/>
      <c r="E19" s="17"/>
      <c r="F19" s="9"/>
      <c r="G19" s="18"/>
    </row>
    <row r="20" spans="1:8" s="7" customFormat="1" ht="15" x14ac:dyDescent="0.25">
      <c r="A20" s="7" t="s">
        <v>39</v>
      </c>
      <c r="B20" s="8"/>
      <c r="D20" s="9"/>
      <c r="E20" s="17"/>
      <c r="F20" s="9"/>
      <c r="G20" s="18"/>
    </row>
    <row r="21" spans="1:8" s="7" customFormat="1" ht="9" customHeight="1" x14ac:dyDescent="0.25">
      <c r="D21" s="9"/>
      <c r="E21" s="17"/>
      <c r="F21" s="18"/>
    </row>
    <row r="22" spans="1:8" s="7" customFormat="1" ht="15" x14ac:dyDescent="0.25">
      <c r="A22" s="20" t="s">
        <v>13</v>
      </c>
      <c r="B22" s="21"/>
      <c r="C22" s="20"/>
      <c r="D22" s="9"/>
      <c r="E22" s="9" t="s">
        <v>40</v>
      </c>
      <c r="F22" s="17" t="s">
        <v>15</v>
      </c>
      <c r="G22" s="9" t="s">
        <v>41</v>
      </c>
      <c r="H22" s="17" t="s">
        <v>17</v>
      </c>
    </row>
    <row r="23" spans="1:8" s="7" customFormat="1" ht="15" x14ac:dyDescent="0.25">
      <c r="A23" s="23" t="s">
        <v>18</v>
      </c>
      <c r="B23" s="23"/>
      <c r="C23" s="22" t="s">
        <v>49</v>
      </c>
      <c r="D23" s="24"/>
      <c r="E23" s="24" t="s">
        <v>50</v>
      </c>
      <c r="F23" s="16"/>
      <c r="G23" s="24" t="s">
        <v>44</v>
      </c>
      <c r="H23" s="14"/>
    </row>
    <row r="24" spans="1:8" s="7" customFormat="1" ht="15" x14ac:dyDescent="0.25">
      <c r="A24" s="7">
        <v>33</v>
      </c>
      <c r="B24" s="7" t="s">
        <v>51</v>
      </c>
      <c r="C24" s="45"/>
      <c r="D24" s="45"/>
      <c r="E24" s="26"/>
      <c r="F24" s="12"/>
      <c r="G24" s="17"/>
    </row>
    <row r="25" spans="1:8" s="7" customFormat="1" ht="15" x14ac:dyDescent="0.25">
      <c r="A25" s="12"/>
      <c r="B25" s="55">
        <v>45839</v>
      </c>
      <c r="C25" s="44">
        <v>45909</v>
      </c>
      <c r="E25" s="26">
        <f>ROUNDDOWN((23974.96/2)/(128664.92/12)*128664.92/1000,)*1000</f>
        <v>143000</v>
      </c>
      <c r="F25" s="12" t="s">
        <v>52</v>
      </c>
      <c r="G25" s="17">
        <v>10</v>
      </c>
      <c r="H25" s="28">
        <f>G25/10*217</f>
        <v>217</v>
      </c>
    </row>
    <row r="26" spans="1:8" s="7" customFormat="1" ht="15" x14ac:dyDescent="0.25">
      <c r="A26" s="12"/>
      <c r="B26" s="55">
        <v>45870</v>
      </c>
      <c r="C26" s="44">
        <v>45922</v>
      </c>
      <c r="E26" s="26">
        <f>+E25</f>
        <v>143000</v>
      </c>
      <c r="F26" s="12" t="s">
        <v>52</v>
      </c>
      <c r="G26" s="17">
        <f>+G25</f>
        <v>10</v>
      </c>
      <c r="H26" s="28">
        <f>G26/10*217</f>
        <v>217</v>
      </c>
    </row>
    <row r="27" spans="1:8" s="7" customFormat="1" ht="15" x14ac:dyDescent="0.25">
      <c r="A27" s="12"/>
      <c r="B27" s="55">
        <v>45901</v>
      </c>
      <c r="C27" s="44">
        <v>45957</v>
      </c>
      <c r="E27" s="26">
        <f>+E26</f>
        <v>143000</v>
      </c>
      <c r="F27" s="12" t="s">
        <v>52</v>
      </c>
      <c r="G27" s="17">
        <f>+G26</f>
        <v>10</v>
      </c>
      <c r="H27" s="28">
        <f>G27/10*217</f>
        <v>217</v>
      </c>
    </row>
    <row r="28" spans="1:8" s="7" customFormat="1" ht="15" x14ac:dyDescent="0.25">
      <c r="A28" s="12"/>
      <c r="C28" s="44"/>
      <c r="D28" s="45"/>
      <c r="E28" s="26"/>
      <c r="F28" s="12"/>
      <c r="G28" s="17"/>
      <c r="H28" s="28"/>
    </row>
    <row r="29" spans="1:8" s="7" customFormat="1" ht="5.25" customHeight="1" x14ac:dyDescent="0.25">
      <c r="A29" s="12"/>
      <c r="B29" s="53"/>
      <c r="C29" s="44"/>
      <c r="D29" s="45"/>
      <c r="E29" s="54"/>
      <c r="F29" s="28"/>
      <c r="G29" s="47"/>
      <c r="H29" s="28"/>
    </row>
    <row r="30" spans="1:8" s="7" customFormat="1" ht="15" x14ac:dyDescent="0.25">
      <c r="A30" s="7">
        <v>16</v>
      </c>
      <c r="B30" s="7" t="s">
        <v>23</v>
      </c>
      <c r="C30" s="62" t="s">
        <v>134</v>
      </c>
      <c r="E30" s="41"/>
      <c r="F30" s="26"/>
      <c r="G30" s="17"/>
      <c r="H30" s="41">
        <v>80</v>
      </c>
    </row>
    <row r="31" spans="1:8" s="7" customFormat="1" ht="15" x14ac:dyDescent="0.25">
      <c r="A31" s="23"/>
      <c r="B31" s="23" t="s">
        <v>24</v>
      </c>
      <c r="C31" s="23"/>
      <c r="D31" s="23"/>
      <c r="E31" s="24"/>
      <c r="F31" s="16"/>
      <c r="G31" s="57"/>
      <c r="H31" s="58"/>
    </row>
    <row r="32" spans="1:8" s="7" customFormat="1" ht="15.75" customHeight="1" x14ac:dyDescent="0.25">
      <c r="D32" s="9"/>
      <c r="E32" s="7" t="s">
        <v>25</v>
      </c>
      <c r="F32" s="9"/>
      <c r="G32" s="12"/>
      <c r="H32" s="41">
        <f>SUM(H25:H31)</f>
        <v>731</v>
      </c>
    </row>
    <row r="33" spans="1:8" s="7" customFormat="1" ht="15.75" customHeight="1" x14ac:dyDescent="0.25">
      <c r="D33" s="9"/>
      <c r="E33" s="7" t="s">
        <v>26</v>
      </c>
      <c r="F33" s="9"/>
      <c r="H33" s="41">
        <f>+H32*0.19</f>
        <v>138.89000000000001</v>
      </c>
    </row>
    <row r="34" spans="1:8" s="7" customFormat="1" thickBot="1" x14ac:dyDescent="0.3">
      <c r="D34" s="9"/>
      <c r="E34" s="34" t="s">
        <v>27</v>
      </c>
      <c r="F34" s="35"/>
      <c r="G34" s="60"/>
      <c r="H34" s="61">
        <f>SUM(H32:H33)</f>
        <v>869.89</v>
      </c>
    </row>
    <row r="35" spans="1:8" s="7" customFormat="1" ht="7.5" customHeight="1" thickTop="1" x14ac:dyDescent="0.25">
      <c r="D35" s="9"/>
      <c r="E35" s="38"/>
      <c r="F35" s="17"/>
      <c r="G35" s="9"/>
      <c r="H35" s="41"/>
    </row>
    <row r="36" spans="1:8" s="7" customFormat="1" ht="15" x14ac:dyDescent="0.25">
      <c r="A36" s="7" t="s">
        <v>48</v>
      </c>
      <c r="B36" s="8"/>
      <c r="D36" s="9"/>
      <c r="E36" s="17"/>
      <c r="F36" s="18"/>
    </row>
    <row r="37" spans="1:8" s="7" customFormat="1" ht="15" x14ac:dyDescent="0.25">
      <c r="D37" s="9"/>
      <c r="E37" s="17"/>
      <c r="F37" s="18"/>
    </row>
    <row r="38" spans="1:8" s="7" customFormat="1" ht="15" x14ac:dyDescent="0.25">
      <c r="D38" s="9"/>
      <c r="E38" s="17"/>
      <c r="F38" s="18"/>
    </row>
    <row r="39" spans="1:8" ht="14.25" customHeight="1" x14ac:dyDescent="0.25"/>
    <row r="40" spans="1:8" x14ac:dyDescent="0.25">
      <c r="B40" s="23"/>
    </row>
    <row r="43" spans="1:8" x14ac:dyDescent="0.25">
      <c r="D43" s="1"/>
      <c r="E43" s="1"/>
      <c r="F43" s="1"/>
    </row>
    <row r="44" spans="1:8" x14ac:dyDescent="0.25">
      <c r="D44" s="1"/>
      <c r="E44" s="1"/>
      <c r="F44" s="1"/>
    </row>
    <row r="45" spans="1:8" x14ac:dyDescent="0.25">
      <c r="D45" s="1"/>
      <c r="E45" s="1"/>
      <c r="F45" s="1"/>
    </row>
    <row r="46" spans="1:8" x14ac:dyDescent="0.25">
      <c r="D46" s="1"/>
      <c r="E46" s="1"/>
      <c r="F46" s="1"/>
    </row>
    <row r="47" spans="1:8" x14ac:dyDescent="0.25">
      <c r="D47" s="1"/>
      <c r="E47" s="1"/>
      <c r="F47" s="1"/>
    </row>
    <row r="48" spans="1:8" ht="12" customHeight="1" x14ac:dyDescent="0.25">
      <c r="D48" s="1"/>
      <c r="E48" s="1"/>
      <c r="F48" s="1"/>
    </row>
    <row r="49" spans="1:8" x14ac:dyDescent="0.25">
      <c r="A49" s="142" t="s">
        <v>98</v>
      </c>
      <c r="B49" s="142"/>
      <c r="C49" s="142"/>
      <c r="D49" s="142"/>
      <c r="E49" s="142"/>
      <c r="F49" s="142"/>
      <c r="G49" s="142"/>
      <c r="H49" s="142"/>
    </row>
  </sheetData>
  <mergeCells count="10">
    <mergeCell ref="F11:H11"/>
    <mergeCell ref="F12:H12"/>
    <mergeCell ref="A16:H16"/>
    <mergeCell ref="A49:H49"/>
    <mergeCell ref="E7:F7"/>
    <mergeCell ref="G7:H7"/>
    <mergeCell ref="E8:F8"/>
    <mergeCell ref="E9:F9"/>
    <mergeCell ref="G9:H9"/>
    <mergeCell ref="G10:H10"/>
  </mergeCells>
  <pageMargins left="0.78740157480314965" right="0.78740157480314965" top="0.98425196850393704" bottom="0.98425196850393704" header="0.51181102362204722" footer="0.51181102362204722"/>
  <pageSetup paperSize="9" orientation="portrait" horizontalDpi="300" verticalDpi="300" r:id="rId1"/>
  <headerFooter alignWithMargins="0">
    <oddHeader>&amp;C&amp;"Times New Roman,Standard"&amp;16Hartmut Ahting
Steuerberater
Diplom-Wirtschaftsingenieur</oddHeader>
    <oddFooter>&amp;L&amp;"Times New Roman,Standard"Heerstrasse 50
60488 Frankfurt
&amp;C&amp;"Times New Roman,Standard"Deutsche Bank
BLZ 500 700 24
Konto 409 28 62&amp;R&amp;"Times New Roman,Standard"Tel:      069 / 788 031-71
Fax:     069 / 788 031-72
Mobil: 0174 / 326 99 58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68B24-5AA5-4445-A158-188AC5143458}">
  <dimension ref="A1:L49"/>
  <sheetViews>
    <sheetView topLeftCell="A13" workbookViewId="0">
      <selection activeCell="G31" sqref="G31"/>
    </sheetView>
  </sheetViews>
  <sheetFormatPr baseColWidth="10" defaultColWidth="10.125" defaultRowHeight="15.75" x14ac:dyDescent="0.25"/>
  <cols>
    <col min="1" max="1" width="3.125" style="1" customWidth="1"/>
    <col min="2" max="2" width="32.875" style="1" customWidth="1"/>
    <col min="3" max="3" width="5" style="1" customWidth="1"/>
    <col min="4" max="4" width="1.75" style="2" customWidth="1"/>
    <col min="5" max="5" width="10.375" style="3" customWidth="1"/>
    <col min="6" max="6" width="7" style="6" bestFit="1" customWidth="1"/>
    <col min="7" max="7" width="8.125" style="1" bestFit="1" customWidth="1"/>
    <col min="8" max="8" width="9.375" style="1" customWidth="1"/>
    <col min="9" max="9" width="4.375" style="1" customWidth="1"/>
    <col min="10" max="12" width="10.125" style="1" customWidth="1"/>
    <col min="13" max="13" width="72.75" style="1" customWidth="1"/>
    <col min="14" max="256" width="10.125" style="1"/>
    <col min="257" max="257" width="3.125" style="1" customWidth="1"/>
    <col min="258" max="258" width="30.875" style="1" customWidth="1"/>
    <col min="259" max="259" width="5.75" style="1" customWidth="1"/>
    <col min="260" max="260" width="1.75" style="1" customWidth="1"/>
    <col min="261" max="261" width="10" style="1" customWidth="1"/>
    <col min="262" max="262" width="7" style="1" bestFit="1" customWidth="1"/>
    <col min="263" max="263" width="8.125" style="1" bestFit="1" customWidth="1"/>
    <col min="264" max="264" width="9.375" style="1" customWidth="1"/>
    <col min="265" max="265" width="4.375" style="1" customWidth="1"/>
    <col min="266" max="268" width="10.125" style="1"/>
    <col min="269" max="269" width="72.75" style="1" customWidth="1"/>
    <col min="270" max="512" width="10.125" style="1"/>
    <col min="513" max="513" width="3.125" style="1" customWidth="1"/>
    <col min="514" max="514" width="30.875" style="1" customWidth="1"/>
    <col min="515" max="515" width="5.75" style="1" customWidth="1"/>
    <col min="516" max="516" width="1.75" style="1" customWidth="1"/>
    <col min="517" max="517" width="10" style="1" customWidth="1"/>
    <col min="518" max="518" width="7" style="1" bestFit="1" customWidth="1"/>
    <col min="519" max="519" width="8.125" style="1" bestFit="1" customWidth="1"/>
    <col min="520" max="520" width="9.375" style="1" customWidth="1"/>
    <col min="521" max="521" width="4.375" style="1" customWidth="1"/>
    <col min="522" max="524" width="10.125" style="1"/>
    <col min="525" max="525" width="72.75" style="1" customWidth="1"/>
    <col min="526" max="768" width="10.125" style="1"/>
    <col min="769" max="769" width="3.125" style="1" customWidth="1"/>
    <col min="770" max="770" width="30.875" style="1" customWidth="1"/>
    <col min="771" max="771" width="5.75" style="1" customWidth="1"/>
    <col min="772" max="772" width="1.75" style="1" customWidth="1"/>
    <col min="773" max="773" width="10" style="1" customWidth="1"/>
    <col min="774" max="774" width="7" style="1" bestFit="1" customWidth="1"/>
    <col min="775" max="775" width="8.125" style="1" bestFit="1" customWidth="1"/>
    <col min="776" max="776" width="9.375" style="1" customWidth="1"/>
    <col min="777" max="777" width="4.375" style="1" customWidth="1"/>
    <col min="778" max="780" width="10.125" style="1"/>
    <col min="781" max="781" width="72.75" style="1" customWidth="1"/>
    <col min="782" max="1024" width="10.125" style="1"/>
    <col min="1025" max="1025" width="3.125" style="1" customWidth="1"/>
    <col min="1026" max="1026" width="30.875" style="1" customWidth="1"/>
    <col min="1027" max="1027" width="5.75" style="1" customWidth="1"/>
    <col min="1028" max="1028" width="1.75" style="1" customWidth="1"/>
    <col min="1029" max="1029" width="10" style="1" customWidth="1"/>
    <col min="1030" max="1030" width="7" style="1" bestFit="1" customWidth="1"/>
    <col min="1031" max="1031" width="8.125" style="1" bestFit="1" customWidth="1"/>
    <col min="1032" max="1032" width="9.375" style="1" customWidth="1"/>
    <col min="1033" max="1033" width="4.375" style="1" customWidth="1"/>
    <col min="1034" max="1036" width="10.125" style="1"/>
    <col min="1037" max="1037" width="72.75" style="1" customWidth="1"/>
    <col min="1038" max="1280" width="10.125" style="1"/>
    <col min="1281" max="1281" width="3.125" style="1" customWidth="1"/>
    <col min="1282" max="1282" width="30.875" style="1" customWidth="1"/>
    <col min="1283" max="1283" width="5.75" style="1" customWidth="1"/>
    <col min="1284" max="1284" width="1.75" style="1" customWidth="1"/>
    <col min="1285" max="1285" width="10" style="1" customWidth="1"/>
    <col min="1286" max="1286" width="7" style="1" bestFit="1" customWidth="1"/>
    <col min="1287" max="1287" width="8.125" style="1" bestFit="1" customWidth="1"/>
    <col min="1288" max="1288" width="9.375" style="1" customWidth="1"/>
    <col min="1289" max="1289" width="4.375" style="1" customWidth="1"/>
    <col min="1290" max="1292" width="10.125" style="1"/>
    <col min="1293" max="1293" width="72.75" style="1" customWidth="1"/>
    <col min="1294" max="1536" width="10.125" style="1"/>
    <col min="1537" max="1537" width="3.125" style="1" customWidth="1"/>
    <col min="1538" max="1538" width="30.875" style="1" customWidth="1"/>
    <col min="1539" max="1539" width="5.75" style="1" customWidth="1"/>
    <col min="1540" max="1540" width="1.75" style="1" customWidth="1"/>
    <col min="1541" max="1541" width="10" style="1" customWidth="1"/>
    <col min="1542" max="1542" width="7" style="1" bestFit="1" customWidth="1"/>
    <col min="1543" max="1543" width="8.125" style="1" bestFit="1" customWidth="1"/>
    <col min="1544" max="1544" width="9.375" style="1" customWidth="1"/>
    <col min="1545" max="1545" width="4.375" style="1" customWidth="1"/>
    <col min="1546" max="1548" width="10.125" style="1"/>
    <col min="1549" max="1549" width="72.75" style="1" customWidth="1"/>
    <col min="1550" max="1792" width="10.125" style="1"/>
    <col min="1793" max="1793" width="3.125" style="1" customWidth="1"/>
    <col min="1794" max="1794" width="30.875" style="1" customWidth="1"/>
    <col min="1795" max="1795" width="5.75" style="1" customWidth="1"/>
    <col min="1796" max="1796" width="1.75" style="1" customWidth="1"/>
    <col min="1797" max="1797" width="10" style="1" customWidth="1"/>
    <col min="1798" max="1798" width="7" style="1" bestFit="1" customWidth="1"/>
    <col min="1799" max="1799" width="8.125" style="1" bestFit="1" customWidth="1"/>
    <col min="1800" max="1800" width="9.375" style="1" customWidth="1"/>
    <col min="1801" max="1801" width="4.375" style="1" customWidth="1"/>
    <col min="1802" max="1804" width="10.125" style="1"/>
    <col min="1805" max="1805" width="72.75" style="1" customWidth="1"/>
    <col min="1806" max="2048" width="10.125" style="1"/>
    <col min="2049" max="2049" width="3.125" style="1" customWidth="1"/>
    <col min="2050" max="2050" width="30.875" style="1" customWidth="1"/>
    <col min="2051" max="2051" width="5.75" style="1" customWidth="1"/>
    <col min="2052" max="2052" width="1.75" style="1" customWidth="1"/>
    <col min="2053" max="2053" width="10" style="1" customWidth="1"/>
    <col min="2054" max="2054" width="7" style="1" bestFit="1" customWidth="1"/>
    <col min="2055" max="2055" width="8.125" style="1" bestFit="1" customWidth="1"/>
    <col min="2056" max="2056" width="9.375" style="1" customWidth="1"/>
    <col min="2057" max="2057" width="4.375" style="1" customWidth="1"/>
    <col min="2058" max="2060" width="10.125" style="1"/>
    <col min="2061" max="2061" width="72.75" style="1" customWidth="1"/>
    <col min="2062" max="2304" width="10.125" style="1"/>
    <col min="2305" max="2305" width="3.125" style="1" customWidth="1"/>
    <col min="2306" max="2306" width="30.875" style="1" customWidth="1"/>
    <col min="2307" max="2307" width="5.75" style="1" customWidth="1"/>
    <col min="2308" max="2308" width="1.75" style="1" customWidth="1"/>
    <col min="2309" max="2309" width="10" style="1" customWidth="1"/>
    <col min="2310" max="2310" width="7" style="1" bestFit="1" customWidth="1"/>
    <col min="2311" max="2311" width="8.125" style="1" bestFit="1" customWidth="1"/>
    <col min="2312" max="2312" width="9.375" style="1" customWidth="1"/>
    <col min="2313" max="2313" width="4.375" style="1" customWidth="1"/>
    <col min="2314" max="2316" width="10.125" style="1"/>
    <col min="2317" max="2317" width="72.75" style="1" customWidth="1"/>
    <col min="2318" max="2560" width="10.125" style="1"/>
    <col min="2561" max="2561" width="3.125" style="1" customWidth="1"/>
    <col min="2562" max="2562" width="30.875" style="1" customWidth="1"/>
    <col min="2563" max="2563" width="5.75" style="1" customWidth="1"/>
    <col min="2564" max="2564" width="1.75" style="1" customWidth="1"/>
    <col min="2565" max="2565" width="10" style="1" customWidth="1"/>
    <col min="2566" max="2566" width="7" style="1" bestFit="1" customWidth="1"/>
    <col min="2567" max="2567" width="8.125" style="1" bestFit="1" customWidth="1"/>
    <col min="2568" max="2568" width="9.375" style="1" customWidth="1"/>
    <col min="2569" max="2569" width="4.375" style="1" customWidth="1"/>
    <col min="2570" max="2572" width="10.125" style="1"/>
    <col min="2573" max="2573" width="72.75" style="1" customWidth="1"/>
    <col min="2574" max="2816" width="10.125" style="1"/>
    <col min="2817" max="2817" width="3.125" style="1" customWidth="1"/>
    <col min="2818" max="2818" width="30.875" style="1" customWidth="1"/>
    <col min="2819" max="2819" width="5.75" style="1" customWidth="1"/>
    <col min="2820" max="2820" width="1.75" style="1" customWidth="1"/>
    <col min="2821" max="2821" width="10" style="1" customWidth="1"/>
    <col min="2822" max="2822" width="7" style="1" bestFit="1" customWidth="1"/>
    <col min="2823" max="2823" width="8.125" style="1" bestFit="1" customWidth="1"/>
    <col min="2824" max="2824" width="9.375" style="1" customWidth="1"/>
    <col min="2825" max="2825" width="4.375" style="1" customWidth="1"/>
    <col min="2826" max="2828" width="10.125" style="1"/>
    <col min="2829" max="2829" width="72.75" style="1" customWidth="1"/>
    <col min="2830" max="3072" width="10.125" style="1"/>
    <col min="3073" max="3073" width="3.125" style="1" customWidth="1"/>
    <col min="3074" max="3074" width="30.875" style="1" customWidth="1"/>
    <col min="3075" max="3075" width="5.75" style="1" customWidth="1"/>
    <col min="3076" max="3076" width="1.75" style="1" customWidth="1"/>
    <col min="3077" max="3077" width="10" style="1" customWidth="1"/>
    <col min="3078" max="3078" width="7" style="1" bestFit="1" customWidth="1"/>
    <col min="3079" max="3079" width="8.125" style="1" bestFit="1" customWidth="1"/>
    <col min="3080" max="3080" width="9.375" style="1" customWidth="1"/>
    <col min="3081" max="3081" width="4.375" style="1" customWidth="1"/>
    <col min="3082" max="3084" width="10.125" style="1"/>
    <col min="3085" max="3085" width="72.75" style="1" customWidth="1"/>
    <col min="3086" max="3328" width="10.125" style="1"/>
    <col min="3329" max="3329" width="3.125" style="1" customWidth="1"/>
    <col min="3330" max="3330" width="30.875" style="1" customWidth="1"/>
    <col min="3331" max="3331" width="5.75" style="1" customWidth="1"/>
    <col min="3332" max="3332" width="1.75" style="1" customWidth="1"/>
    <col min="3333" max="3333" width="10" style="1" customWidth="1"/>
    <col min="3334" max="3334" width="7" style="1" bestFit="1" customWidth="1"/>
    <col min="3335" max="3335" width="8.125" style="1" bestFit="1" customWidth="1"/>
    <col min="3336" max="3336" width="9.375" style="1" customWidth="1"/>
    <col min="3337" max="3337" width="4.375" style="1" customWidth="1"/>
    <col min="3338" max="3340" width="10.125" style="1"/>
    <col min="3341" max="3341" width="72.75" style="1" customWidth="1"/>
    <col min="3342" max="3584" width="10.125" style="1"/>
    <col min="3585" max="3585" width="3.125" style="1" customWidth="1"/>
    <col min="3586" max="3586" width="30.875" style="1" customWidth="1"/>
    <col min="3587" max="3587" width="5.75" style="1" customWidth="1"/>
    <col min="3588" max="3588" width="1.75" style="1" customWidth="1"/>
    <col min="3589" max="3589" width="10" style="1" customWidth="1"/>
    <col min="3590" max="3590" width="7" style="1" bestFit="1" customWidth="1"/>
    <col min="3591" max="3591" width="8.125" style="1" bestFit="1" customWidth="1"/>
    <col min="3592" max="3592" width="9.375" style="1" customWidth="1"/>
    <col min="3593" max="3593" width="4.375" style="1" customWidth="1"/>
    <col min="3594" max="3596" width="10.125" style="1"/>
    <col min="3597" max="3597" width="72.75" style="1" customWidth="1"/>
    <col min="3598" max="3840" width="10.125" style="1"/>
    <col min="3841" max="3841" width="3.125" style="1" customWidth="1"/>
    <col min="3842" max="3842" width="30.875" style="1" customWidth="1"/>
    <col min="3843" max="3843" width="5.75" style="1" customWidth="1"/>
    <col min="3844" max="3844" width="1.75" style="1" customWidth="1"/>
    <col min="3845" max="3845" width="10" style="1" customWidth="1"/>
    <col min="3846" max="3846" width="7" style="1" bestFit="1" customWidth="1"/>
    <col min="3847" max="3847" width="8.125" style="1" bestFit="1" customWidth="1"/>
    <col min="3848" max="3848" width="9.375" style="1" customWidth="1"/>
    <col min="3849" max="3849" width="4.375" style="1" customWidth="1"/>
    <col min="3850" max="3852" width="10.125" style="1"/>
    <col min="3853" max="3853" width="72.75" style="1" customWidth="1"/>
    <col min="3854" max="4096" width="10.125" style="1"/>
    <col min="4097" max="4097" width="3.125" style="1" customWidth="1"/>
    <col min="4098" max="4098" width="30.875" style="1" customWidth="1"/>
    <col min="4099" max="4099" width="5.75" style="1" customWidth="1"/>
    <col min="4100" max="4100" width="1.75" style="1" customWidth="1"/>
    <col min="4101" max="4101" width="10" style="1" customWidth="1"/>
    <col min="4102" max="4102" width="7" style="1" bestFit="1" customWidth="1"/>
    <col min="4103" max="4103" width="8.125" style="1" bestFit="1" customWidth="1"/>
    <col min="4104" max="4104" width="9.375" style="1" customWidth="1"/>
    <col min="4105" max="4105" width="4.375" style="1" customWidth="1"/>
    <col min="4106" max="4108" width="10.125" style="1"/>
    <col min="4109" max="4109" width="72.75" style="1" customWidth="1"/>
    <col min="4110" max="4352" width="10.125" style="1"/>
    <col min="4353" max="4353" width="3.125" style="1" customWidth="1"/>
    <col min="4354" max="4354" width="30.875" style="1" customWidth="1"/>
    <col min="4355" max="4355" width="5.75" style="1" customWidth="1"/>
    <col min="4356" max="4356" width="1.75" style="1" customWidth="1"/>
    <col min="4357" max="4357" width="10" style="1" customWidth="1"/>
    <col min="4358" max="4358" width="7" style="1" bestFit="1" customWidth="1"/>
    <col min="4359" max="4359" width="8.125" style="1" bestFit="1" customWidth="1"/>
    <col min="4360" max="4360" width="9.375" style="1" customWidth="1"/>
    <col min="4361" max="4361" width="4.375" style="1" customWidth="1"/>
    <col min="4362" max="4364" width="10.125" style="1"/>
    <col min="4365" max="4365" width="72.75" style="1" customWidth="1"/>
    <col min="4366" max="4608" width="10.125" style="1"/>
    <col min="4609" max="4609" width="3.125" style="1" customWidth="1"/>
    <col min="4610" max="4610" width="30.875" style="1" customWidth="1"/>
    <col min="4611" max="4611" width="5.75" style="1" customWidth="1"/>
    <col min="4612" max="4612" width="1.75" style="1" customWidth="1"/>
    <col min="4613" max="4613" width="10" style="1" customWidth="1"/>
    <col min="4614" max="4614" width="7" style="1" bestFit="1" customWidth="1"/>
    <col min="4615" max="4615" width="8.125" style="1" bestFit="1" customWidth="1"/>
    <col min="4616" max="4616" width="9.375" style="1" customWidth="1"/>
    <col min="4617" max="4617" width="4.375" style="1" customWidth="1"/>
    <col min="4618" max="4620" width="10.125" style="1"/>
    <col min="4621" max="4621" width="72.75" style="1" customWidth="1"/>
    <col min="4622" max="4864" width="10.125" style="1"/>
    <col min="4865" max="4865" width="3.125" style="1" customWidth="1"/>
    <col min="4866" max="4866" width="30.875" style="1" customWidth="1"/>
    <col min="4867" max="4867" width="5.75" style="1" customWidth="1"/>
    <col min="4868" max="4868" width="1.75" style="1" customWidth="1"/>
    <col min="4869" max="4869" width="10" style="1" customWidth="1"/>
    <col min="4870" max="4870" width="7" style="1" bestFit="1" customWidth="1"/>
    <col min="4871" max="4871" width="8.125" style="1" bestFit="1" customWidth="1"/>
    <col min="4872" max="4872" width="9.375" style="1" customWidth="1"/>
    <col min="4873" max="4873" width="4.375" style="1" customWidth="1"/>
    <col min="4874" max="4876" width="10.125" style="1"/>
    <col min="4877" max="4877" width="72.75" style="1" customWidth="1"/>
    <col min="4878" max="5120" width="10.125" style="1"/>
    <col min="5121" max="5121" width="3.125" style="1" customWidth="1"/>
    <col min="5122" max="5122" width="30.875" style="1" customWidth="1"/>
    <col min="5123" max="5123" width="5.75" style="1" customWidth="1"/>
    <col min="5124" max="5124" width="1.75" style="1" customWidth="1"/>
    <col min="5125" max="5125" width="10" style="1" customWidth="1"/>
    <col min="5126" max="5126" width="7" style="1" bestFit="1" customWidth="1"/>
    <col min="5127" max="5127" width="8.125" style="1" bestFit="1" customWidth="1"/>
    <col min="5128" max="5128" width="9.375" style="1" customWidth="1"/>
    <col min="5129" max="5129" width="4.375" style="1" customWidth="1"/>
    <col min="5130" max="5132" width="10.125" style="1"/>
    <col min="5133" max="5133" width="72.75" style="1" customWidth="1"/>
    <col min="5134" max="5376" width="10.125" style="1"/>
    <col min="5377" max="5377" width="3.125" style="1" customWidth="1"/>
    <col min="5378" max="5378" width="30.875" style="1" customWidth="1"/>
    <col min="5379" max="5379" width="5.75" style="1" customWidth="1"/>
    <col min="5380" max="5380" width="1.75" style="1" customWidth="1"/>
    <col min="5381" max="5381" width="10" style="1" customWidth="1"/>
    <col min="5382" max="5382" width="7" style="1" bestFit="1" customWidth="1"/>
    <col min="5383" max="5383" width="8.125" style="1" bestFit="1" customWidth="1"/>
    <col min="5384" max="5384" width="9.375" style="1" customWidth="1"/>
    <col min="5385" max="5385" width="4.375" style="1" customWidth="1"/>
    <col min="5386" max="5388" width="10.125" style="1"/>
    <col min="5389" max="5389" width="72.75" style="1" customWidth="1"/>
    <col min="5390" max="5632" width="10.125" style="1"/>
    <col min="5633" max="5633" width="3.125" style="1" customWidth="1"/>
    <col min="5634" max="5634" width="30.875" style="1" customWidth="1"/>
    <col min="5635" max="5635" width="5.75" style="1" customWidth="1"/>
    <col min="5636" max="5636" width="1.75" style="1" customWidth="1"/>
    <col min="5637" max="5637" width="10" style="1" customWidth="1"/>
    <col min="5638" max="5638" width="7" style="1" bestFit="1" customWidth="1"/>
    <col min="5639" max="5639" width="8.125" style="1" bestFit="1" customWidth="1"/>
    <col min="5640" max="5640" width="9.375" style="1" customWidth="1"/>
    <col min="5641" max="5641" width="4.375" style="1" customWidth="1"/>
    <col min="5642" max="5644" width="10.125" style="1"/>
    <col min="5645" max="5645" width="72.75" style="1" customWidth="1"/>
    <col min="5646" max="5888" width="10.125" style="1"/>
    <col min="5889" max="5889" width="3.125" style="1" customWidth="1"/>
    <col min="5890" max="5890" width="30.875" style="1" customWidth="1"/>
    <col min="5891" max="5891" width="5.75" style="1" customWidth="1"/>
    <col min="5892" max="5892" width="1.75" style="1" customWidth="1"/>
    <col min="5893" max="5893" width="10" style="1" customWidth="1"/>
    <col min="5894" max="5894" width="7" style="1" bestFit="1" customWidth="1"/>
    <col min="5895" max="5895" width="8.125" style="1" bestFit="1" customWidth="1"/>
    <col min="5896" max="5896" width="9.375" style="1" customWidth="1"/>
    <col min="5897" max="5897" width="4.375" style="1" customWidth="1"/>
    <col min="5898" max="5900" width="10.125" style="1"/>
    <col min="5901" max="5901" width="72.75" style="1" customWidth="1"/>
    <col min="5902" max="6144" width="10.125" style="1"/>
    <col min="6145" max="6145" width="3.125" style="1" customWidth="1"/>
    <col min="6146" max="6146" width="30.875" style="1" customWidth="1"/>
    <col min="6147" max="6147" width="5.75" style="1" customWidth="1"/>
    <col min="6148" max="6148" width="1.75" style="1" customWidth="1"/>
    <col min="6149" max="6149" width="10" style="1" customWidth="1"/>
    <col min="6150" max="6150" width="7" style="1" bestFit="1" customWidth="1"/>
    <col min="6151" max="6151" width="8.125" style="1" bestFit="1" customWidth="1"/>
    <col min="6152" max="6152" width="9.375" style="1" customWidth="1"/>
    <col min="6153" max="6153" width="4.375" style="1" customWidth="1"/>
    <col min="6154" max="6156" width="10.125" style="1"/>
    <col min="6157" max="6157" width="72.75" style="1" customWidth="1"/>
    <col min="6158" max="6400" width="10.125" style="1"/>
    <col min="6401" max="6401" width="3.125" style="1" customWidth="1"/>
    <col min="6402" max="6402" width="30.875" style="1" customWidth="1"/>
    <col min="6403" max="6403" width="5.75" style="1" customWidth="1"/>
    <col min="6404" max="6404" width="1.75" style="1" customWidth="1"/>
    <col min="6405" max="6405" width="10" style="1" customWidth="1"/>
    <col min="6406" max="6406" width="7" style="1" bestFit="1" customWidth="1"/>
    <col min="6407" max="6407" width="8.125" style="1" bestFit="1" customWidth="1"/>
    <col min="6408" max="6408" width="9.375" style="1" customWidth="1"/>
    <col min="6409" max="6409" width="4.375" style="1" customWidth="1"/>
    <col min="6410" max="6412" width="10.125" style="1"/>
    <col min="6413" max="6413" width="72.75" style="1" customWidth="1"/>
    <col min="6414" max="6656" width="10.125" style="1"/>
    <col min="6657" max="6657" width="3.125" style="1" customWidth="1"/>
    <col min="6658" max="6658" width="30.875" style="1" customWidth="1"/>
    <col min="6659" max="6659" width="5.75" style="1" customWidth="1"/>
    <col min="6660" max="6660" width="1.75" style="1" customWidth="1"/>
    <col min="6661" max="6661" width="10" style="1" customWidth="1"/>
    <col min="6662" max="6662" width="7" style="1" bestFit="1" customWidth="1"/>
    <col min="6663" max="6663" width="8.125" style="1" bestFit="1" customWidth="1"/>
    <col min="6664" max="6664" width="9.375" style="1" customWidth="1"/>
    <col min="6665" max="6665" width="4.375" style="1" customWidth="1"/>
    <col min="6666" max="6668" width="10.125" style="1"/>
    <col min="6669" max="6669" width="72.75" style="1" customWidth="1"/>
    <col min="6670" max="6912" width="10.125" style="1"/>
    <col min="6913" max="6913" width="3.125" style="1" customWidth="1"/>
    <col min="6914" max="6914" width="30.875" style="1" customWidth="1"/>
    <col min="6915" max="6915" width="5.75" style="1" customWidth="1"/>
    <col min="6916" max="6916" width="1.75" style="1" customWidth="1"/>
    <col min="6917" max="6917" width="10" style="1" customWidth="1"/>
    <col min="6918" max="6918" width="7" style="1" bestFit="1" customWidth="1"/>
    <col min="6919" max="6919" width="8.125" style="1" bestFit="1" customWidth="1"/>
    <col min="6920" max="6920" width="9.375" style="1" customWidth="1"/>
    <col min="6921" max="6921" width="4.375" style="1" customWidth="1"/>
    <col min="6922" max="6924" width="10.125" style="1"/>
    <col min="6925" max="6925" width="72.75" style="1" customWidth="1"/>
    <col min="6926" max="7168" width="10.125" style="1"/>
    <col min="7169" max="7169" width="3.125" style="1" customWidth="1"/>
    <col min="7170" max="7170" width="30.875" style="1" customWidth="1"/>
    <col min="7171" max="7171" width="5.75" style="1" customWidth="1"/>
    <col min="7172" max="7172" width="1.75" style="1" customWidth="1"/>
    <col min="7173" max="7173" width="10" style="1" customWidth="1"/>
    <col min="7174" max="7174" width="7" style="1" bestFit="1" customWidth="1"/>
    <col min="7175" max="7175" width="8.125" style="1" bestFit="1" customWidth="1"/>
    <col min="7176" max="7176" width="9.375" style="1" customWidth="1"/>
    <col min="7177" max="7177" width="4.375" style="1" customWidth="1"/>
    <col min="7178" max="7180" width="10.125" style="1"/>
    <col min="7181" max="7181" width="72.75" style="1" customWidth="1"/>
    <col min="7182" max="7424" width="10.125" style="1"/>
    <col min="7425" max="7425" width="3.125" style="1" customWidth="1"/>
    <col min="7426" max="7426" width="30.875" style="1" customWidth="1"/>
    <col min="7427" max="7427" width="5.75" style="1" customWidth="1"/>
    <col min="7428" max="7428" width="1.75" style="1" customWidth="1"/>
    <col min="7429" max="7429" width="10" style="1" customWidth="1"/>
    <col min="7430" max="7430" width="7" style="1" bestFit="1" customWidth="1"/>
    <col min="7431" max="7431" width="8.125" style="1" bestFit="1" customWidth="1"/>
    <col min="7432" max="7432" width="9.375" style="1" customWidth="1"/>
    <col min="7433" max="7433" width="4.375" style="1" customWidth="1"/>
    <col min="7434" max="7436" width="10.125" style="1"/>
    <col min="7437" max="7437" width="72.75" style="1" customWidth="1"/>
    <col min="7438" max="7680" width="10.125" style="1"/>
    <col min="7681" max="7681" width="3.125" style="1" customWidth="1"/>
    <col min="7682" max="7682" width="30.875" style="1" customWidth="1"/>
    <col min="7683" max="7683" width="5.75" style="1" customWidth="1"/>
    <col min="7684" max="7684" width="1.75" style="1" customWidth="1"/>
    <col min="7685" max="7685" width="10" style="1" customWidth="1"/>
    <col min="7686" max="7686" width="7" style="1" bestFit="1" customWidth="1"/>
    <col min="7687" max="7687" width="8.125" style="1" bestFit="1" customWidth="1"/>
    <col min="7688" max="7688" width="9.375" style="1" customWidth="1"/>
    <col min="7689" max="7689" width="4.375" style="1" customWidth="1"/>
    <col min="7690" max="7692" width="10.125" style="1"/>
    <col min="7693" max="7693" width="72.75" style="1" customWidth="1"/>
    <col min="7694" max="7936" width="10.125" style="1"/>
    <col min="7937" max="7937" width="3.125" style="1" customWidth="1"/>
    <col min="7938" max="7938" width="30.875" style="1" customWidth="1"/>
    <col min="7939" max="7939" width="5.75" style="1" customWidth="1"/>
    <col min="7940" max="7940" width="1.75" style="1" customWidth="1"/>
    <col min="7941" max="7941" width="10" style="1" customWidth="1"/>
    <col min="7942" max="7942" width="7" style="1" bestFit="1" customWidth="1"/>
    <col min="7943" max="7943" width="8.125" style="1" bestFit="1" customWidth="1"/>
    <col min="7944" max="7944" width="9.375" style="1" customWidth="1"/>
    <col min="7945" max="7945" width="4.375" style="1" customWidth="1"/>
    <col min="7946" max="7948" width="10.125" style="1"/>
    <col min="7949" max="7949" width="72.75" style="1" customWidth="1"/>
    <col min="7950" max="8192" width="10.125" style="1"/>
    <col min="8193" max="8193" width="3.125" style="1" customWidth="1"/>
    <col min="8194" max="8194" width="30.875" style="1" customWidth="1"/>
    <col min="8195" max="8195" width="5.75" style="1" customWidth="1"/>
    <col min="8196" max="8196" width="1.75" style="1" customWidth="1"/>
    <col min="8197" max="8197" width="10" style="1" customWidth="1"/>
    <col min="8198" max="8198" width="7" style="1" bestFit="1" customWidth="1"/>
    <col min="8199" max="8199" width="8.125" style="1" bestFit="1" customWidth="1"/>
    <col min="8200" max="8200" width="9.375" style="1" customWidth="1"/>
    <col min="8201" max="8201" width="4.375" style="1" customWidth="1"/>
    <col min="8202" max="8204" width="10.125" style="1"/>
    <col min="8205" max="8205" width="72.75" style="1" customWidth="1"/>
    <col min="8206" max="8448" width="10.125" style="1"/>
    <col min="8449" max="8449" width="3.125" style="1" customWidth="1"/>
    <col min="8450" max="8450" width="30.875" style="1" customWidth="1"/>
    <col min="8451" max="8451" width="5.75" style="1" customWidth="1"/>
    <col min="8452" max="8452" width="1.75" style="1" customWidth="1"/>
    <col min="8453" max="8453" width="10" style="1" customWidth="1"/>
    <col min="8454" max="8454" width="7" style="1" bestFit="1" customWidth="1"/>
    <col min="8455" max="8455" width="8.125" style="1" bestFit="1" customWidth="1"/>
    <col min="8456" max="8456" width="9.375" style="1" customWidth="1"/>
    <col min="8457" max="8457" width="4.375" style="1" customWidth="1"/>
    <col min="8458" max="8460" width="10.125" style="1"/>
    <col min="8461" max="8461" width="72.75" style="1" customWidth="1"/>
    <col min="8462" max="8704" width="10.125" style="1"/>
    <col min="8705" max="8705" width="3.125" style="1" customWidth="1"/>
    <col min="8706" max="8706" width="30.875" style="1" customWidth="1"/>
    <col min="8707" max="8707" width="5.75" style="1" customWidth="1"/>
    <col min="8708" max="8708" width="1.75" style="1" customWidth="1"/>
    <col min="8709" max="8709" width="10" style="1" customWidth="1"/>
    <col min="8710" max="8710" width="7" style="1" bestFit="1" customWidth="1"/>
    <col min="8711" max="8711" width="8.125" style="1" bestFit="1" customWidth="1"/>
    <col min="8712" max="8712" width="9.375" style="1" customWidth="1"/>
    <col min="8713" max="8713" width="4.375" style="1" customWidth="1"/>
    <col min="8714" max="8716" width="10.125" style="1"/>
    <col min="8717" max="8717" width="72.75" style="1" customWidth="1"/>
    <col min="8718" max="8960" width="10.125" style="1"/>
    <col min="8961" max="8961" width="3.125" style="1" customWidth="1"/>
    <col min="8962" max="8962" width="30.875" style="1" customWidth="1"/>
    <col min="8963" max="8963" width="5.75" style="1" customWidth="1"/>
    <col min="8964" max="8964" width="1.75" style="1" customWidth="1"/>
    <col min="8965" max="8965" width="10" style="1" customWidth="1"/>
    <col min="8966" max="8966" width="7" style="1" bestFit="1" customWidth="1"/>
    <col min="8967" max="8967" width="8.125" style="1" bestFit="1" customWidth="1"/>
    <col min="8968" max="8968" width="9.375" style="1" customWidth="1"/>
    <col min="8969" max="8969" width="4.375" style="1" customWidth="1"/>
    <col min="8970" max="8972" width="10.125" style="1"/>
    <col min="8973" max="8973" width="72.75" style="1" customWidth="1"/>
    <col min="8974" max="9216" width="10.125" style="1"/>
    <col min="9217" max="9217" width="3.125" style="1" customWidth="1"/>
    <col min="9218" max="9218" width="30.875" style="1" customWidth="1"/>
    <col min="9219" max="9219" width="5.75" style="1" customWidth="1"/>
    <col min="9220" max="9220" width="1.75" style="1" customWidth="1"/>
    <col min="9221" max="9221" width="10" style="1" customWidth="1"/>
    <col min="9222" max="9222" width="7" style="1" bestFit="1" customWidth="1"/>
    <col min="9223" max="9223" width="8.125" style="1" bestFit="1" customWidth="1"/>
    <col min="9224" max="9224" width="9.375" style="1" customWidth="1"/>
    <col min="9225" max="9225" width="4.375" style="1" customWidth="1"/>
    <col min="9226" max="9228" width="10.125" style="1"/>
    <col min="9229" max="9229" width="72.75" style="1" customWidth="1"/>
    <col min="9230" max="9472" width="10.125" style="1"/>
    <col min="9473" max="9473" width="3.125" style="1" customWidth="1"/>
    <col min="9474" max="9474" width="30.875" style="1" customWidth="1"/>
    <col min="9475" max="9475" width="5.75" style="1" customWidth="1"/>
    <col min="9476" max="9476" width="1.75" style="1" customWidth="1"/>
    <col min="9477" max="9477" width="10" style="1" customWidth="1"/>
    <col min="9478" max="9478" width="7" style="1" bestFit="1" customWidth="1"/>
    <col min="9479" max="9479" width="8.125" style="1" bestFit="1" customWidth="1"/>
    <col min="9480" max="9480" width="9.375" style="1" customWidth="1"/>
    <col min="9481" max="9481" width="4.375" style="1" customWidth="1"/>
    <col min="9482" max="9484" width="10.125" style="1"/>
    <col min="9485" max="9485" width="72.75" style="1" customWidth="1"/>
    <col min="9486" max="9728" width="10.125" style="1"/>
    <col min="9729" max="9729" width="3.125" style="1" customWidth="1"/>
    <col min="9730" max="9730" width="30.875" style="1" customWidth="1"/>
    <col min="9731" max="9731" width="5.75" style="1" customWidth="1"/>
    <col min="9732" max="9732" width="1.75" style="1" customWidth="1"/>
    <col min="9733" max="9733" width="10" style="1" customWidth="1"/>
    <col min="9734" max="9734" width="7" style="1" bestFit="1" customWidth="1"/>
    <col min="9735" max="9735" width="8.125" style="1" bestFit="1" customWidth="1"/>
    <col min="9736" max="9736" width="9.375" style="1" customWidth="1"/>
    <col min="9737" max="9737" width="4.375" style="1" customWidth="1"/>
    <col min="9738" max="9740" width="10.125" style="1"/>
    <col min="9741" max="9741" width="72.75" style="1" customWidth="1"/>
    <col min="9742" max="9984" width="10.125" style="1"/>
    <col min="9985" max="9985" width="3.125" style="1" customWidth="1"/>
    <col min="9986" max="9986" width="30.875" style="1" customWidth="1"/>
    <col min="9987" max="9987" width="5.75" style="1" customWidth="1"/>
    <col min="9988" max="9988" width="1.75" style="1" customWidth="1"/>
    <col min="9989" max="9989" width="10" style="1" customWidth="1"/>
    <col min="9990" max="9990" width="7" style="1" bestFit="1" customWidth="1"/>
    <col min="9991" max="9991" width="8.125" style="1" bestFit="1" customWidth="1"/>
    <col min="9992" max="9992" width="9.375" style="1" customWidth="1"/>
    <col min="9993" max="9993" width="4.375" style="1" customWidth="1"/>
    <col min="9994" max="9996" width="10.125" style="1"/>
    <col min="9997" max="9997" width="72.75" style="1" customWidth="1"/>
    <col min="9998" max="10240" width="10.125" style="1"/>
    <col min="10241" max="10241" width="3.125" style="1" customWidth="1"/>
    <col min="10242" max="10242" width="30.875" style="1" customWidth="1"/>
    <col min="10243" max="10243" width="5.75" style="1" customWidth="1"/>
    <col min="10244" max="10244" width="1.75" style="1" customWidth="1"/>
    <col min="10245" max="10245" width="10" style="1" customWidth="1"/>
    <col min="10246" max="10246" width="7" style="1" bestFit="1" customWidth="1"/>
    <col min="10247" max="10247" width="8.125" style="1" bestFit="1" customWidth="1"/>
    <col min="10248" max="10248" width="9.375" style="1" customWidth="1"/>
    <col min="10249" max="10249" width="4.375" style="1" customWidth="1"/>
    <col min="10250" max="10252" width="10.125" style="1"/>
    <col min="10253" max="10253" width="72.75" style="1" customWidth="1"/>
    <col min="10254" max="10496" width="10.125" style="1"/>
    <col min="10497" max="10497" width="3.125" style="1" customWidth="1"/>
    <col min="10498" max="10498" width="30.875" style="1" customWidth="1"/>
    <col min="10499" max="10499" width="5.75" style="1" customWidth="1"/>
    <col min="10500" max="10500" width="1.75" style="1" customWidth="1"/>
    <col min="10501" max="10501" width="10" style="1" customWidth="1"/>
    <col min="10502" max="10502" width="7" style="1" bestFit="1" customWidth="1"/>
    <col min="10503" max="10503" width="8.125" style="1" bestFit="1" customWidth="1"/>
    <col min="10504" max="10504" width="9.375" style="1" customWidth="1"/>
    <col min="10505" max="10505" width="4.375" style="1" customWidth="1"/>
    <col min="10506" max="10508" width="10.125" style="1"/>
    <col min="10509" max="10509" width="72.75" style="1" customWidth="1"/>
    <col min="10510" max="10752" width="10.125" style="1"/>
    <col min="10753" max="10753" width="3.125" style="1" customWidth="1"/>
    <col min="10754" max="10754" width="30.875" style="1" customWidth="1"/>
    <col min="10755" max="10755" width="5.75" style="1" customWidth="1"/>
    <col min="10756" max="10756" width="1.75" style="1" customWidth="1"/>
    <col min="10757" max="10757" width="10" style="1" customWidth="1"/>
    <col min="10758" max="10758" width="7" style="1" bestFit="1" customWidth="1"/>
    <col min="10759" max="10759" width="8.125" style="1" bestFit="1" customWidth="1"/>
    <col min="10760" max="10760" width="9.375" style="1" customWidth="1"/>
    <col min="10761" max="10761" width="4.375" style="1" customWidth="1"/>
    <col min="10762" max="10764" width="10.125" style="1"/>
    <col min="10765" max="10765" width="72.75" style="1" customWidth="1"/>
    <col min="10766" max="11008" width="10.125" style="1"/>
    <col min="11009" max="11009" width="3.125" style="1" customWidth="1"/>
    <col min="11010" max="11010" width="30.875" style="1" customWidth="1"/>
    <col min="11011" max="11011" width="5.75" style="1" customWidth="1"/>
    <col min="11012" max="11012" width="1.75" style="1" customWidth="1"/>
    <col min="11013" max="11013" width="10" style="1" customWidth="1"/>
    <col min="11014" max="11014" width="7" style="1" bestFit="1" customWidth="1"/>
    <col min="11015" max="11015" width="8.125" style="1" bestFit="1" customWidth="1"/>
    <col min="11016" max="11016" width="9.375" style="1" customWidth="1"/>
    <col min="11017" max="11017" width="4.375" style="1" customWidth="1"/>
    <col min="11018" max="11020" width="10.125" style="1"/>
    <col min="11021" max="11021" width="72.75" style="1" customWidth="1"/>
    <col min="11022" max="11264" width="10.125" style="1"/>
    <col min="11265" max="11265" width="3.125" style="1" customWidth="1"/>
    <col min="11266" max="11266" width="30.875" style="1" customWidth="1"/>
    <col min="11267" max="11267" width="5.75" style="1" customWidth="1"/>
    <col min="11268" max="11268" width="1.75" style="1" customWidth="1"/>
    <col min="11269" max="11269" width="10" style="1" customWidth="1"/>
    <col min="11270" max="11270" width="7" style="1" bestFit="1" customWidth="1"/>
    <col min="11271" max="11271" width="8.125" style="1" bestFit="1" customWidth="1"/>
    <col min="11272" max="11272" width="9.375" style="1" customWidth="1"/>
    <col min="11273" max="11273" width="4.375" style="1" customWidth="1"/>
    <col min="11274" max="11276" width="10.125" style="1"/>
    <col min="11277" max="11277" width="72.75" style="1" customWidth="1"/>
    <col min="11278" max="11520" width="10.125" style="1"/>
    <col min="11521" max="11521" width="3.125" style="1" customWidth="1"/>
    <col min="11522" max="11522" width="30.875" style="1" customWidth="1"/>
    <col min="11523" max="11523" width="5.75" style="1" customWidth="1"/>
    <col min="11524" max="11524" width="1.75" style="1" customWidth="1"/>
    <col min="11525" max="11525" width="10" style="1" customWidth="1"/>
    <col min="11526" max="11526" width="7" style="1" bestFit="1" customWidth="1"/>
    <col min="11527" max="11527" width="8.125" style="1" bestFit="1" customWidth="1"/>
    <col min="11528" max="11528" width="9.375" style="1" customWidth="1"/>
    <col min="11529" max="11529" width="4.375" style="1" customWidth="1"/>
    <col min="11530" max="11532" width="10.125" style="1"/>
    <col min="11533" max="11533" width="72.75" style="1" customWidth="1"/>
    <col min="11534" max="11776" width="10.125" style="1"/>
    <col min="11777" max="11777" width="3.125" style="1" customWidth="1"/>
    <col min="11778" max="11778" width="30.875" style="1" customWidth="1"/>
    <col min="11779" max="11779" width="5.75" style="1" customWidth="1"/>
    <col min="11780" max="11780" width="1.75" style="1" customWidth="1"/>
    <col min="11781" max="11781" width="10" style="1" customWidth="1"/>
    <col min="11782" max="11782" width="7" style="1" bestFit="1" customWidth="1"/>
    <col min="11783" max="11783" width="8.125" style="1" bestFit="1" customWidth="1"/>
    <col min="11784" max="11784" width="9.375" style="1" customWidth="1"/>
    <col min="11785" max="11785" width="4.375" style="1" customWidth="1"/>
    <col min="11786" max="11788" width="10.125" style="1"/>
    <col min="11789" max="11789" width="72.75" style="1" customWidth="1"/>
    <col min="11790" max="12032" width="10.125" style="1"/>
    <col min="12033" max="12033" width="3.125" style="1" customWidth="1"/>
    <col min="12034" max="12034" width="30.875" style="1" customWidth="1"/>
    <col min="12035" max="12035" width="5.75" style="1" customWidth="1"/>
    <col min="12036" max="12036" width="1.75" style="1" customWidth="1"/>
    <col min="12037" max="12037" width="10" style="1" customWidth="1"/>
    <col min="12038" max="12038" width="7" style="1" bestFit="1" customWidth="1"/>
    <col min="12039" max="12039" width="8.125" style="1" bestFit="1" customWidth="1"/>
    <col min="12040" max="12040" width="9.375" style="1" customWidth="1"/>
    <col min="12041" max="12041" width="4.375" style="1" customWidth="1"/>
    <col min="12042" max="12044" width="10.125" style="1"/>
    <col min="12045" max="12045" width="72.75" style="1" customWidth="1"/>
    <col min="12046" max="12288" width="10.125" style="1"/>
    <col min="12289" max="12289" width="3.125" style="1" customWidth="1"/>
    <col min="12290" max="12290" width="30.875" style="1" customWidth="1"/>
    <col min="12291" max="12291" width="5.75" style="1" customWidth="1"/>
    <col min="12292" max="12292" width="1.75" style="1" customWidth="1"/>
    <col min="12293" max="12293" width="10" style="1" customWidth="1"/>
    <col min="12294" max="12294" width="7" style="1" bestFit="1" customWidth="1"/>
    <col min="12295" max="12295" width="8.125" style="1" bestFit="1" customWidth="1"/>
    <col min="12296" max="12296" width="9.375" style="1" customWidth="1"/>
    <col min="12297" max="12297" width="4.375" style="1" customWidth="1"/>
    <col min="12298" max="12300" width="10.125" style="1"/>
    <col min="12301" max="12301" width="72.75" style="1" customWidth="1"/>
    <col min="12302" max="12544" width="10.125" style="1"/>
    <col min="12545" max="12545" width="3.125" style="1" customWidth="1"/>
    <col min="12546" max="12546" width="30.875" style="1" customWidth="1"/>
    <col min="12547" max="12547" width="5.75" style="1" customWidth="1"/>
    <col min="12548" max="12548" width="1.75" style="1" customWidth="1"/>
    <col min="12549" max="12549" width="10" style="1" customWidth="1"/>
    <col min="12550" max="12550" width="7" style="1" bestFit="1" customWidth="1"/>
    <col min="12551" max="12551" width="8.125" style="1" bestFit="1" customWidth="1"/>
    <col min="12552" max="12552" width="9.375" style="1" customWidth="1"/>
    <col min="12553" max="12553" width="4.375" style="1" customWidth="1"/>
    <col min="12554" max="12556" width="10.125" style="1"/>
    <col min="12557" max="12557" width="72.75" style="1" customWidth="1"/>
    <col min="12558" max="12800" width="10.125" style="1"/>
    <col min="12801" max="12801" width="3.125" style="1" customWidth="1"/>
    <col min="12802" max="12802" width="30.875" style="1" customWidth="1"/>
    <col min="12803" max="12803" width="5.75" style="1" customWidth="1"/>
    <col min="12804" max="12804" width="1.75" style="1" customWidth="1"/>
    <col min="12805" max="12805" width="10" style="1" customWidth="1"/>
    <col min="12806" max="12806" width="7" style="1" bestFit="1" customWidth="1"/>
    <col min="12807" max="12807" width="8.125" style="1" bestFit="1" customWidth="1"/>
    <col min="12808" max="12808" width="9.375" style="1" customWidth="1"/>
    <col min="12809" max="12809" width="4.375" style="1" customWidth="1"/>
    <col min="12810" max="12812" width="10.125" style="1"/>
    <col min="12813" max="12813" width="72.75" style="1" customWidth="1"/>
    <col min="12814" max="13056" width="10.125" style="1"/>
    <col min="13057" max="13057" width="3.125" style="1" customWidth="1"/>
    <col min="13058" max="13058" width="30.875" style="1" customWidth="1"/>
    <col min="13059" max="13059" width="5.75" style="1" customWidth="1"/>
    <col min="13060" max="13060" width="1.75" style="1" customWidth="1"/>
    <col min="13061" max="13061" width="10" style="1" customWidth="1"/>
    <col min="13062" max="13062" width="7" style="1" bestFit="1" customWidth="1"/>
    <col min="13063" max="13063" width="8.125" style="1" bestFit="1" customWidth="1"/>
    <col min="13064" max="13064" width="9.375" style="1" customWidth="1"/>
    <col min="13065" max="13065" width="4.375" style="1" customWidth="1"/>
    <col min="13066" max="13068" width="10.125" style="1"/>
    <col min="13069" max="13069" width="72.75" style="1" customWidth="1"/>
    <col min="13070" max="13312" width="10.125" style="1"/>
    <col min="13313" max="13313" width="3.125" style="1" customWidth="1"/>
    <col min="13314" max="13314" width="30.875" style="1" customWidth="1"/>
    <col min="13315" max="13315" width="5.75" style="1" customWidth="1"/>
    <col min="13316" max="13316" width="1.75" style="1" customWidth="1"/>
    <col min="13317" max="13317" width="10" style="1" customWidth="1"/>
    <col min="13318" max="13318" width="7" style="1" bestFit="1" customWidth="1"/>
    <col min="13319" max="13319" width="8.125" style="1" bestFit="1" customWidth="1"/>
    <col min="13320" max="13320" width="9.375" style="1" customWidth="1"/>
    <col min="13321" max="13321" width="4.375" style="1" customWidth="1"/>
    <col min="13322" max="13324" width="10.125" style="1"/>
    <col min="13325" max="13325" width="72.75" style="1" customWidth="1"/>
    <col min="13326" max="13568" width="10.125" style="1"/>
    <col min="13569" max="13569" width="3.125" style="1" customWidth="1"/>
    <col min="13570" max="13570" width="30.875" style="1" customWidth="1"/>
    <col min="13571" max="13571" width="5.75" style="1" customWidth="1"/>
    <col min="13572" max="13572" width="1.75" style="1" customWidth="1"/>
    <col min="13573" max="13573" width="10" style="1" customWidth="1"/>
    <col min="13574" max="13574" width="7" style="1" bestFit="1" customWidth="1"/>
    <col min="13575" max="13575" width="8.125" style="1" bestFit="1" customWidth="1"/>
    <col min="13576" max="13576" width="9.375" style="1" customWidth="1"/>
    <col min="13577" max="13577" width="4.375" style="1" customWidth="1"/>
    <col min="13578" max="13580" width="10.125" style="1"/>
    <col min="13581" max="13581" width="72.75" style="1" customWidth="1"/>
    <col min="13582" max="13824" width="10.125" style="1"/>
    <col min="13825" max="13825" width="3.125" style="1" customWidth="1"/>
    <col min="13826" max="13826" width="30.875" style="1" customWidth="1"/>
    <col min="13827" max="13827" width="5.75" style="1" customWidth="1"/>
    <col min="13828" max="13828" width="1.75" style="1" customWidth="1"/>
    <col min="13829" max="13829" width="10" style="1" customWidth="1"/>
    <col min="13830" max="13830" width="7" style="1" bestFit="1" customWidth="1"/>
    <col min="13831" max="13831" width="8.125" style="1" bestFit="1" customWidth="1"/>
    <col min="13832" max="13832" width="9.375" style="1" customWidth="1"/>
    <col min="13833" max="13833" width="4.375" style="1" customWidth="1"/>
    <col min="13834" max="13836" width="10.125" style="1"/>
    <col min="13837" max="13837" width="72.75" style="1" customWidth="1"/>
    <col min="13838" max="14080" width="10.125" style="1"/>
    <col min="14081" max="14081" width="3.125" style="1" customWidth="1"/>
    <col min="14082" max="14082" width="30.875" style="1" customWidth="1"/>
    <col min="14083" max="14083" width="5.75" style="1" customWidth="1"/>
    <col min="14084" max="14084" width="1.75" style="1" customWidth="1"/>
    <col min="14085" max="14085" width="10" style="1" customWidth="1"/>
    <col min="14086" max="14086" width="7" style="1" bestFit="1" customWidth="1"/>
    <col min="14087" max="14087" width="8.125" style="1" bestFit="1" customWidth="1"/>
    <col min="14088" max="14088" width="9.375" style="1" customWidth="1"/>
    <col min="14089" max="14089" width="4.375" style="1" customWidth="1"/>
    <col min="14090" max="14092" width="10.125" style="1"/>
    <col min="14093" max="14093" width="72.75" style="1" customWidth="1"/>
    <col min="14094" max="14336" width="10.125" style="1"/>
    <col min="14337" max="14337" width="3.125" style="1" customWidth="1"/>
    <col min="14338" max="14338" width="30.875" style="1" customWidth="1"/>
    <col min="14339" max="14339" width="5.75" style="1" customWidth="1"/>
    <col min="14340" max="14340" width="1.75" style="1" customWidth="1"/>
    <col min="14341" max="14341" width="10" style="1" customWidth="1"/>
    <col min="14342" max="14342" width="7" style="1" bestFit="1" customWidth="1"/>
    <col min="14343" max="14343" width="8.125" style="1" bestFit="1" customWidth="1"/>
    <col min="14344" max="14344" width="9.375" style="1" customWidth="1"/>
    <col min="14345" max="14345" width="4.375" style="1" customWidth="1"/>
    <col min="14346" max="14348" width="10.125" style="1"/>
    <col min="14349" max="14349" width="72.75" style="1" customWidth="1"/>
    <col min="14350" max="14592" width="10.125" style="1"/>
    <col min="14593" max="14593" width="3.125" style="1" customWidth="1"/>
    <col min="14594" max="14594" width="30.875" style="1" customWidth="1"/>
    <col min="14595" max="14595" width="5.75" style="1" customWidth="1"/>
    <col min="14596" max="14596" width="1.75" style="1" customWidth="1"/>
    <col min="14597" max="14597" width="10" style="1" customWidth="1"/>
    <col min="14598" max="14598" width="7" style="1" bestFit="1" customWidth="1"/>
    <col min="14599" max="14599" width="8.125" style="1" bestFit="1" customWidth="1"/>
    <col min="14600" max="14600" width="9.375" style="1" customWidth="1"/>
    <col min="14601" max="14601" width="4.375" style="1" customWidth="1"/>
    <col min="14602" max="14604" width="10.125" style="1"/>
    <col min="14605" max="14605" width="72.75" style="1" customWidth="1"/>
    <col min="14606" max="14848" width="10.125" style="1"/>
    <col min="14849" max="14849" width="3.125" style="1" customWidth="1"/>
    <col min="14850" max="14850" width="30.875" style="1" customWidth="1"/>
    <col min="14851" max="14851" width="5.75" style="1" customWidth="1"/>
    <col min="14852" max="14852" width="1.75" style="1" customWidth="1"/>
    <col min="14853" max="14853" width="10" style="1" customWidth="1"/>
    <col min="14854" max="14854" width="7" style="1" bestFit="1" customWidth="1"/>
    <col min="14855" max="14855" width="8.125" style="1" bestFit="1" customWidth="1"/>
    <col min="14856" max="14856" width="9.375" style="1" customWidth="1"/>
    <col min="14857" max="14857" width="4.375" style="1" customWidth="1"/>
    <col min="14858" max="14860" width="10.125" style="1"/>
    <col min="14861" max="14861" width="72.75" style="1" customWidth="1"/>
    <col min="14862" max="15104" width="10.125" style="1"/>
    <col min="15105" max="15105" width="3.125" style="1" customWidth="1"/>
    <col min="15106" max="15106" width="30.875" style="1" customWidth="1"/>
    <col min="15107" max="15107" width="5.75" style="1" customWidth="1"/>
    <col min="15108" max="15108" width="1.75" style="1" customWidth="1"/>
    <col min="15109" max="15109" width="10" style="1" customWidth="1"/>
    <col min="15110" max="15110" width="7" style="1" bestFit="1" customWidth="1"/>
    <col min="15111" max="15111" width="8.125" style="1" bestFit="1" customWidth="1"/>
    <col min="15112" max="15112" width="9.375" style="1" customWidth="1"/>
    <col min="15113" max="15113" width="4.375" style="1" customWidth="1"/>
    <col min="15114" max="15116" width="10.125" style="1"/>
    <col min="15117" max="15117" width="72.75" style="1" customWidth="1"/>
    <col min="15118" max="15360" width="10.125" style="1"/>
    <col min="15361" max="15361" width="3.125" style="1" customWidth="1"/>
    <col min="15362" max="15362" width="30.875" style="1" customWidth="1"/>
    <col min="15363" max="15363" width="5.75" style="1" customWidth="1"/>
    <col min="15364" max="15364" width="1.75" style="1" customWidth="1"/>
    <col min="15365" max="15365" width="10" style="1" customWidth="1"/>
    <col min="15366" max="15366" width="7" style="1" bestFit="1" customWidth="1"/>
    <col min="15367" max="15367" width="8.125" style="1" bestFit="1" customWidth="1"/>
    <col min="15368" max="15368" width="9.375" style="1" customWidth="1"/>
    <col min="15369" max="15369" width="4.375" style="1" customWidth="1"/>
    <col min="15370" max="15372" width="10.125" style="1"/>
    <col min="15373" max="15373" width="72.75" style="1" customWidth="1"/>
    <col min="15374" max="15616" width="10.125" style="1"/>
    <col min="15617" max="15617" width="3.125" style="1" customWidth="1"/>
    <col min="15618" max="15618" width="30.875" style="1" customWidth="1"/>
    <col min="15619" max="15619" width="5.75" style="1" customWidth="1"/>
    <col min="15620" max="15620" width="1.75" style="1" customWidth="1"/>
    <col min="15621" max="15621" width="10" style="1" customWidth="1"/>
    <col min="15622" max="15622" width="7" style="1" bestFit="1" customWidth="1"/>
    <col min="15623" max="15623" width="8.125" style="1" bestFit="1" customWidth="1"/>
    <col min="15624" max="15624" width="9.375" style="1" customWidth="1"/>
    <col min="15625" max="15625" width="4.375" style="1" customWidth="1"/>
    <col min="15626" max="15628" width="10.125" style="1"/>
    <col min="15629" max="15629" width="72.75" style="1" customWidth="1"/>
    <col min="15630" max="15872" width="10.125" style="1"/>
    <col min="15873" max="15873" width="3.125" style="1" customWidth="1"/>
    <col min="15874" max="15874" width="30.875" style="1" customWidth="1"/>
    <col min="15875" max="15875" width="5.75" style="1" customWidth="1"/>
    <col min="15876" max="15876" width="1.75" style="1" customWidth="1"/>
    <col min="15877" max="15877" width="10" style="1" customWidth="1"/>
    <col min="15878" max="15878" width="7" style="1" bestFit="1" customWidth="1"/>
    <col min="15879" max="15879" width="8.125" style="1" bestFit="1" customWidth="1"/>
    <col min="15880" max="15880" width="9.375" style="1" customWidth="1"/>
    <col min="15881" max="15881" width="4.375" style="1" customWidth="1"/>
    <col min="15882" max="15884" width="10.125" style="1"/>
    <col min="15885" max="15885" width="72.75" style="1" customWidth="1"/>
    <col min="15886" max="16128" width="10.125" style="1"/>
    <col min="16129" max="16129" width="3.125" style="1" customWidth="1"/>
    <col min="16130" max="16130" width="30.875" style="1" customWidth="1"/>
    <col min="16131" max="16131" width="5.75" style="1" customWidth="1"/>
    <col min="16132" max="16132" width="1.75" style="1" customWidth="1"/>
    <col min="16133" max="16133" width="10" style="1" customWidth="1"/>
    <col min="16134" max="16134" width="7" style="1" bestFit="1" customWidth="1"/>
    <col min="16135" max="16135" width="8.125" style="1" bestFit="1" customWidth="1"/>
    <col min="16136" max="16136" width="9.375" style="1" customWidth="1"/>
    <col min="16137" max="16137" width="4.375" style="1" customWidth="1"/>
    <col min="16138" max="16140" width="10.125" style="1"/>
    <col min="16141" max="16141" width="72.75" style="1" customWidth="1"/>
    <col min="16142" max="16384" width="10.125" style="1"/>
  </cols>
  <sheetData>
    <row r="1" spans="1:8" x14ac:dyDescent="0.25">
      <c r="F1" s="3"/>
    </row>
    <row r="5" spans="1:8" x14ac:dyDescent="0.25">
      <c r="A5" s="4" t="s">
        <v>0</v>
      </c>
      <c r="B5" s="5"/>
      <c r="C5" s="5"/>
    </row>
    <row r="6" spans="1:8" ht="9" customHeight="1" x14ac:dyDescent="0.25">
      <c r="A6" s="4"/>
      <c r="B6" s="5"/>
      <c r="C6" s="5"/>
    </row>
    <row r="7" spans="1:8" s="7" customFormat="1" ht="15" x14ac:dyDescent="0.25">
      <c r="A7" s="7" t="s">
        <v>1</v>
      </c>
      <c r="B7" s="8"/>
      <c r="D7" s="9"/>
      <c r="E7" s="131" t="s">
        <v>2</v>
      </c>
      <c r="F7" s="132"/>
      <c r="G7" s="133">
        <v>45980</v>
      </c>
      <c r="H7" s="134"/>
    </row>
    <row r="8" spans="1:8" s="7" customFormat="1" ht="15" x14ac:dyDescent="0.25">
      <c r="A8" s="7" t="s">
        <v>53</v>
      </c>
      <c r="B8" s="8"/>
      <c r="D8" s="9"/>
      <c r="E8" s="135" t="s">
        <v>3</v>
      </c>
      <c r="F8" s="136"/>
      <c r="H8" s="11">
        <v>60431</v>
      </c>
    </row>
    <row r="9" spans="1:8" s="7" customFormat="1" ht="15" x14ac:dyDescent="0.25">
      <c r="A9" s="7" t="s">
        <v>54</v>
      </c>
      <c r="B9" s="8"/>
      <c r="D9" s="9"/>
      <c r="E9" s="135" t="s">
        <v>4</v>
      </c>
      <c r="F9" s="136"/>
      <c r="G9" s="137" t="s">
        <v>135</v>
      </c>
      <c r="H9" s="138"/>
    </row>
    <row r="10" spans="1:8" s="7" customFormat="1" ht="15" x14ac:dyDescent="0.25">
      <c r="B10" s="8"/>
      <c r="D10" s="9"/>
      <c r="E10" s="13" t="s">
        <v>73</v>
      </c>
      <c r="F10" s="14"/>
      <c r="G10" s="139">
        <f>+G7</f>
        <v>45980</v>
      </c>
      <c r="H10" s="140"/>
    </row>
    <row r="11" spans="1:8" s="7" customFormat="1" ht="15" x14ac:dyDescent="0.25">
      <c r="A11" s="15" t="s">
        <v>55</v>
      </c>
      <c r="B11" s="8"/>
      <c r="D11" s="9"/>
      <c r="E11" s="10" t="s">
        <v>6</v>
      </c>
      <c r="F11" s="125" t="s">
        <v>7</v>
      </c>
      <c r="G11" s="125"/>
      <c r="H11" s="126"/>
    </row>
    <row r="12" spans="1:8" s="7" customFormat="1" ht="15" x14ac:dyDescent="0.25">
      <c r="A12" s="15"/>
      <c r="B12" s="8"/>
      <c r="D12" s="9"/>
      <c r="E12" s="13" t="s">
        <v>8</v>
      </c>
      <c r="F12" s="127" t="s">
        <v>9</v>
      </c>
      <c r="G12" s="127"/>
      <c r="H12" s="128"/>
    </row>
    <row r="13" spans="1:8" s="7" customFormat="1" ht="15" x14ac:dyDescent="0.25">
      <c r="D13" s="9"/>
      <c r="E13" s="17"/>
      <c r="F13" s="18"/>
    </row>
    <row r="14" spans="1:8" s="15" customFormat="1" ht="14.25" x14ac:dyDescent="0.2"/>
    <row r="15" spans="1:8" s="15" customFormat="1" ht="14.25" x14ac:dyDescent="0.2"/>
    <row r="16" spans="1:8" s="15" customFormat="1" ht="14.25" x14ac:dyDescent="0.2"/>
    <row r="17" spans="1:11" s="15" customFormat="1" ht="14.25" x14ac:dyDescent="0.2"/>
    <row r="18" spans="1:11" s="15" customFormat="1" ht="14.25" x14ac:dyDescent="0.2">
      <c r="A18" s="129" t="s">
        <v>10</v>
      </c>
      <c r="B18" s="129"/>
      <c r="C18" s="129"/>
      <c r="D18" s="129"/>
      <c r="E18" s="129"/>
      <c r="F18" s="129"/>
      <c r="G18" s="129"/>
      <c r="H18" s="129"/>
    </row>
    <row r="19" spans="1:11" s="15" customFormat="1" ht="14.25" x14ac:dyDescent="0.2">
      <c r="A19" s="19"/>
      <c r="B19" s="19"/>
      <c r="C19" s="19"/>
      <c r="D19" s="19"/>
      <c r="E19" s="19"/>
      <c r="F19" s="19"/>
      <c r="G19" s="19"/>
      <c r="H19" s="19"/>
    </row>
    <row r="20" spans="1:11" s="15" customFormat="1" ht="14.25" x14ac:dyDescent="0.2">
      <c r="A20" s="19"/>
      <c r="B20" s="19"/>
      <c r="C20" s="19"/>
      <c r="D20" s="19"/>
      <c r="E20" s="19"/>
      <c r="F20" s="19"/>
      <c r="G20" s="19"/>
      <c r="H20" s="19"/>
    </row>
    <row r="21" spans="1:11" s="7" customFormat="1" ht="13.5" customHeight="1" x14ac:dyDescent="0.25">
      <c r="D21" s="9"/>
      <c r="E21" s="17"/>
      <c r="F21" s="18"/>
    </row>
    <row r="22" spans="1:11" s="7" customFormat="1" ht="15" x14ac:dyDescent="0.25">
      <c r="A22" s="7" t="s">
        <v>11</v>
      </c>
      <c r="B22" s="8"/>
      <c r="D22" s="9"/>
      <c r="E22" s="17"/>
      <c r="F22" s="18"/>
    </row>
    <row r="23" spans="1:11" s="7" customFormat="1" ht="15" x14ac:dyDescent="0.25">
      <c r="A23" s="7" t="s">
        <v>12</v>
      </c>
      <c r="D23" s="9"/>
      <c r="E23" s="9"/>
      <c r="F23" s="17"/>
      <c r="G23" s="9"/>
    </row>
    <row r="24" spans="1:11" s="7" customFormat="1" ht="15" x14ac:dyDescent="0.25">
      <c r="A24" s="20" t="s">
        <v>13</v>
      </c>
      <c r="B24" s="21"/>
      <c r="C24" s="20"/>
      <c r="D24" s="9"/>
      <c r="E24" s="9" t="s">
        <v>14</v>
      </c>
      <c r="F24" s="17" t="s">
        <v>15</v>
      </c>
      <c r="G24" s="9" t="s">
        <v>16</v>
      </c>
      <c r="H24" s="17" t="s">
        <v>17</v>
      </c>
    </row>
    <row r="25" spans="1:11" s="7" customFormat="1" ht="15" x14ac:dyDescent="0.25">
      <c r="A25" s="22" t="s">
        <v>18</v>
      </c>
      <c r="B25" s="23"/>
      <c r="C25" s="22"/>
      <c r="D25" s="24"/>
      <c r="E25" s="16" t="s">
        <v>19</v>
      </c>
      <c r="F25" s="16"/>
      <c r="G25" s="25" t="s">
        <v>20</v>
      </c>
      <c r="H25" s="22"/>
    </row>
    <row r="26" spans="1:11" s="7" customFormat="1" ht="15" x14ac:dyDescent="0.25">
      <c r="A26" s="7">
        <v>24</v>
      </c>
      <c r="B26" s="7" t="s">
        <v>65</v>
      </c>
      <c r="C26" s="12">
        <v>2024</v>
      </c>
      <c r="E26" s="40">
        <f>(114379+360)/10</f>
        <v>11473.9</v>
      </c>
      <c r="F26" s="26" t="s">
        <v>21</v>
      </c>
      <c r="G26" s="64">
        <v>0.3</v>
      </c>
      <c r="H26" s="41">
        <f>G26*655</f>
        <v>196.5</v>
      </c>
    </row>
    <row r="27" spans="1:11" s="7" customFormat="1" ht="15" x14ac:dyDescent="0.25">
      <c r="C27" s="12"/>
      <c r="D27" s="40"/>
      <c r="E27" s="40"/>
      <c r="F27" s="9"/>
      <c r="G27" s="42"/>
    </row>
    <row r="28" spans="1:11" s="7" customFormat="1" ht="15" x14ac:dyDescent="0.25">
      <c r="A28" s="7">
        <v>24</v>
      </c>
      <c r="B28" s="7" t="s">
        <v>121</v>
      </c>
      <c r="C28" s="12">
        <f>+C26</f>
        <v>2024</v>
      </c>
      <c r="E28" s="40">
        <v>20153</v>
      </c>
      <c r="F28" s="17" t="s">
        <v>21</v>
      </c>
      <c r="G28" s="27">
        <v>0.3</v>
      </c>
      <c r="H28" s="28">
        <f>+G28*805</f>
        <v>241.5</v>
      </c>
    </row>
    <row r="29" spans="1:11" s="7" customFormat="1" ht="15" x14ac:dyDescent="0.25">
      <c r="C29" s="12"/>
      <c r="E29" s="40"/>
      <c r="F29" s="17"/>
      <c r="G29" s="27"/>
      <c r="H29" s="28"/>
    </row>
    <row r="30" spans="1:11" s="7" customFormat="1" ht="15" x14ac:dyDescent="0.25">
      <c r="A30" s="7">
        <v>25</v>
      </c>
      <c r="B30" s="63" t="s">
        <v>57</v>
      </c>
      <c r="C30" s="112">
        <f>+C28</f>
        <v>2024</v>
      </c>
      <c r="D30" s="63"/>
      <c r="E30" s="40">
        <v>136812.32999999999</v>
      </c>
      <c r="F30" s="17" t="s">
        <v>22</v>
      </c>
      <c r="G30" s="27">
        <v>2.7</v>
      </c>
      <c r="H30" s="28">
        <f>+G30*471</f>
        <v>1271.7</v>
      </c>
      <c r="I30" s="29"/>
      <c r="J30" s="26"/>
      <c r="K30" s="26"/>
    </row>
    <row r="31" spans="1:11" s="7" customFormat="1" ht="15" x14ac:dyDescent="0.25">
      <c r="C31" s="12"/>
      <c r="E31" s="9"/>
      <c r="F31" s="17"/>
      <c r="G31" s="30"/>
      <c r="H31" s="28"/>
    </row>
    <row r="32" spans="1:11" s="7" customFormat="1" ht="15" x14ac:dyDescent="0.25">
      <c r="A32" s="7">
        <v>16</v>
      </c>
      <c r="B32" s="7" t="s">
        <v>23</v>
      </c>
      <c r="E32" s="26">
        <f>SUM(H26:H30)*0.12</f>
        <v>205.16399999999999</v>
      </c>
      <c r="F32" s="17"/>
      <c r="G32" s="30"/>
      <c r="H32" s="28">
        <v>0</v>
      </c>
    </row>
    <row r="33" spans="1:12" s="7" customFormat="1" ht="15" x14ac:dyDescent="0.25">
      <c r="B33" s="7" t="s">
        <v>72</v>
      </c>
      <c r="E33" s="9"/>
      <c r="F33" s="17"/>
      <c r="G33" s="30"/>
      <c r="H33" s="28"/>
      <c r="J33" s="28"/>
    </row>
    <row r="34" spans="1:12" s="7" customFormat="1" ht="15" x14ac:dyDescent="0.25">
      <c r="E34" s="9"/>
      <c r="F34" s="17"/>
      <c r="G34" s="30"/>
      <c r="H34" s="28"/>
      <c r="J34" s="28"/>
    </row>
    <row r="35" spans="1:12" s="7" customFormat="1" ht="15" x14ac:dyDescent="0.25">
      <c r="A35" s="7">
        <v>16</v>
      </c>
      <c r="B35" s="7" t="s">
        <v>23</v>
      </c>
      <c r="C35" s="62"/>
      <c r="E35" s="41"/>
      <c r="F35" s="26"/>
      <c r="G35" s="17"/>
      <c r="H35" s="41">
        <v>20</v>
      </c>
    </row>
    <row r="36" spans="1:12" s="7" customFormat="1" ht="15" x14ac:dyDescent="0.25">
      <c r="A36" s="23"/>
      <c r="B36" s="23" t="s">
        <v>24</v>
      </c>
      <c r="C36" s="23"/>
      <c r="D36" s="23"/>
      <c r="E36" s="24"/>
      <c r="F36" s="16"/>
      <c r="G36" s="57"/>
      <c r="H36" s="58"/>
    </row>
    <row r="37" spans="1:12" s="7" customFormat="1" ht="15" x14ac:dyDescent="0.25">
      <c r="A37" s="67" t="s">
        <v>74</v>
      </c>
      <c r="B37" s="8"/>
      <c r="E37" s="7" t="s">
        <v>25</v>
      </c>
      <c r="F37" s="8"/>
      <c r="G37" s="30"/>
      <c r="H37" s="28">
        <f>SUM(H26:H36)</f>
        <v>1729.7</v>
      </c>
      <c r="J37" s="28">
        <f>+'ESt 2024'!H38+'EÜR 2024'!H37</f>
        <v>1970.2</v>
      </c>
      <c r="K37" s="28">
        <f>+'ESt 2023'!H38+'EÜR 2023'!H37</f>
        <v>1896.9</v>
      </c>
      <c r="L37" s="28"/>
    </row>
    <row r="38" spans="1:12" s="7" customFormat="1" ht="15" x14ac:dyDescent="0.25">
      <c r="A38" s="67" t="s">
        <v>77</v>
      </c>
      <c r="E38" s="33" t="s">
        <v>26</v>
      </c>
      <c r="F38" s="8"/>
      <c r="G38" s="30"/>
      <c r="H38" s="28">
        <f>+H37*0.19</f>
        <v>328.64300000000003</v>
      </c>
    </row>
    <row r="39" spans="1:12" s="7" customFormat="1" thickBot="1" x14ac:dyDescent="0.3">
      <c r="E39" s="34" t="s">
        <v>27</v>
      </c>
      <c r="F39" s="35"/>
      <c r="G39" s="36"/>
      <c r="H39" s="37">
        <f>SUM(H37:H38)</f>
        <v>2058.3429999999998</v>
      </c>
    </row>
    <row r="40" spans="1:12" s="7" customFormat="1" ht="7.5" customHeight="1" thickTop="1" x14ac:dyDescent="0.25">
      <c r="E40" s="38"/>
      <c r="F40" s="17"/>
      <c r="G40" s="30"/>
      <c r="H40" s="28"/>
    </row>
    <row r="41" spans="1:12" s="7" customFormat="1" ht="15" x14ac:dyDescent="0.25">
      <c r="A41" s="7" t="s">
        <v>28</v>
      </c>
      <c r="B41" s="8"/>
      <c r="D41" s="9"/>
      <c r="E41" s="17"/>
      <c r="F41" s="18"/>
      <c r="G41" s="39"/>
    </row>
    <row r="42" spans="1:12" s="7" customFormat="1" ht="15" x14ac:dyDescent="0.25">
      <c r="D42" s="9"/>
      <c r="E42" s="17"/>
      <c r="F42" s="18"/>
      <c r="G42" s="30"/>
    </row>
    <row r="43" spans="1:12" s="7" customFormat="1" ht="15" x14ac:dyDescent="0.25">
      <c r="D43" s="9"/>
      <c r="E43" s="17"/>
      <c r="F43" s="18"/>
      <c r="G43" s="30"/>
    </row>
    <row r="44" spans="1:12" s="7" customFormat="1" ht="15" x14ac:dyDescent="0.25">
      <c r="D44" s="9"/>
      <c r="E44" s="17"/>
      <c r="F44" s="18"/>
      <c r="G44" s="30"/>
    </row>
    <row r="45" spans="1:12" s="7" customFormat="1" ht="15" x14ac:dyDescent="0.25">
      <c r="B45" s="23"/>
      <c r="D45" s="9"/>
      <c r="E45" s="17"/>
      <c r="F45" s="18"/>
      <c r="G45" s="30"/>
    </row>
    <row r="46" spans="1:12" x14ac:dyDescent="0.25">
      <c r="A46" s="7"/>
      <c r="B46" s="7"/>
      <c r="C46" s="7"/>
      <c r="D46" s="9"/>
      <c r="E46" s="17"/>
      <c r="F46" s="18"/>
      <c r="G46" s="30"/>
      <c r="H46" s="7"/>
    </row>
    <row r="47" spans="1:12" s="7" customFormat="1" x14ac:dyDescent="0.25">
      <c r="A47" s="1"/>
      <c r="B47" s="1"/>
      <c r="C47" s="1"/>
      <c r="D47" s="2"/>
      <c r="E47" s="3"/>
      <c r="F47" s="6"/>
      <c r="G47" s="1"/>
      <c r="H47" s="1"/>
    </row>
    <row r="48" spans="1:12" s="7" customFormat="1" ht="10.5" customHeight="1" x14ac:dyDescent="0.25">
      <c r="D48" s="9"/>
      <c r="E48" s="17"/>
      <c r="F48" s="18"/>
      <c r="G48" s="30"/>
    </row>
    <row r="49" spans="1:8" x14ac:dyDescent="0.25">
      <c r="A49" s="142" t="s">
        <v>119</v>
      </c>
      <c r="B49" s="142"/>
      <c r="C49" s="142"/>
      <c r="D49" s="142"/>
      <c r="E49" s="142"/>
      <c r="F49" s="142"/>
      <c r="G49" s="142"/>
      <c r="H49" s="142"/>
    </row>
  </sheetData>
  <mergeCells count="10">
    <mergeCell ref="F11:H11"/>
    <mergeCell ref="F12:H12"/>
    <mergeCell ref="A18:H18"/>
    <mergeCell ref="A49:H49"/>
    <mergeCell ref="E7:F7"/>
    <mergeCell ref="G7:H7"/>
    <mergeCell ref="E8:F8"/>
    <mergeCell ref="E9:F9"/>
    <mergeCell ref="G9:H9"/>
    <mergeCell ref="G10:H10"/>
  </mergeCells>
  <printOptions horizontalCentered="1"/>
  <pageMargins left="0.78740157480314965" right="0.59055118110236227" top="0.98425196850393704" bottom="0.98425196850393704" header="0.51181102362204722" footer="0.51181102362204722"/>
  <pageSetup paperSize="9" orientation="portrait" horizontalDpi="300" verticalDpi="300" r:id="rId1"/>
  <headerFooter alignWithMargins="0">
    <oddHeader>&amp;C&amp;"Times New Roman,Standard"&amp;16Hartmut Ahting
Steuerberater
Diplom-Wirtschaftsingenieur</oddHeader>
    <oddFooter>&amp;L&amp;"Times New Roman,Standard"Heerstrasse 50
60488 Frankfurt
&amp;C&amp;"Times New Roman,Standard"Deutsche Bank
BLZ 500 700 24
Konto 409 28 62&amp;R&amp;"Times New Roman,Standard"Tel:      069 / 788 031-71
Fax:     069 / 788 031-72
Mobil:  0174 / 326 99 58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33CD6-F4CA-4119-9C7E-5159428A6980}">
  <dimension ref="A1:J51"/>
  <sheetViews>
    <sheetView topLeftCell="A4" workbookViewId="0">
      <selection activeCell="L17" sqref="L17"/>
    </sheetView>
  </sheetViews>
  <sheetFormatPr baseColWidth="10" defaultColWidth="10.125" defaultRowHeight="15.75" x14ac:dyDescent="0.25"/>
  <cols>
    <col min="1" max="1" width="3.125" style="1" customWidth="1"/>
    <col min="2" max="2" width="30.875" style="1" customWidth="1"/>
    <col min="3" max="3" width="5.75" style="1" customWidth="1"/>
    <col min="4" max="4" width="1.75" style="2" customWidth="1"/>
    <col min="5" max="5" width="10" style="3" customWidth="1"/>
    <col min="6" max="6" width="7" style="6" bestFit="1" customWidth="1"/>
    <col min="7" max="7" width="8.125" style="1" bestFit="1" customWidth="1"/>
    <col min="8" max="8" width="9.375" style="1" customWidth="1"/>
    <col min="9" max="9" width="4.375" style="1" customWidth="1"/>
    <col min="10" max="12" width="10.125" style="1" customWidth="1"/>
    <col min="13" max="13" width="72.75" style="1" customWidth="1"/>
    <col min="14" max="256" width="10.125" style="1"/>
    <col min="257" max="257" width="3.125" style="1" customWidth="1"/>
    <col min="258" max="258" width="30.875" style="1" customWidth="1"/>
    <col min="259" max="259" width="5.75" style="1" customWidth="1"/>
    <col min="260" max="260" width="1.75" style="1" customWidth="1"/>
    <col min="261" max="261" width="10" style="1" customWidth="1"/>
    <col min="262" max="262" width="7" style="1" bestFit="1" customWidth="1"/>
    <col min="263" max="263" width="8.125" style="1" bestFit="1" customWidth="1"/>
    <col min="264" max="264" width="9.375" style="1" customWidth="1"/>
    <col min="265" max="265" width="4.375" style="1" customWidth="1"/>
    <col min="266" max="268" width="10.125" style="1"/>
    <col min="269" max="269" width="72.75" style="1" customWidth="1"/>
    <col min="270" max="512" width="10.125" style="1"/>
    <col min="513" max="513" width="3.125" style="1" customWidth="1"/>
    <col min="514" max="514" width="30.875" style="1" customWidth="1"/>
    <col min="515" max="515" width="5.75" style="1" customWidth="1"/>
    <col min="516" max="516" width="1.75" style="1" customWidth="1"/>
    <col min="517" max="517" width="10" style="1" customWidth="1"/>
    <col min="518" max="518" width="7" style="1" bestFit="1" customWidth="1"/>
    <col min="519" max="519" width="8.125" style="1" bestFit="1" customWidth="1"/>
    <col min="520" max="520" width="9.375" style="1" customWidth="1"/>
    <col min="521" max="521" width="4.375" style="1" customWidth="1"/>
    <col min="522" max="524" width="10.125" style="1"/>
    <col min="525" max="525" width="72.75" style="1" customWidth="1"/>
    <col min="526" max="768" width="10.125" style="1"/>
    <col min="769" max="769" width="3.125" style="1" customWidth="1"/>
    <col min="770" max="770" width="30.875" style="1" customWidth="1"/>
    <col min="771" max="771" width="5.75" style="1" customWidth="1"/>
    <col min="772" max="772" width="1.75" style="1" customWidth="1"/>
    <col min="773" max="773" width="10" style="1" customWidth="1"/>
    <col min="774" max="774" width="7" style="1" bestFit="1" customWidth="1"/>
    <col min="775" max="775" width="8.125" style="1" bestFit="1" customWidth="1"/>
    <col min="776" max="776" width="9.375" style="1" customWidth="1"/>
    <col min="777" max="777" width="4.375" style="1" customWidth="1"/>
    <col min="778" max="780" width="10.125" style="1"/>
    <col min="781" max="781" width="72.75" style="1" customWidth="1"/>
    <col min="782" max="1024" width="10.125" style="1"/>
    <col min="1025" max="1025" width="3.125" style="1" customWidth="1"/>
    <col min="1026" max="1026" width="30.875" style="1" customWidth="1"/>
    <col min="1027" max="1027" width="5.75" style="1" customWidth="1"/>
    <col min="1028" max="1028" width="1.75" style="1" customWidth="1"/>
    <col min="1029" max="1029" width="10" style="1" customWidth="1"/>
    <col min="1030" max="1030" width="7" style="1" bestFit="1" customWidth="1"/>
    <col min="1031" max="1031" width="8.125" style="1" bestFit="1" customWidth="1"/>
    <col min="1032" max="1032" width="9.375" style="1" customWidth="1"/>
    <col min="1033" max="1033" width="4.375" style="1" customWidth="1"/>
    <col min="1034" max="1036" width="10.125" style="1"/>
    <col min="1037" max="1037" width="72.75" style="1" customWidth="1"/>
    <col min="1038" max="1280" width="10.125" style="1"/>
    <col min="1281" max="1281" width="3.125" style="1" customWidth="1"/>
    <col min="1282" max="1282" width="30.875" style="1" customWidth="1"/>
    <col min="1283" max="1283" width="5.75" style="1" customWidth="1"/>
    <col min="1284" max="1284" width="1.75" style="1" customWidth="1"/>
    <col min="1285" max="1285" width="10" style="1" customWidth="1"/>
    <col min="1286" max="1286" width="7" style="1" bestFit="1" customWidth="1"/>
    <col min="1287" max="1287" width="8.125" style="1" bestFit="1" customWidth="1"/>
    <col min="1288" max="1288" width="9.375" style="1" customWidth="1"/>
    <col min="1289" max="1289" width="4.375" style="1" customWidth="1"/>
    <col min="1290" max="1292" width="10.125" style="1"/>
    <col min="1293" max="1293" width="72.75" style="1" customWidth="1"/>
    <col min="1294" max="1536" width="10.125" style="1"/>
    <col min="1537" max="1537" width="3.125" style="1" customWidth="1"/>
    <col min="1538" max="1538" width="30.875" style="1" customWidth="1"/>
    <col min="1539" max="1539" width="5.75" style="1" customWidth="1"/>
    <col min="1540" max="1540" width="1.75" style="1" customWidth="1"/>
    <col min="1541" max="1541" width="10" style="1" customWidth="1"/>
    <col min="1542" max="1542" width="7" style="1" bestFit="1" customWidth="1"/>
    <col min="1543" max="1543" width="8.125" style="1" bestFit="1" customWidth="1"/>
    <col min="1544" max="1544" width="9.375" style="1" customWidth="1"/>
    <col min="1545" max="1545" width="4.375" style="1" customWidth="1"/>
    <col min="1546" max="1548" width="10.125" style="1"/>
    <col min="1549" max="1549" width="72.75" style="1" customWidth="1"/>
    <col min="1550" max="1792" width="10.125" style="1"/>
    <col min="1793" max="1793" width="3.125" style="1" customWidth="1"/>
    <col min="1794" max="1794" width="30.875" style="1" customWidth="1"/>
    <col min="1795" max="1795" width="5.75" style="1" customWidth="1"/>
    <col min="1796" max="1796" width="1.75" style="1" customWidth="1"/>
    <col min="1797" max="1797" width="10" style="1" customWidth="1"/>
    <col min="1798" max="1798" width="7" style="1" bestFit="1" customWidth="1"/>
    <col min="1799" max="1799" width="8.125" style="1" bestFit="1" customWidth="1"/>
    <col min="1800" max="1800" width="9.375" style="1" customWidth="1"/>
    <col min="1801" max="1801" width="4.375" style="1" customWidth="1"/>
    <col min="1802" max="1804" width="10.125" style="1"/>
    <col min="1805" max="1805" width="72.75" style="1" customWidth="1"/>
    <col min="1806" max="2048" width="10.125" style="1"/>
    <col min="2049" max="2049" width="3.125" style="1" customWidth="1"/>
    <col min="2050" max="2050" width="30.875" style="1" customWidth="1"/>
    <col min="2051" max="2051" width="5.75" style="1" customWidth="1"/>
    <col min="2052" max="2052" width="1.75" style="1" customWidth="1"/>
    <col min="2053" max="2053" width="10" style="1" customWidth="1"/>
    <col min="2054" max="2054" width="7" style="1" bestFit="1" customWidth="1"/>
    <col min="2055" max="2055" width="8.125" style="1" bestFit="1" customWidth="1"/>
    <col min="2056" max="2056" width="9.375" style="1" customWidth="1"/>
    <col min="2057" max="2057" width="4.375" style="1" customWidth="1"/>
    <col min="2058" max="2060" width="10.125" style="1"/>
    <col min="2061" max="2061" width="72.75" style="1" customWidth="1"/>
    <col min="2062" max="2304" width="10.125" style="1"/>
    <col min="2305" max="2305" width="3.125" style="1" customWidth="1"/>
    <col min="2306" max="2306" width="30.875" style="1" customWidth="1"/>
    <col min="2307" max="2307" width="5.75" style="1" customWidth="1"/>
    <col min="2308" max="2308" width="1.75" style="1" customWidth="1"/>
    <col min="2309" max="2309" width="10" style="1" customWidth="1"/>
    <col min="2310" max="2310" width="7" style="1" bestFit="1" customWidth="1"/>
    <col min="2311" max="2311" width="8.125" style="1" bestFit="1" customWidth="1"/>
    <col min="2312" max="2312" width="9.375" style="1" customWidth="1"/>
    <col min="2313" max="2313" width="4.375" style="1" customWidth="1"/>
    <col min="2314" max="2316" width="10.125" style="1"/>
    <col min="2317" max="2317" width="72.75" style="1" customWidth="1"/>
    <col min="2318" max="2560" width="10.125" style="1"/>
    <col min="2561" max="2561" width="3.125" style="1" customWidth="1"/>
    <col min="2562" max="2562" width="30.875" style="1" customWidth="1"/>
    <col min="2563" max="2563" width="5.75" style="1" customWidth="1"/>
    <col min="2564" max="2564" width="1.75" style="1" customWidth="1"/>
    <col min="2565" max="2565" width="10" style="1" customWidth="1"/>
    <col min="2566" max="2566" width="7" style="1" bestFit="1" customWidth="1"/>
    <col min="2567" max="2567" width="8.125" style="1" bestFit="1" customWidth="1"/>
    <col min="2568" max="2568" width="9.375" style="1" customWidth="1"/>
    <col min="2569" max="2569" width="4.375" style="1" customWidth="1"/>
    <col min="2570" max="2572" width="10.125" style="1"/>
    <col min="2573" max="2573" width="72.75" style="1" customWidth="1"/>
    <col min="2574" max="2816" width="10.125" style="1"/>
    <col min="2817" max="2817" width="3.125" style="1" customWidth="1"/>
    <col min="2818" max="2818" width="30.875" style="1" customWidth="1"/>
    <col min="2819" max="2819" width="5.75" style="1" customWidth="1"/>
    <col min="2820" max="2820" width="1.75" style="1" customWidth="1"/>
    <col min="2821" max="2821" width="10" style="1" customWidth="1"/>
    <col min="2822" max="2822" width="7" style="1" bestFit="1" customWidth="1"/>
    <col min="2823" max="2823" width="8.125" style="1" bestFit="1" customWidth="1"/>
    <col min="2824" max="2824" width="9.375" style="1" customWidth="1"/>
    <col min="2825" max="2825" width="4.375" style="1" customWidth="1"/>
    <col min="2826" max="2828" width="10.125" style="1"/>
    <col min="2829" max="2829" width="72.75" style="1" customWidth="1"/>
    <col min="2830" max="3072" width="10.125" style="1"/>
    <col min="3073" max="3073" width="3.125" style="1" customWidth="1"/>
    <col min="3074" max="3074" width="30.875" style="1" customWidth="1"/>
    <col min="3075" max="3075" width="5.75" style="1" customWidth="1"/>
    <col min="3076" max="3076" width="1.75" style="1" customWidth="1"/>
    <col min="3077" max="3077" width="10" style="1" customWidth="1"/>
    <col min="3078" max="3078" width="7" style="1" bestFit="1" customWidth="1"/>
    <col min="3079" max="3079" width="8.125" style="1" bestFit="1" customWidth="1"/>
    <col min="3080" max="3080" width="9.375" style="1" customWidth="1"/>
    <col min="3081" max="3081" width="4.375" style="1" customWidth="1"/>
    <col min="3082" max="3084" width="10.125" style="1"/>
    <col min="3085" max="3085" width="72.75" style="1" customWidth="1"/>
    <col min="3086" max="3328" width="10.125" style="1"/>
    <col min="3329" max="3329" width="3.125" style="1" customWidth="1"/>
    <col min="3330" max="3330" width="30.875" style="1" customWidth="1"/>
    <col min="3331" max="3331" width="5.75" style="1" customWidth="1"/>
    <col min="3332" max="3332" width="1.75" style="1" customWidth="1"/>
    <col min="3333" max="3333" width="10" style="1" customWidth="1"/>
    <col min="3334" max="3334" width="7" style="1" bestFit="1" customWidth="1"/>
    <col min="3335" max="3335" width="8.125" style="1" bestFit="1" customWidth="1"/>
    <col min="3336" max="3336" width="9.375" style="1" customWidth="1"/>
    <col min="3337" max="3337" width="4.375" style="1" customWidth="1"/>
    <col min="3338" max="3340" width="10.125" style="1"/>
    <col min="3341" max="3341" width="72.75" style="1" customWidth="1"/>
    <col min="3342" max="3584" width="10.125" style="1"/>
    <col min="3585" max="3585" width="3.125" style="1" customWidth="1"/>
    <col min="3586" max="3586" width="30.875" style="1" customWidth="1"/>
    <col min="3587" max="3587" width="5.75" style="1" customWidth="1"/>
    <col min="3588" max="3588" width="1.75" style="1" customWidth="1"/>
    <col min="3589" max="3589" width="10" style="1" customWidth="1"/>
    <col min="3590" max="3590" width="7" style="1" bestFit="1" customWidth="1"/>
    <col min="3591" max="3591" width="8.125" style="1" bestFit="1" customWidth="1"/>
    <col min="3592" max="3592" width="9.375" style="1" customWidth="1"/>
    <col min="3593" max="3593" width="4.375" style="1" customWidth="1"/>
    <col min="3594" max="3596" width="10.125" style="1"/>
    <col min="3597" max="3597" width="72.75" style="1" customWidth="1"/>
    <col min="3598" max="3840" width="10.125" style="1"/>
    <col min="3841" max="3841" width="3.125" style="1" customWidth="1"/>
    <col min="3842" max="3842" width="30.875" style="1" customWidth="1"/>
    <col min="3843" max="3843" width="5.75" style="1" customWidth="1"/>
    <col min="3844" max="3844" width="1.75" style="1" customWidth="1"/>
    <col min="3845" max="3845" width="10" style="1" customWidth="1"/>
    <col min="3846" max="3846" width="7" style="1" bestFit="1" customWidth="1"/>
    <col min="3847" max="3847" width="8.125" style="1" bestFit="1" customWidth="1"/>
    <col min="3848" max="3848" width="9.375" style="1" customWidth="1"/>
    <col min="3849" max="3849" width="4.375" style="1" customWidth="1"/>
    <col min="3850" max="3852" width="10.125" style="1"/>
    <col min="3853" max="3853" width="72.75" style="1" customWidth="1"/>
    <col min="3854" max="4096" width="10.125" style="1"/>
    <col min="4097" max="4097" width="3.125" style="1" customWidth="1"/>
    <col min="4098" max="4098" width="30.875" style="1" customWidth="1"/>
    <col min="4099" max="4099" width="5.75" style="1" customWidth="1"/>
    <col min="4100" max="4100" width="1.75" style="1" customWidth="1"/>
    <col min="4101" max="4101" width="10" style="1" customWidth="1"/>
    <col min="4102" max="4102" width="7" style="1" bestFit="1" customWidth="1"/>
    <col min="4103" max="4103" width="8.125" style="1" bestFit="1" customWidth="1"/>
    <col min="4104" max="4104" width="9.375" style="1" customWidth="1"/>
    <col min="4105" max="4105" width="4.375" style="1" customWidth="1"/>
    <col min="4106" max="4108" width="10.125" style="1"/>
    <col min="4109" max="4109" width="72.75" style="1" customWidth="1"/>
    <col min="4110" max="4352" width="10.125" style="1"/>
    <col min="4353" max="4353" width="3.125" style="1" customWidth="1"/>
    <col min="4354" max="4354" width="30.875" style="1" customWidth="1"/>
    <col min="4355" max="4355" width="5.75" style="1" customWidth="1"/>
    <col min="4356" max="4356" width="1.75" style="1" customWidth="1"/>
    <col min="4357" max="4357" width="10" style="1" customWidth="1"/>
    <col min="4358" max="4358" width="7" style="1" bestFit="1" customWidth="1"/>
    <col min="4359" max="4359" width="8.125" style="1" bestFit="1" customWidth="1"/>
    <col min="4360" max="4360" width="9.375" style="1" customWidth="1"/>
    <col min="4361" max="4361" width="4.375" style="1" customWidth="1"/>
    <col min="4362" max="4364" width="10.125" style="1"/>
    <col min="4365" max="4365" width="72.75" style="1" customWidth="1"/>
    <col min="4366" max="4608" width="10.125" style="1"/>
    <col min="4609" max="4609" width="3.125" style="1" customWidth="1"/>
    <col min="4610" max="4610" width="30.875" style="1" customWidth="1"/>
    <col min="4611" max="4611" width="5.75" style="1" customWidth="1"/>
    <col min="4612" max="4612" width="1.75" style="1" customWidth="1"/>
    <col min="4613" max="4613" width="10" style="1" customWidth="1"/>
    <col min="4614" max="4614" width="7" style="1" bestFit="1" customWidth="1"/>
    <col min="4615" max="4615" width="8.125" style="1" bestFit="1" customWidth="1"/>
    <col min="4616" max="4616" width="9.375" style="1" customWidth="1"/>
    <col min="4617" max="4617" width="4.375" style="1" customWidth="1"/>
    <col min="4618" max="4620" width="10.125" style="1"/>
    <col min="4621" max="4621" width="72.75" style="1" customWidth="1"/>
    <col min="4622" max="4864" width="10.125" style="1"/>
    <col min="4865" max="4865" width="3.125" style="1" customWidth="1"/>
    <col min="4866" max="4866" width="30.875" style="1" customWidth="1"/>
    <col min="4867" max="4867" width="5.75" style="1" customWidth="1"/>
    <col min="4868" max="4868" width="1.75" style="1" customWidth="1"/>
    <col min="4869" max="4869" width="10" style="1" customWidth="1"/>
    <col min="4870" max="4870" width="7" style="1" bestFit="1" customWidth="1"/>
    <col min="4871" max="4871" width="8.125" style="1" bestFit="1" customWidth="1"/>
    <col min="4872" max="4872" width="9.375" style="1" customWidth="1"/>
    <col min="4873" max="4873" width="4.375" style="1" customWidth="1"/>
    <col min="4874" max="4876" width="10.125" style="1"/>
    <col min="4877" max="4877" width="72.75" style="1" customWidth="1"/>
    <col min="4878" max="5120" width="10.125" style="1"/>
    <col min="5121" max="5121" width="3.125" style="1" customWidth="1"/>
    <col min="5122" max="5122" width="30.875" style="1" customWidth="1"/>
    <col min="5123" max="5123" width="5.75" style="1" customWidth="1"/>
    <col min="5124" max="5124" width="1.75" style="1" customWidth="1"/>
    <col min="5125" max="5125" width="10" style="1" customWidth="1"/>
    <col min="5126" max="5126" width="7" style="1" bestFit="1" customWidth="1"/>
    <col min="5127" max="5127" width="8.125" style="1" bestFit="1" customWidth="1"/>
    <col min="5128" max="5128" width="9.375" style="1" customWidth="1"/>
    <col min="5129" max="5129" width="4.375" style="1" customWidth="1"/>
    <col min="5130" max="5132" width="10.125" style="1"/>
    <col min="5133" max="5133" width="72.75" style="1" customWidth="1"/>
    <col min="5134" max="5376" width="10.125" style="1"/>
    <col min="5377" max="5377" width="3.125" style="1" customWidth="1"/>
    <col min="5378" max="5378" width="30.875" style="1" customWidth="1"/>
    <col min="5379" max="5379" width="5.75" style="1" customWidth="1"/>
    <col min="5380" max="5380" width="1.75" style="1" customWidth="1"/>
    <col min="5381" max="5381" width="10" style="1" customWidth="1"/>
    <col min="5382" max="5382" width="7" style="1" bestFit="1" customWidth="1"/>
    <col min="5383" max="5383" width="8.125" style="1" bestFit="1" customWidth="1"/>
    <col min="5384" max="5384" width="9.375" style="1" customWidth="1"/>
    <col min="5385" max="5385" width="4.375" style="1" customWidth="1"/>
    <col min="5386" max="5388" width="10.125" style="1"/>
    <col min="5389" max="5389" width="72.75" style="1" customWidth="1"/>
    <col min="5390" max="5632" width="10.125" style="1"/>
    <col min="5633" max="5633" width="3.125" style="1" customWidth="1"/>
    <col min="5634" max="5634" width="30.875" style="1" customWidth="1"/>
    <col min="5635" max="5635" width="5.75" style="1" customWidth="1"/>
    <col min="5636" max="5636" width="1.75" style="1" customWidth="1"/>
    <col min="5637" max="5637" width="10" style="1" customWidth="1"/>
    <col min="5638" max="5638" width="7" style="1" bestFit="1" customWidth="1"/>
    <col min="5639" max="5639" width="8.125" style="1" bestFit="1" customWidth="1"/>
    <col min="5640" max="5640" width="9.375" style="1" customWidth="1"/>
    <col min="5641" max="5641" width="4.375" style="1" customWidth="1"/>
    <col min="5642" max="5644" width="10.125" style="1"/>
    <col min="5645" max="5645" width="72.75" style="1" customWidth="1"/>
    <col min="5646" max="5888" width="10.125" style="1"/>
    <col min="5889" max="5889" width="3.125" style="1" customWidth="1"/>
    <col min="5890" max="5890" width="30.875" style="1" customWidth="1"/>
    <col min="5891" max="5891" width="5.75" style="1" customWidth="1"/>
    <col min="5892" max="5892" width="1.75" style="1" customWidth="1"/>
    <col min="5893" max="5893" width="10" style="1" customWidth="1"/>
    <col min="5894" max="5894" width="7" style="1" bestFit="1" customWidth="1"/>
    <col min="5895" max="5895" width="8.125" style="1" bestFit="1" customWidth="1"/>
    <col min="5896" max="5896" width="9.375" style="1" customWidth="1"/>
    <col min="5897" max="5897" width="4.375" style="1" customWidth="1"/>
    <col min="5898" max="5900" width="10.125" style="1"/>
    <col min="5901" max="5901" width="72.75" style="1" customWidth="1"/>
    <col min="5902" max="6144" width="10.125" style="1"/>
    <col min="6145" max="6145" width="3.125" style="1" customWidth="1"/>
    <col min="6146" max="6146" width="30.875" style="1" customWidth="1"/>
    <col min="6147" max="6147" width="5.75" style="1" customWidth="1"/>
    <col min="6148" max="6148" width="1.75" style="1" customWidth="1"/>
    <col min="6149" max="6149" width="10" style="1" customWidth="1"/>
    <col min="6150" max="6150" width="7" style="1" bestFit="1" customWidth="1"/>
    <col min="6151" max="6151" width="8.125" style="1" bestFit="1" customWidth="1"/>
    <col min="6152" max="6152" width="9.375" style="1" customWidth="1"/>
    <col min="6153" max="6153" width="4.375" style="1" customWidth="1"/>
    <col min="6154" max="6156" width="10.125" style="1"/>
    <col min="6157" max="6157" width="72.75" style="1" customWidth="1"/>
    <col min="6158" max="6400" width="10.125" style="1"/>
    <col min="6401" max="6401" width="3.125" style="1" customWidth="1"/>
    <col min="6402" max="6402" width="30.875" style="1" customWidth="1"/>
    <col min="6403" max="6403" width="5.75" style="1" customWidth="1"/>
    <col min="6404" max="6404" width="1.75" style="1" customWidth="1"/>
    <col min="6405" max="6405" width="10" style="1" customWidth="1"/>
    <col min="6406" max="6406" width="7" style="1" bestFit="1" customWidth="1"/>
    <col min="6407" max="6407" width="8.125" style="1" bestFit="1" customWidth="1"/>
    <col min="6408" max="6408" width="9.375" style="1" customWidth="1"/>
    <col min="6409" max="6409" width="4.375" style="1" customWidth="1"/>
    <col min="6410" max="6412" width="10.125" style="1"/>
    <col min="6413" max="6413" width="72.75" style="1" customWidth="1"/>
    <col min="6414" max="6656" width="10.125" style="1"/>
    <col min="6657" max="6657" width="3.125" style="1" customWidth="1"/>
    <col min="6658" max="6658" width="30.875" style="1" customWidth="1"/>
    <col min="6659" max="6659" width="5.75" style="1" customWidth="1"/>
    <col min="6660" max="6660" width="1.75" style="1" customWidth="1"/>
    <col min="6661" max="6661" width="10" style="1" customWidth="1"/>
    <col min="6662" max="6662" width="7" style="1" bestFit="1" customWidth="1"/>
    <col min="6663" max="6663" width="8.125" style="1" bestFit="1" customWidth="1"/>
    <col min="6664" max="6664" width="9.375" style="1" customWidth="1"/>
    <col min="6665" max="6665" width="4.375" style="1" customWidth="1"/>
    <col min="6666" max="6668" width="10.125" style="1"/>
    <col min="6669" max="6669" width="72.75" style="1" customWidth="1"/>
    <col min="6670" max="6912" width="10.125" style="1"/>
    <col min="6913" max="6913" width="3.125" style="1" customWidth="1"/>
    <col min="6914" max="6914" width="30.875" style="1" customWidth="1"/>
    <col min="6915" max="6915" width="5.75" style="1" customWidth="1"/>
    <col min="6916" max="6916" width="1.75" style="1" customWidth="1"/>
    <col min="6917" max="6917" width="10" style="1" customWidth="1"/>
    <col min="6918" max="6918" width="7" style="1" bestFit="1" customWidth="1"/>
    <col min="6919" max="6919" width="8.125" style="1" bestFit="1" customWidth="1"/>
    <col min="6920" max="6920" width="9.375" style="1" customWidth="1"/>
    <col min="6921" max="6921" width="4.375" style="1" customWidth="1"/>
    <col min="6922" max="6924" width="10.125" style="1"/>
    <col min="6925" max="6925" width="72.75" style="1" customWidth="1"/>
    <col min="6926" max="7168" width="10.125" style="1"/>
    <col min="7169" max="7169" width="3.125" style="1" customWidth="1"/>
    <col min="7170" max="7170" width="30.875" style="1" customWidth="1"/>
    <col min="7171" max="7171" width="5.75" style="1" customWidth="1"/>
    <col min="7172" max="7172" width="1.75" style="1" customWidth="1"/>
    <col min="7173" max="7173" width="10" style="1" customWidth="1"/>
    <col min="7174" max="7174" width="7" style="1" bestFit="1" customWidth="1"/>
    <col min="7175" max="7175" width="8.125" style="1" bestFit="1" customWidth="1"/>
    <col min="7176" max="7176" width="9.375" style="1" customWidth="1"/>
    <col min="7177" max="7177" width="4.375" style="1" customWidth="1"/>
    <col min="7178" max="7180" width="10.125" style="1"/>
    <col min="7181" max="7181" width="72.75" style="1" customWidth="1"/>
    <col min="7182" max="7424" width="10.125" style="1"/>
    <col min="7425" max="7425" width="3.125" style="1" customWidth="1"/>
    <col min="7426" max="7426" width="30.875" style="1" customWidth="1"/>
    <col min="7427" max="7427" width="5.75" style="1" customWidth="1"/>
    <col min="7428" max="7428" width="1.75" style="1" customWidth="1"/>
    <col min="7429" max="7429" width="10" style="1" customWidth="1"/>
    <col min="7430" max="7430" width="7" style="1" bestFit="1" customWidth="1"/>
    <col min="7431" max="7431" width="8.125" style="1" bestFit="1" customWidth="1"/>
    <col min="7432" max="7432" width="9.375" style="1" customWidth="1"/>
    <col min="7433" max="7433" width="4.375" style="1" customWidth="1"/>
    <col min="7434" max="7436" width="10.125" style="1"/>
    <col min="7437" max="7437" width="72.75" style="1" customWidth="1"/>
    <col min="7438" max="7680" width="10.125" style="1"/>
    <col min="7681" max="7681" width="3.125" style="1" customWidth="1"/>
    <col min="7682" max="7682" width="30.875" style="1" customWidth="1"/>
    <col min="7683" max="7683" width="5.75" style="1" customWidth="1"/>
    <col min="7684" max="7684" width="1.75" style="1" customWidth="1"/>
    <col min="7685" max="7685" width="10" style="1" customWidth="1"/>
    <col min="7686" max="7686" width="7" style="1" bestFit="1" customWidth="1"/>
    <col min="7687" max="7687" width="8.125" style="1" bestFit="1" customWidth="1"/>
    <col min="7688" max="7688" width="9.375" style="1" customWidth="1"/>
    <col min="7689" max="7689" width="4.375" style="1" customWidth="1"/>
    <col min="7690" max="7692" width="10.125" style="1"/>
    <col min="7693" max="7693" width="72.75" style="1" customWidth="1"/>
    <col min="7694" max="7936" width="10.125" style="1"/>
    <col min="7937" max="7937" width="3.125" style="1" customWidth="1"/>
    <col min="7938" max="7938" width="30.875" style="1" customWidth="1"/>
    <col min="7939" max="7939" width="5.75" style="1" customWidth="1"/>
    <col min="7940" max="7940" width="1.75" style="1" customWidth="1"/>
    <col min="7941" max="7941" width="10" style="1" customWidth="1"/>
    <col min="7942" max="7942" width="7" style="1" bestFit="1" customWidth="1"/>
    <col min="7943" max="7943" width="8.125" style="1" bestFit="1" customWidth="1"/>
    <col min="7944" max="7944" width="9.375" style="1" customWidth="1"/>
    <col min="7945" max="7945" width="4.375" style="1" customWidth="1"/>
    <col min="7946" max="7948" width="10.125" style="1"/>
    <col min="7949" max="7949" width="72.75" style="1" customWidth="1"/>
    <col min="7950" max="8192" width="10.125" style="1"/>
    <col min="8193" max="8193" width="3.125" style="1" customWidth="1"/>
    <col min="8194" max="8194" width="30.875" style="1" customWidth="1"/>
    <col min="8195" max="8195" width="5.75" style="1" customWidth="1"/>
    <col min="8196" max="8196" width="1.75" style="1" customWidth="1"/>
    <col min="8197" max="8197" width="10" style="1" customWidth="1"/>
    <col min="8198" max="8198" width="7" style="1" bestFit="1" customWidth="1"/>
    <col min="8199" max="8199" width="8.125" style="1" bestFit="1" customWidth="1"/>
    <col min="8200" max="8200" width="9.375" style="1" customWidth="1"/>
    <col min="8201" max="8201" width="4.375" style="1" customWidth="1"/>
    <col min="8202" max="8204" width="10.125" style="1"/>
    <col min="8205" max="8205" width="72.75" style="1" customWidth="1"/>
    <col min="8206" max="8448" width="10.125" style="1"/>
    <col min="8449" max="8449" width="3.125" style="1" customWidth="1"/>
    <col min="8450" max="8450" width="30.875" style="1" customWidth="1"/>
    <col min="8451" max="8451" width="5.75" style="1" customWidth="1"/>
    <col min="8452" max="8452" width="1.75" style="1" customWidth="1"/>
    <col min="8453" max="8453" width="10" style="1" customWidth="1"/>
    <col min="8454" max="8454" width="7" style="1" bestFit="1" customWidth="1"/>
    <col min="8455" max="8455" width="8.125" style="1" bestFit="1" customWidth="1"/>
    <col min="8456" max="8456" width="9.375" style="1" customWidth="1"/>
    <col min="8457" max="8457" width="4.375" style="1" customWidth="1"/>
    <col min="8458" max="8460" width="10.125" style="1"/>
    <col min="8461" max="8461" width="72.75" style="1" customWidth="1"/>
    <col min="8462" max="8704" width="10.125" style="1"/>
    <col min="8705" max="8705" width="3.125" style="1" customWidth="1"/>
    <col min="8706" max="8706" width="30.875" style="1" customWidth="1"/>
    <col min="8707" max="8707" width="5.75" style="1" customWidth="1"/>
    <col min="8708" max="8708" width="1.75" style="1" customWidth="1"/>
    <col min="8709" max="8709" width="10" style="1" customWidth="1"/>
    <col min="8710" max="8710" width="7" style="1" bestFit="1" customWidth="1"/>
    <col min="8711" max="8711" width="8.125" style="1" bestFit="1" customWidth="1"/>
    <col min="8712" max="8712" width="9.375" style="1" customWidth="1"/>
    <col min="8713" max="8713" width="4.375" style="1" customWidth="1"/>
    <col min="8714" max="8716" width="10.125" style="1"/>
    <col min="8717" max="8717" width="72.75" style="1" customWidth="1"/>
    <col min="8718" max="8960" width="10.125" style="1"/>
    <col min="8961" max="8961" width="3.125" style="1" customWidth="1"/>
    <col min="8962" max="8962" width="30.875" style="1" customWidth="1"/>
    <col min="8963" max="8963" width="5.75" style="1" customWidth="1"/>
    <col min="8964" max="8964" width="1.75" style="1" customWidth="1"/>
    <col min="8965" max="8965" width="10" style="1" customWidth="1"/>
    <col min="8966" max="8966" width="7" style="1" bestFit="1" customWidth="1"/>
    <col min="8967" max="8967" width="8.125" style="1" bestFit="1" customWidth="1"/>
    <col min="8968" max="8968" width="9.375" style="1" customWidth="1"/>
    <col min="8969" max="8969" width="4.375" style="1" customWidth="1"/>
    <col min="8970" max="8972" width="10.125" style="1"/>
    <col min="8973" max="8973" width="72.75" style="1" customWidth="1"/>
    <col min="8974" max="9216" width="10.125" style="1"/>
    <col min="9217" max="9217" width="3.125" style="1" customWidth="1"/>
    <col min="9218" max="9218" width="30.875" style="1" customWidth="1"/>
    <col min="9219" max="9219" width="5.75" style="1" customWidth="1"/>
    <col min="9220" max="9220" width="1.75" style="1" customWidth="1"/>
    <col min="9221" max="9221" width="10" style="1" customWidth="1"/>
    <col min="9222" max="9222" width="7" style="1" bestFit="1" customWidth="1"/>
    <col min="9223" max="9223" width="8.125" style="1" bestFit="1" customWidth="1"/>
    <col min="9224" max="9224" width="9.375" style="1" customWidth="1"/>
    <col min="9225" max="9225" width="4.375" style="1" customWidth="1"/>
    <col min="9226" max="9228" width="10.125" style="1"/>
    <col min="9229" max="9229" width="72.75" style="1" customWidth="1"/>
    <col min="9230" max="9472" width="10.125" style="1"/>
    <col min="9473" max="9473" width="3.125" style="1" customWidth="1"/>
    <col min="9474" max="9474" width="30.875" style="1" customWidth="1"/>
    <col min="9475" max="9475" width="5.75" style="1" customWidth="1"/>
    <col min="9476" max="9476" width="1.75" style="1" customWidth="1"/>
    <col min="9477" max="9477" width="10" style="1" customWidth="1"/>
    <col min="9478" max="9478" width="7" style="1" bestFit="1" customWidth="1"/>
    <col min="9479" max="9479" width="8.125" style="1" bestFit="1" customWidth="1"/>
    <col min="9480" max="9480" width="9.375" style="1" customWidth="1"/>
    <col min="9481" max="9481" width="4.375" style="1" customWidth="1"/>
    <col min="9482" max="9484" width="10.125" style="1"/>
    <col min="9485" max="9485" width="72.75" style="1" customWidth="1"/>
    <col min="9486" max="9728" width="10.125" style="1"/>
    <col min="9729" max="9729" width="3.125" style="1" customWidth="1"/>
    <col min="9730" max="9730" width="30.875" style="1" customWidth="1"/>
    <col min="9731" max="9731" width="5.75" style="1" customWidth="1"/>
    <col min="9732" max="9732" width="1.75" style="1" customWidth="1"/>
    <col min="9733" max="9733" width="10" style="1" customWidth="1"/>
    <col min="9734" max="9734" width="7" style="1" bestFit="1" customWidth="1"/>
    <col min="9735" max="9735" width="8.125" style="1" bestFit="1" customWidth="1"/>
    <col min="9736" max="9736" width="9.375" style="1" customWidth="1"/>
    <col min="9737" max="9737" width="4.375" style="1" customWidth="1"/>
    <col min="9738" max="9740" width="10.125" style="1"/>
    <col min="9741" max="9741" width="72.75" style="1" customWidth="1"/>
    <col min="9742" max="9984" width="10.125" style="1"/>
    <col min="9985" max="9985" width="3.125" style="1" customWidth="1"/>
    <col min="9986" max="9986" width="30.875" style="1" customWidth="1"/>
    <col min="9987" max="9987" width="5.75" style="1" customWidth="1"/>
    <col min="9988" max="9988" width="1.75" style="1" customWidth="1"/>
    <col min="9989" max="9989" width="10" style="1" customWidth="1"/>
    <col min="9990" max="9990" width="7" style="1" bestFit="1" customWidth="1"/>
    <col min="9991" max="9991" width="8.125" style="1" bestFit="1" customWidth="1"/>
    <col min="9992" max="9992" width="9.375" style="1" customWidth="1"/>
    <col min="9993" max="9993" width="4.375" style="1" customWidth="1"/>
    <col min="9994" max="9996" width="10.125" style="1"/>
    <col min="9997" max="9997" width="72.75" style="1" customWidth="1"/>
    <col min="9998" max="10240" width="10.125" style="1"/>
    <col min="10241" max="10241" width="3.125" style="1" customWidth="1"/>
    <col min="10242" max="10242" width="30.875" style="1" customWidth="1"/>
    <col min="10243" max="10243" width="5.75" style="1" customWidth="1"/>
    <col min="10244" max="10244" width="1.75" style="1" customWidth="1"/>
    <col min="10245" max="10245" width="10" style="1" customWidth="1"/>
    <col min="10246" max="10246" width="7" style="1" bestFit="1" customWidth="1"/>
    <col min="10247" max="10247" width="8.125" style="1" bestFit="1" customWidth="1"/>
    <col min="10248" max="10248" width="9.375" style="1" customWidth="1"/>
    <col min="10249" max="10249" width="4.375" style="1" customWidth="1"/>
    <col min="10250" max="10252" width="10.125" style="1"/>
    <col min="10253" max="10253" width="72.75" style="1" customWidth="1"/>
    <col min="10254" max="10496" width="10.125" style="1"/>
    <col min="10497" max="10497" width="3.125" style="1" customWidth="1"/>
    <col min="10498" max="10498" width="30.875" style="1" customWidth="1"/>
    <col min="10499" max="10499" width="5.75" style="1" customWidth="1"/>
    <col min="10500" max="10500" width="1.75" style="1" customWidth="1"/>
    <col min="10501" max="10501" width="10" style="1" customWidth="1"/>
    <col min="10502" max="10502" width="7" style="1" bestFit="1" customWidth="1"/>
    <col min="10503" max="10503" width="8.125" style="1" bestFit="1" customWidth="1"/>
    <col min="10504" max="10504" width="9.375" style="1" customWidth="1"/>
    <col min="10505" max="10505" width="4.375" style="1" customWidth="1"/>
    <col min="10506" max="10508" width="10.125" style="1"/>
    <col min="10509" max="10509" width="72.75" style="1" customWidth="1"/>
    <col min="10510" max="10752" width="10.125" style="1"/>
    <col min="10753" max="10753" width="3.125" style="1" customWidth="1"/>
    <col min="10754" max="10754" width="30.875" style="1" customWidth="1"/>
    <col min="10755" max="10755" width="5.75" style="1" customWidth="1"/>
    <col min="10756" max="10756" width="1.75" style="1" customWidth="1"/>
    <col min="10757" max="10757" width="10" style="1" customWidth="1"/>
    <col min="10758" max="10758" width="7" style="1" bestFit="1" customWidth="1"/>
    <col min="10759" max="10759" width="8.125" style="1" bestFit="1" customWidth="1"/>
    <col min="10760" max="10760" width="9.375" style="1" customWidth="1"/>
    <col min="10761" max="10761" width="4.375" style="1" customWidth="1"/>
    <col min="10762" max="10764" width="10.125" style="1"/>
    <col min="10765" max="10765" width="72.75" style="1" customWidth="1"/>
    <col min="10766" max="11008" width="10.125" style="1"/>
    <col min="11009" max="11009" width="3.125" style="1" customWidth="1"/>
    <col min="11010" max="11010" width="30.875" style="1" customWidth="1"/>
    <col min="11011" max="11011" width="5.75" style="1" customWidth="1"/>
    <col min="11012" max="11012" width="1.75" style="1" customWidth="1"/>
    <col min="11013" max="11013" width="10" style="1" customWidth="1"/>
    <col min="11014" max="11014" width="7" style="1" bestFit="1" customWidth="1"/>
    <col min="11015" max="11015" width="8.125" style="1" bestFit="1" customWidth="1"/>
    <col min="11016" max="11016" width="9.375" style="1" customWidth="1"/>
    <col min="11017" max="11017" width="4.375" style="1" customWidth="1"/>
    <col min="11018" max="11020" width="10.125" style="1"/>
    <col min="11021" max="11021" width="72.75" style="1" customWidth="1"/>
    <col min="11022" max="11264" width="10.125" style="1"/>
    <col min="11265" max="11265" width="3.125" style="1" customWidth="1"/>
    <col min="11266" max="11266" width="30.875" style="1" customWidth="1"/>
    <col min="11267" max="11267" width="5.75" style="1" customWidth="1"/>
    <col min="11268" max="11268" width="1.75" style="1" customWidth="1"/>
    <col min="11269" max="11269" width="10" style="1" customWidth="1"/>
    <col min="11270" max="11270" width="7" style="1" bestFit="1" customWidth="1"/>
    <col min="11271" max="11271" width="8.125" style="1" bestFit="1" customWidth="1"/>
    <col min="11272" max="11272" width="9.375" style="1" customWidth="1"/>
    <col min="11273" max="11273" width="4.375" style="1" customWidth="1"/>
    <col min="11274" max="11276" width="10.125" style="1"/>
    <col min="11277" max="11277" width="72.75" style="1" customWidth="1"/>
    <col min="11278" max="11520" width="10.125" style="1"/>
    <col min="11521" max="11521" width="3.125" style="1" customWidth="1"/>
    <col min="11522" max="11522" width="30.875" style="1" customWidth="1"/>
    <col min="11523" max="11523" width="5.75" style="1" customWidth="1"/>
    <col min="11524" max="11524" width="1.75" style="1" customWidth="1"/>
    <col min="11525" max="11525" width="10" style="1" customWidth="1"/>
    <col min="11526" max="11526" width="7" style="1" bestFit="1" customWidth="1"/>
    <col min="11527" max="11527" width="8.125" style="1" bestFit="1" customWidth="1"/>
    <col min="11528" max="11528" width="9.375" style="1" customWidth="1"/>
    <col min="11529" max="11529" width="4.375" style="1" customWidth="1"/>
    <col min="11530" max="11532" width="10.125" style="1"/>
    <col min="11533" max="11533" width="72.75" style="1" customWidth="1"/>
    <col min="11534" max="11776" width="10.125" style="1"/>
    <col min="11777" max="11777" width="3.125" style="1" customWidth="1"/>
    <col min="11778" max="11778" width="30.875" style="1" customWidth="1"/>
    <col min="11779" max="11779" width="5.75" style="1" customWidth="1"/>
    <col min="11780" max="11780" width="1.75" style="1" customWidth="1"/>
    <col min="11781" max="11781" width="10" style="1" customWidth="1"/>
    <col min="11782" max="11782" width="7" style="1" bestFit="1" customWidth="1"/>
    <col min="11783" max="11783" width="8.125" style="1" bestFit="1" customWidth="1"/>
    <col min="11784" max="11784" width="9.375" style="1" customWidth="1"/>
    <col min="11785" max="11785" width="4.375" style="1" customWidth="1"/>
    <col min="11786" max="11788" width="10.125" style="1"/>
    <col min="11789" max="11789" width="72.75" style="1" customWidth="1"/>
    <col min="11790" max="12032" width="10.125" style="1"/>
    <col min="12033" max="12033" width="3.125" style="1" customWidth="1"/>
    <col min="12034" max="12034" width="30.875" style="1" customWidth="1"/>
    <col min="12035" max="12035" width="5.75" style="1" customWidth="1"/>
    <col min="12036" max="12036" width="1.75" style="1" customWidth="1"/>
    <col min="12037" max="12037" width="10" style="1" customWidth="1"/>
    <col min="12038" max="12038" width="7" style="1" bestFit="1" customWidth="1"/>
    <col min="12039" max="12039" width="8.125" style="1" bestFit="1" customWidth="1"/>
    <col min="12040" max="12040" width="9.375" style="1" customWidth="1"/>
    <col min="12041" max="12041" width="4.375" style="1" customWidth="1"/>
    <col min="12042" max="12044" width="10.125" style="1"/>
    <col min="12045" max="12045" width="72.75" style="1" customWidth="1"/>
    <col min="12046" max="12288" width="10.125" style="1"/>
    <col min="12289" max="12289" width="3.125" style="1" customWidth="1"/>
    <col min="12290" max="12290" width="30.875" style="1" customWidth="1"/>
    <col min="12291" max="12291" width="5.75" style="1" customWidth="1"/>
    <col min="12292" max="12292" width="1.75" style="1" customWidth="1"/>
    <col min="12293" max="12293" width="10" style="1" customWidth="1"/>
    <col min="12294" max="12294" width="7" style="1" bestFit="1" customWidth="1"/>
    <col min="12295" max="12295" width="8.125" style="1" bestFit="1" customWidth="1"/>
    <col min="12296" max="12296" width="9.375" style="1" customWidth="1"/>
    <col min="12297" max="12297" width="4.375" style="1" customWidth="1"/>
    <col min="12298" max="12300" width="10.125" style="1"/>
    <col min="12301" max="12301" width="72.75" style="1" customWidth="1"/>
    <col min="12302" max="12544" width="10.125" style="1"/>
    <col min="12545" max="12545" width="3.125" style="1" customWidth="1"/>
    <col min="12546" max="12546" width="30.875" style="1" customWidth="1"/>
    <col min="12547" max="12547" width="5.75" style="1" customWidth="1"/>
    <col min="12548" max="12548" width="1.75" style="1" customWidth="1"/>
    <col min="12549" max="12549" width="10" style="1" customWidth="1"/>
    <col min="12550" max="12550" width="7" style="1" bestFit="1" customWidth="1"/>
    <col min="12551" max="12551" width="8.125" style="1" bestFit="1" customWidth="1"/>
    <col min="12552" max="12552" width="9.375" style="1" customWidth="1"/>
    <col min="12553" max="12553" width="4.375" style="1" customWidth="1"/>
    <col min="12554" max="12556" width="10.125" style="1"/>
    <col min="12557" max="12557" width="72.75" style="1" customWidth="1"/>
    <col min="12558" max="12800" width="10.125" style="1"/>
    <col min="12801" max="12801" width="3.125" style="1" customWidth="1"/>
    <col min="12802" max="12802" width="30.875" style="1" customWidth="1"/>
    <col min="12803" max="12803" width="5.75" style="1" customWidth="1"/>
    <col min="12804" max="12804" width="1.75" style="1" customWidth="1"/>
    <col min="12805" max="12805" width="10" style="1" customWidth="1"/>
    <col min="12806" max="12806" width="7" style="1" bestFit="1" customWidth="1"/>
    <col min="12807" max="12807" width="8.125" style="1" bestFit="1" customWidth="1"/>
    <col min="12808" max="12808" width="9.375" style="1" customWidth="1"/>
    <col min="12809" max="12809" width="4.375" style="1" customWidth="1"/>
    <col min="12810" max="12812" width="10.125" style="1"/>
    <col min="12813" max="12813" width="72.75" style="1" customWidth="1"/>
    <col min="12814" max="13056" width="10.125" style="1"/>
    <col min="13057" max="13057" width="3.125" style="1" customWidth="1"/>
    <col min="13058" max="13058" width="30.875" style="1" customWidth="1"/>
    <col min="13059" max="13059" width="5.75" style="1" customWidth="1"/>
    <col min="13060" max="13060" width="1.75" style="1" customWidth="1"/>
    <col min="13061" max="13061" width="10" style="1" customWidth="1"/>
    <col min="13062" max="13062" width="7" style="1" bestFit="1" customWidth="1"/>
    <col min="13063" max="13063" width="8.125" style="1" bestFit="1" customWidth="1"/>
    <col min="13064" max="13064" width="9.375" style="1" customWidth="1"/>
    <col min="13065" max="13065" width="4.375" style="1" customWidth="1"/>
    <col min="13066" max="13068" width="10.125" style="1"/>
    <col min="13069" max="13069" width="72.75" style="1" customWidth="1"/>
    <col min="13070" max="13312" width="10.125" style="1"/>
    <col min="13313" max="13313" width="3.125" style="1" customWidth="1"/>
    <col min="13314" max="13314" width="30.875" style="1" customWidth="1"/>
    <col min="13315" max="13315" width="5.75" style="1" customWidth="1"/>
    <col min="13316" max="13316" width="1.75" style="1" customWidth="1"/>
    <col min="13317" max="13317" width="10" style="1" customWidth="1"/>
    <col min="13318" max="13318" width="7" style="1" bestFit="1" customWidth="1"/>
    <col min="13319" max="13319" width="8.125" style="1" bestFit="1" customWidth="1"/>
    <col min="13320" max="13320" width="9.375" style="1" customWidth="1"/>
    <col min="13321" max="13321" width="4.375" style="1" customWidth="1"/>
    <col min="13322" max="13324" width="10.125" style="1"/>
    <col min="13325" max="13325" width="72.75" style="1" customWidth="1"/>
    <col min="13326" max="13568" width="10.125" style="1"/>
    <col min="13569" max="13569" width="3.125" style="1" customWidth="1"/>
    <col min="13570" max="13570" width="30.875" style="1" customWidth="1"/>
    <col min="13571" max="13571" width="5.75" style="1" customWidth="1"/>
    <col min="13572" max="13572" width="1.75" style="1" customWidth="1"/>
    <col min="13573" max="13573" width="10" style="1" customWidth="1"/>
    <col min="13574" max="13574" width="7" style="1" bestFit="1" customWidth="1"/>
    <col min="13575" max="13575" width="8.125" style="1" bestFit="1" customWidth="1"/>
    <col min="13576" max="13576" width="9.375" style="1" customWidth="1"/>
    <col min="13577" max="13577" width="4.375" style="1" customWidth="1"/>
    <col min="13578" max="13580" width="10.125" style="1"/>
    <col min="13581" max="13581" width="72.75" style="1" customWidth="1"/>
    <col min="13582" max="13824" width="10.125" style="1"/>
    <col min="13825" max="13825" width="3.125" style="1" customWidth="1"/>
    <col min="13826" max="13826" width="30.875" style="1" customWidth="1"/>
    <col min="13827" max="13827" width="5.75" style="1" customWidth="1"/>
    <col min="13828" max="13828" width="1.75" style="1" customWidth="1"/>
    <col min="13829" max="13829" width="10" style="1" customWidth="1"/>
    <col min="13830" max="13830" width="7" style="1" bestFit="1" customWidth="1"/>
    <col min="13831" max="13831" width="8.125" style="1" bestFit="1" customWidth="1"/>
    <col min="13832" max="13832" width="9.375" style="1" customWidth="1"/>
    <col min="13833" max="13833" width="4.375" style="1" customWidth="1"/>
    <col min="13834" max="13836" width="10.125" style="1"/>
    <col min="13837" max="13837" width="72.75" style="1" customWidth="1"/>
    <col min="13838" max="14080" width="10.125" style="1"/>
    <col min="14081" max="14081" width="3.125" style="1" customWidth="1"/>
    <col min="14082" max="14082" width="30.875" style="1" customWidth="1"/>
    <col min="14083" max="14083" width="5.75" style="1" customWidth="1"/>
    <col min="14084" max="14084" width="1.75" style="1" customWidth="1"/>
    <col min="14085" max="14085" width="10" style="1" customWidth="1"/>
    <col min="14086" max="14086" width="7" style="1" bestFit="1" customWidth="1"/>
    <col min="14087" max="14087" width="8.125" style="1" bestFit="1" customWidth="1"/>
    <col min="14088" max="14088" width="9.375" style="1" customWidth="1"/>
    <col min="14089" max="14089" width="4.375" style="1" customWidth="1"/>
    <col min="14090" max="14092" width="10.125" style="1"/>
    <col min="14093" max="14093" width="72.75" style="1" customWidth="1"/>
    <col min="14094" max="14336" width="10.125" style="1"/>
    <col min="14337" max="14337" width="3.125" style="1" customWidth="1"/>
    <col min="14338" max="14338" width="30.875" style="1" customWidth="1"/>
    <col min="14339" max="14339" width="5.75" style="1" customWidth="1"/>
    <col min="14340" max="14340" width="1.75" style="1" customWidth="1"/>
    <col min="14341" max="14341" width="10" style="1" customWidth="1"/>
    <col min="14342" max="14342" width="7" style="1" bestFit="1" customWidth="1"/>
    <col min="14343" max="14343" width="8.125" style="1" bestFit="1" customWidth="1"/>
    <col min="14344" max="14344" width="9.375" style="1" customWidth="1"/>
    <col min="14345" max="14345" width="4.375" style="1" customWidth="1"/>
    <col min="14346" max="14348" width="10.125" style="1"/>
    <col min="14349" max="14349" width="72.75" style="1" customWidth="1"/>
    <col min="14350" max="14592" width="10.125" style="1"/>
    <col min="14593" max="14593" width="3.125" style="1" customWidth="1"/>
    <col min="14594" max="14594" width="30.875" style="1" customWidth="1"/>
    <col min="14595" max="14595" width="5.75" style="1" customWidth="1"/>
    <col min="14596" max="14596" width="1.75" style="1" customWidth="1"/>
    <col min="14597" max="14597" width="10" style="1" customWidth="1"/>
    <col min="14598" max="14598" width="7" style="1" bestFit="1" customWidth="1"/>
    <col min="14599" max="14599" width="8.125" style="1" bestFit="1" customWidth="1"/>
    <col min="14600" max="14600" width="9.375" style="1" customWidth="1"/>
    <col min="14601" max="14601" width="4.375" style="1" customWidth="1"/>
    <col min="14602" max="14604" width="10.125" style="1"/>
    <col min="14605" max="14605" width="72.75" style="1" customWidth="1"/>
    <col min="14606" max="14848" width="10.125" style="1"/>
    <col min="14849" max="14849" width="3.125" style="1" customWidth="1"/>
    <col min="14850" max="14850" width="30.875" style="1" customWidth="1"/>
    <col min="14851" max="14851" width="5.75" style="1" customWidth="1"/>
    <col min="14852" max="14852" width="1.75" style="1" customWidth="1"/>
    <col min="14853" max="14853" width="10" style="1" customWidth="1"/>
    <col min="14854" max="14854" width="7" style="1" bestFit="1" customWidth="1"/>
    <col min="14855" max="14855" width="8.125" style="1" bestFit="1" customWidth="1"/>
    <col min="14856" max="14856" width="9.375" style="1" customWidth="1"/>
    <col min="14857" max="14857" width="4.375" style="1" customWidth="1"/>
    <col min="14858" max="14860" width="10.125" style="1"/>
    <col min="14861" max="14861" width="72.75" style="1" customWidth="1"/>
    <col min="14862" max="15104" width="10.125" style="1"/>
    <col min="15105" max="15105" width="3.125" style="1" customWidth="1"/>
    <col min="15106" max="15106" width="30.875" style="1" customWidth="1"/>
    <col min="15107" max="15107" width="5.75" style="1" customWidth="1"/>
    <col min="15108" max="15108" width="1.75" style="1" customWidth="1"/>
    <col min="15109" max="15109" width="10" style="1" customWidth="1"/>
    <col min="15110" max="15110" width="7" style="1" bestFit="1" customWidth="1"/>
    <col min="15111" max="15111" width="8.125" style="1" bestFit="1" customWidth="1"/>
    <col min="15112" max="15112" width="9.375" style="1" customWidth="1"/>
    <col min="15113" max="15113" width="4.375" style="1" customWidth="1"/>
    <col min="15114" max="15116" width="10.125" style="1"/>
    <col min="15117" max="15117" width="72.75" style="1" customWidth="1"/>
    <col min="15118" max="15360" width="10.125" style="1"/>
    <col min="15361" max="15361" width="3.125" style="1" customWidth="1"/>
    <col min="15362" max="15362" width="30.875" style="1" customWidth="1"/>
    <col min="15363" max="15363" width="5.75" style="1" customWidth="1"/>
    <col min="15364" max="15364" width="1.75" style="1" customWidth="1"/>
    <col min="15365" max="15365" width="10" style="1" customWidth="1"/>
    <col min="15366" max="15366" width="7" style="1" bestFit="1" customWidth="1"/>
    <col min="15367" max="15367" width="8.125" style="1" bestFit="1" customWidth="1"/>
    <col min="15368" max="15368" width="9.375" style="1" customWidth="1"/>
    <col min="15369" max="15369" width="4.375" style="1" customWidth="1"/>
    <col min="15370" max="15372" width="10.125" style="1"/>
    <col min="15373" max="15373" width="72.75" style="1" customWidth="1"/>
    <col min="15374" max="15616" width="10.125" style="1"/>
    <col min="15617" max="15617" width="3.125" style="1" customWidth="1"/>
    <col min="15618" max="15618" width="30.875" style="1" customWidth="1"/>
    <col min="15619" max="15619" width="5.75" style="1" customWidth="1"/>
    <col min="15620" max="15620" width="1.75" style="1" customWidth="1"/>
    <col min="15621" max="15621" width="10" style="1" customWidth="1"/>
    <col min="15622" max="15622" width="7" style="1" bestFit="1" customWidth="1"/>
    <col min="15623" max="15623" width="8.125" style="1" bestFit="1" customWidth="1"/>
    <col min="15624" max="15624" width="9.375" style="1" customWidth="1"/>
    <col min="15625" max="15625" width="4.375" style="1" customWidth="1"/>
    <col min="15626" max="15628" width="10.125" style="1"/>
    <col min="15629" max="15629" width="72.75" style="1" customWidth="1"/>
    <col min="15630" max="15872" width="10.125" style="1"/>
    <col min="15873" max="15873" width="3.125" style="1" customWidth="1"/>
    <col min="15874" max="15874" width="30.875" style="1" customWidth="1"/>
    <col min="15875" max="15875" width="5.75" style="1" customWidth="1"/>
    <col min="15876" max="15876" width="1.75" style="1" customWidth="1"/>
    <col min="15877" max="15877" width="10" style="1" customWidth="1"/>
    <col min="15878" max="15878" width="7" style="1" bestFit="1" customWidth="1"/>
    <col min="15879" max="15879" width="8.125" style="1" bestFit="1" customWidth="1"/>
    <col min="15880" max="15880" width="9.375" style="1" customWidth="1"/>
    <col min="15881" max="15881" width="4.375" style="1" customWidth="1"/>
    <col min="15882" max="15884" width="10.125" style="1"/>
    <col min="15885" max="15885" width="72.75" style="1" customWidth="1"/>
    <col min="15886" max="16128" width="10.125" style="1"/>
    <col min="16129" max="16129" width="3.125" style="1" customWidth="1"/>
    <col min="16130" max="16130" width="30.875" style="1" customWidth="1"/>
    <col min="16131" max="16131" width="5.75" style="1" customWidth="1"/>
    <col min="16132" max="16132" width="1.75" style="1" customWidth="1"/>
    <col min="16133" max="16133" width="10" style="1" customWidth="1"/>
    <col min="16134" max="16134" width="7" style="1" bestFit="1" customWidth="1"/>
    <col min="16135" max="16135" width="8.125" style="1" bestFit="1" customWidth="1"/>
    <col min="16136" max="16136" width="9.375" style="1" customWidth="1"/>
    <col min="16137" max="16137" width="4.375" style="1" customWidth="1"/>
    <col min="16138" max="16140" width="10.125" style="1"/>
    <col min="16141" max="16141" width="72.75" style="1" customWidth="1"/>
    <col min="16142" max="16384" width="10.125" style="1"/>
  </cols>
  <sheetData>
    <row r="1" spans="1:8" x14ac:dyDescent="0.25">
      <c r="F1" s="3"/>
    </row>
    <row r="5" spans="1:8" x14ac:dyDescent="0.25">
      <c r="A5" s="4" t="s">
        <v>0</v>
      </c>
      <c r="B5" s="5"/>
      <c r="C5" s="5"/>
    </row>
    <row r="6" spans="1:8" ht="9" customHeight="1" x14ac:dyDescent="0.25">
      <c r="A6" s="4"/>
      <c r="B6" s="5"/>
      <c r="C6" s="5"/>
    </row>
    <row r="7" spans="1:8" s="7" customFormat="1" ht="15" x14ac:dyDescent="0.25">
      <c r="A7" s="7" t="s">
        <v>64</v>
      </c>
      <c r="B7" s="8"/>
      <c r="D7" s="9"/>
      <c r="E7" s="131" t="s">
        <v>2</v>
      </c>
      <c r="F7" s="132"/>
      <c r="G7" s="133">
        <v>45980</v>
      </c>
      <c r="H7" s="134"/>
    </row>
    <row r="8" spans="1:8" s="7" customFormat="1" ht="15" x14ac:dyDescent="0.25">
      <c r="A8" s="7" t="s">
        <v>61</v>
      </c>
      <c r="B8" s="8"/>
      <c r="D8" s="9"/>
      <c r="E8" s="135" t="s">
        <v>3</v>
      </c>
      <c r="F8" s="136"/>
      <c r="H8" s="11">
        <v>60431</v>
      </c>
    </row>
    <row r="9" spans="1:8" s="7" customFormat="1" ht="15" x14ac:dyDescent="0.25">
      <c r="A9" s="7" t="s">
        <v>63</v>
      </c>
      <c r="B9" s="8"/>
      <c r="D9" s="9"/>
      <c r="E9" s="135" t="s">
        <v>4</v>
      </c>
      <c r="F9" s="136"/>
      <c r="G9" s="137" t="s">
        <v>136</v>
      </c>
      <c r="H9" s="138"/>
    </row>
    <row r="10" spans="1:8" s="7" customFormat="1" ht="15" x14ac:dyDescent="0.25">
      <c r="B10" s="8"/>
      <c r="D10" s="9"/>
      <c r="E10" s="13" t="s">
        <v>5</v>
      </c>
      <c r="F10" s="14"/>
      <c r="G10" s="139">
        <f>+G7</f>
        <v>45980</v>
      </c>
      <c r="H10" s="140"/>
    </row>
    <row r="11" spans="1:8" s="7" customFormat="1" ht="15" x14ac:dyDescent="0.25">
      <c r="A11" s="15" t="s">
        <v>62</v>
      </c>
      <c r="B11" s="8"/>
      <c r="D11" s="9"/>
      <c r="E11" s="10" t="s">
        <v>6</v>
      </c>
      <c r="F11" s="125" t="s">
        <v>7</v>
      </c>
      <c r="G11" s="125"/>
      <c r="H11" s="126"/>
    </row>
    <row r="12" spans="1:8" s="7" customFormat="1" ht="15" x14ac:dyDescent="0.25">
      <c r="A12" s="15"/>
      <c r="B12" s="8"/>
      <c r="D12" s="9"/>
      <c r="E12" s="13" t="s">
        <v>8</v>
      </c>
      <c r="F12" s="127" t="s">
        <v>9</v>
      </c>
      <c r="G12" s="127"/>
      <c r="H12" s="128"/>
    </row>
    <row r="13" spans="1:8" s="7" customFormat="1" ht="15" x14ac:dyDescent="0.25">
      <c r="D13" s="9"/>
      <c r="E13" s="17"/>
      <c r="F13" s="18"/>
    </row>
    <row r="14" spans="1:8" s="15" customFormat="1" ht="14.25" x14ac:dyDescent="0.2"/>
    <row r="15" spans="1:8" s="15" customFormat="1" ht="14.25" x14ac:dyDescent="0.2"/>
    <row r="16" spans="1:8" s="15" customFormat="1" ht="14.25" x14ac:dyDescent="0.2"/>
    <row r="17" spans="1:8" s="15" customFormat="1" ht="14.25" x14ac:dyDescent="0.2">
      <c r="A17" s="129" t="s">
        <v>10</v>
      </c>
      <c r="B17" s="129"/>
      <c r="C17" s="129"/>
      <c r="D17" s="129"/>
      <c r="E17" s="129"/>
      <c r="F17" s="129"/>
      <c r="G17" s="129"/>
      <c r="H17" s="129"/>
    </row>
    <row r="18" spans="1:8" s="15" customFormat="1" ht="14.25" x14ac:dyDescent="0.2">
      <c r="A18" s="19"/>
      <c r="B18" s="19"/>
      <c r="C18" s="19"/>
      <c r="D18" s="19"/>
      <c r="E18" s="19"/>
      <c r="F18" s="19"/>
      <c r="G18" s="19"/>
      <c r="H18" s="19"/>
    </row>
    <row r="19" spans="1:8" s="7" customFormat="1" ht="15" x14ac:dyDescent="0.25">
      <c r="D19" s="9"/>
      <c r="E19" s="17"/>
      <c r="F19" s="18"/>
    </row>
    <row r="20" spans="1:8" s="7" customFormat="1" ht="15" x14ac:dyDescent="0.25">
      <c r="A20" s="7" t="s">
        <v>11</v>
      </c>
      <c r="B20" s="8"/>
      <c r="D20" s="9"/>
      <c r="E20" s="17"/>
      <c r="F20" s="18"/>
    </row>
    <row r="21" spans="1:8" s="7" customFormat="1" ht="15" x14ac:dyDescent="0.25">
      <c r="A21" s="7" t="s">
        <v>12</v>
      </c>
      <c r="D21" s="9"/>
      <c r="E21" s="9"/>
      <c r="F21" s="17"/>
      <c r="G21" s="9"/>
    </row>
    <row r="22" spans="1:8" s="7" customFormat="1" ht="15" x14ac:dyDescent="0.25">
      <c r="A22" s="20" t="s">
        <v>13</v>
      </c>
      <c r="B22" s="21"/>
      <c r="C22" s="20"/>
      <c r="D22" s="9"/>
      <c r="E22" s="9" t="s">
        <v>14</v>
      </c>
      <c r="F22" s="17" t="s">
        <v>15</v>
      </c>
      <c r="G22" s="9" t="s">
        <v>16</v>
      </c>
      <c r="H22" s="17" t="s">
        <v>17</v>
      </c>
    </row>
    <row r="23" spans="1:8" s="7" customFormat="1" ht="15" x14ac:dyDescent="0.25">
      <c r="A23" s="22" t="s">
        <v>18</v>
      </c>
      <c r="B23" s="23"/>
      <c r="C23" s="22"/>
      <c r="D23" s="24"/>
      <c r="E23" s="16" t="s">
        <v>19</v>
      </c>
      <c r="F23" s="16"/>
      <c r="G23" s="25" t="s">
        <v>20</v>
      </c>
      <c r="H23" s="22"/>
    </row>
    <row r="24" spans="1:8" s="7" customFormat="1" ht="15" x14ac:dyDescent="0.25">
      <c r="A24" s="7">
        <v>24</v>
      </c>
      <c r="B24" s="7" t="s">
        <v>30</v>
      </c>
      <c r="E24" s="40">
        <v>32813</v>
      </c>
      <c r="F24" s="26" t="s">
        <v>21</v>
      </c>
      <c r="G24" s="27">
        <v>0.1</v>
      </c>
      <c r="H24" s="41">
        <f>+G24*1036</f>
        <v>103.60000000000001</v>
      </c>
    </row>
    <row r="25" spans="1:8" s="7" customFormat="1" ht="15" x14ac:dyDescent="0.25">
      <c r="B25" s="7" t="s">
        <v>31</v>
      </c>
      <c r="C25" s="12">
        <v>2024</v>
      </c>
      <c r="D25" s="40"/>
      <c r="E25" s="17"/>
      <c r="F25" s="9"/>
      <c r="G25" s="42"/>
    </row>
    <row r="26" spans="1:8" s="7" customFormat="1" ht="6" customHeight="1" x14ac:dyDescent="0.25">
      <c r="D26" s="9"/>
      <c r="E26" s="9"/>
      <c r="F26" s="17"/>
      <c r="G26" s="27"/>
    </row>
    <row r="27" spans="1:8" s="7" customFormat="1" ht="15" x14ac:dyDescent="0.25">
      <c r="A27" s="7">
        <v>27</v>
      </c>
      <c r="B27" s="7" t="s">
        <v>68</v>
      </c>
      <c r="C27" s="12"/>
      <c r="E27" s="40">
        <v>11556</v>
      </c>
      <c r="F27" s="26" t="s">
        <v>21</v>
      </c>
      <c r="G27" s="43">
        <v>0.1</v>
      </c>
      <c r="H27" s="41">
        <f>+G27*655</f>
        <v>65.5</v>
      </c>
    </row>
    <row r="28" spans="1:8" s="7" customFormat="1" ht="15" x14ac:dyDescent="0.25">
      <c r="B28" s="7" t="s">
        <v>70</v>
      </c>
      <c r="C28" s="12">
        <f>+C25</f>
        <v>2024</v>
      </c>
      <c r="E28" s="40"/>
      <c r="F28" s="26"/>
      <c r="G28" s="27"/>
      <c r="H28" s="41"/>
    </row>
    <row r="29" spans="1:8" s="7" customFormat="1" ht="6" customHeight="1" x14ac:dyDescent="0.25">
      <c r="C29" s="12"/>
      <c r="E29" s="40"/>
      <c r="F29" s="26"/>
      <c r="G29" s="17"/>
      <c r="H29" s="41"/>
    </row>
    <row r="30" spans="1:8" s="7" customFormat="1" ht="15" x14ac:dyDescent="0.25">
      <c r="A30" s="7">
        <v>27</v>
      </c>
      <c r="B30" s="7" t="s">
        <v>68</v>
      </c>
      <c r="C30" s="12"/>
      <c r="E30" s="40">
        <v>8000</v>
      </c>
      <c r="F30" s="26" t="s">
        <v>21</v>
      </c>
      <c r="G30" s="43">
        <v>0.1</v>
      </c>
      <c r="H30" s="41">
        <f>+G30*514</f>
        <v>51.400000000000006</v>
      </c>
    </row>
    <row r="31" spans="1:8" s="7" customFormat="1" ht="15" x14ac:dyDescent="0.25">
      <c r="B31" s="7" t="s">
        <v>69</v>
      </c>
      <c r="C31" s="12">
        <f>+C28</f>
        <v>2024</v>
      </c>
      <c r="E31" s="40"/>
      <c r="F31" s="26"/>
      <c r="G31" s="27"/>
      <c r="H31" s="41"/>
    </row>
    <row r="32" spans="1:8" s="7" customFormat="1" ht="7.5" customHeight="1" x14ac:dyDescent="0.25">
      <c r="C32" s="12"/>
      <c r="E32" s="40"/>
      <c r="F32" s="26"/>
      <c r="G32" s="17"/>
      <c r="H32" s="41"/>
    </row>
    <row r="33" spans="1:10" s="7" customFormat="1" ht="15" x14ac:dyDescent="0.25">
      <c r="A33" s="7">
        <v>16</v>
      </c>
      <c r="B33" s="7" t="s">
        <v>23</v>
      </c>
      <c r="E33" s="26">
        <f>SUM(H24:H30)*0.2</f>
        <v>44.100000000000009</v>
      </c>
      <c r="F33" s="17"/>
      <c r="G33" s="30"/>
      <c r="H33" s="28">
        <v>20</v>
      </c>
    </row>
    <row r="34" spans="1:10" s="7" customFormat="1" ht="15" x14ac:dyDescent="0.25">
      <c r="B34" s="7" t="s">
        <v>71</v>
      </c>
      <c r="C34" s="12"/>
      <c r="E34" s="40"/>
      <c r="F34" s="26"/>
      <c r="G34" s="27"/>
      <c r="H34" s="41"/>
    </row>
    <row r="35" spans="1:10" s="7" customFormat="1" ht="6" customHeight="1" x14ac:dyDescent="0.25">
      <c r="C35" s="12"/>
      <c r="E35" s="40"/>
      <c r="F35" s="26"/>
      <c r="G35" s="17"/>
      <c r="H35" s="41"/>
    </row>
    <row r="37" spans="1:10" x14ac:dyDescent="0.25">
      <c r="A37" s="117"/>
      <c r="B37" s="117"/>
      <c r="C37" s="117"/>
      <c r="D37" s="118"/>
      <c r="E37" s="119"/>
      <c r="F37" s="120"/>
      <c r="G37" s="117"/>
      <c r="H37" s="117"/>
    </row>
    <row r="38" spans="1:10" s="7" customFormat="1" ht="15" x14ac:dyDescent="0.25">
      <c r="A38" s="8"/>
      <c r="B38" s="8"/>
      <c r="E38" s="7" t="s">
        <v>25</v>
      </c>
      <c r="F38" s="8"/>
      <c r="G38" s="30"/>
      <c r="H38" s="28">
        <f>SUM(H24:H35)</f>
        <v>240.50000000000003</v>
      </c>
      <c r="J38" s="28">
        <f>+H38+'EÜR 2023'!H37</f>
        <v>1893.5</v>
      </c>
    </row>
    <row r="39" spans="1:10" s="7" customFormat="1" ht="15" x14ac:dyDescent="0.25">
      <c r="E39" s="33" t="s">
        <v>26</v>
      </c>
      <c r="F39" s="8"/>
      <c r="G39" s="30"/>
      <c r="H39" s="28">
        <f>+H38*0.19</f>
        <v>45.695000000000007</v>
      </c>
    </row>
    <row r="40" spans="1:10" s="7" customFormat="1" thickBot="1" x14ac:dyDescent="0.3">
      <c r="E40" s="34" t="s">
        <v>27</v>
      </c>
      <c r="F40" s="35"/>
      <c r="G40" s="36"/>
      <c r="H40" s="37">
        <f>SUM(H38:H39)</f>
        <v>286.19500000000005</v>
      </c>
    </row>
    <row r="41" spans="1:10" s="7" customFormat="1" ht="7.5" customHeight="1" thickTop="1" x14ac:dyDescent="0.25">
      <c r="E41" s="38"/>
      <c r="F41" s="17"/>
      <c r="G41" s="30"/>
      <c r="H41" s="28"/>
    </row>
    <row r="42" spans="1:10" s="7" customFormat="1" ht="15" x14ac:dyDescent="0.25">
      <c r="A42" s="7" t="s">
        <v>28</v>
      </c>
      <c r="B42" s="8"/>
      <c r="D42" s="9"/>
      <c r="E42" s="17"/>
      <c r="F42" s="18"/>
      <c r="G42" s="39"/>
    </row>
    <row r="43" spans="1:10" s="7" customFormat="1" ht="15" x14ac:dyDescent="0.25">
      <c r="D43" s="9"/>
      <c r="E43" s="17"/>
      <c r="F43" s="18"/>
      <c r="G43" s="30"/>
    </row>
    <row r="44" spans="1:10" s="7" customFormat="1" ht="15" x14ac:dyDescent="0.25">
      <c r="D44" s="9"/>
      <c r="E44" s="17"/>
      <c r="F44" s="18"/>
      <c r="G44" s="30"/>
    </row>
    <row r="45" spans="1:10" s="7" customFormat="1" ht="15" x14ac:dyDescent="0.25">
      <c r="D45" s="9"/>
      <c r="E45" s="17"/>
      <c r="F45" s="18"/>
      <c r="G45" s="30"/>
    </row>
    <row r="46" spans="1:10" x14ac:dyDescent="0.25">
      <c r="A46" s="7"/>
      <c r="B46" s="23"/>
      <c r="C46" s="7"/>
      <c r="D46" s="9"/>
      <c r="E46" s="17"/>
      <c r="F46" s="18"/>
      <c r="G46" s="30"/>
      <c r="H46" s="7"/>
    </row>
    <row r="47" spans="1:10" s="7" customFormat="1" x14ac:dyDescent="0.25">
      <c r="A47" s="1"/>
      <c r="B47" s="1"/>
      <c r="C47" s="1"/>
      <c r="D47" s="2"/>
      <c r="E47" s="3"/>
      <c r="F47" s="6"/>
      <c r="G47" s="1"/>
      <c r="H47" s="1"/>
    </row>
    <row r="48" spans="1:10" s="7" customFormat="1" ht="15" x14ac:dyDescent="0.25">
      <c r="D48" s="9"/>
      <c r="E48" s="17"/>
      <c r="F48" s="18"/>
      <c r="G48" s="30"/>
    </row>
    <row r="51" spans="1:8" x14ac:dyDescent="0.25">
      <c r="A51" s="142" t="s">
        <v>120</v>
      </c>
      <c r="B51" s="142"/>
      <c r="C51" s="142"/>
      <c r="D51" s="142"/>
      <c r="E51" s="142"/>
      <c r="F51" s="142"/>
      <c r="G51" s="142"/>
      <c r="H51" s="142"/>
    </row>
  </sheetData>
  <mergeCells count="10">
    <mergeCell ref="F11:H11"/>
    <mergeCell ref="F12:H12"/>
    <mergeCell ref="A17:H17"/>
    <mergeCell ref="A51:H51"/>
    <mergeCell ref="E7:F7"/>
    <mergeCell ref="G7:H7"/>
    <mergeCell ref="E8:F8"/>
    <mergeCell ref="E9:F9"/>
    <mergeCell ref="G9:H9"/>
    <mergeCell ref="G10:H10"/>
  </mergeCells>
  <printOptions horizontalCentered="1"/>
  <pageMargins left="0.78740157480314965" right="0.59055118110236227" top="0.98425196850393704" bottom="0.98425196850393704" header="0.51181102362204722" footer="0.51181102362204722"/>
  <pageSetup paperSize="9" orientation="portrait" horizontalDpi="300" verticalDpi="300" r:id="rId1"/>
  <headerFooter alignWithMargins="0">
    <oddHeader>&amp;C&amp;"Times New Roman,Standard"&amp;16Hartmut Ahting
Steuerberater
Diplom-Wirtschaftsingenieur</oddHeader>
    <oddFooter>&amp;L&amp;"Times New Roman,Standard"Heerstrasse 50
60488 Frankfurt
&amp;C&amp;"Times New Roman,Standard"Deutsche Bank
BLZ 500 700 24
Konto 409 28 62&amp;R&amp;"Times New Roman,Standard"Tel:      069 / 788 031-71
Fax:     069 / 788 031-72
Mobil:  0174 / 326 99 58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E9466-2D95-4E15-B474-1F053D167F18}">
  <dimension ref="A5:T49"/>
  <sheetViews>
    <sheetView workbookViewId="0">
      <selection activeCell="E10" sqref="E10"/>
    </sheetView>
  </sheetViews>
  <sheetFormatPr baseColWidth="10" defaultColWidth="10.125" defaultRowHeight="15" x14ac:dyDescent="0.25"/>
  <cols>
    <col min="1" max="1" width="3.125" style="7" customWidth="1"/>
    <col min="2" max="2" width="30.5" style="7" customWidth="1"/>
    <col min="3" max="3" width="8.75" style="7" customWidth="1"/>
    <col min="4" max="4" width="1.5" style="9" customWidth="1"/>
    <col min="5" max="5" width="10" style="17" customWidth="1"/>
    <col min="6" max="6" width="6.125" style="18" customWidth="1"/>
    <col min="7" max="7" width="7.25" style="7" customWidth="1"/>
    <col min="8" max="8" width="8.5" style="7" customWidth="1"/>
    <col min="9" max="9" width="1.125" style="7" customWidth="1"/>
    <col min="10" max="256" width="10.125" style="7"/>
    <col min="257" max="257" width="3.125" style="7" customWidth="1"/>
    <col min="258" max="258" width="30.5" style="7" customWidth="1"/>
    <col min="259" max="259" width="8.75" style="7" customWidth="1"/>
    <col min="260" max="260" width="1.5" style="7" customWidth="1"/>
    <col min="261" max="261" width="10" style="7" customWidth="1"/>
    <col min="262" max="262" width="6.125" style="7" customWidth="1"/>
    <col min="263" max="263" width="7.25" style="7" customWidth="1"/>
    <col min="264" max="264" width="8.5" style="7" customWidth="1"/>
    <col min="265" max="265" width="1.125" style="7" customWidth="1"/>
    <col min="266" max="512" width="10.125" style="7"/>
    <col min="513" max="513" width="3.125" style="7" customWidth="1"/>
    <col min="514" max="514" width="30.5" style="7" customWidth="1"/>
    <col min="515" max="515" width="8.75" style="7" customWidth="1"/>
    <col min="516" max="516" width="1.5" style="7" customWidth="1"/>
    <col min="517" max="517" width="10" style="7" customWidth="1"/>
    <col min="518" max="518" width="6.125" style="7" customWidth="1"/>
    <col min="519" max="519" width="7.25" style="7" customWidth="1"/>
    <col min="520" max="520" width="8.5" style="7" customWidth="1"/>
    <col min="521" max="521" width="1.125" style="7" customWidth="1"/>
    <col min="522" max="768" width="10.125" style="7"/>
    <col min="769" max="769" width="3.125" style="7" customWidth="1"/>
    <col min="770" max="770" width="30.5" style="7" customWidth="1"/>
    <col min="771" max="771" width="8.75" style="7" customWidth="1"/>
    <col min="772" max="772" width="1.5" style="7" customWidth="1"/>
    <col min="773" max="773" width="10" style="7" customWidth="1"/>
    <col min="774" max="774" width="6.125" style="7" customWidth="1"/>
    <col min="775" max="775" width="7.25" style="7" customWidth="1"/>
    <col min="776" max="776" width="8.5" style="7" customWidth="1"/>
    <col min="777" max="777" width="1.125" style="7" customWidth="1"/>
    <col min="778" max="1024" width="10.125" style="7"/>
    <col min="1025" max="1025" width="3.125" style="7" customWidth="1"/>
    <col min="1026" max="1026" width="30.5" style="7" customWidth="1"/>
    <col min="1027" max="1027" width="8.75" style="7" customWidth="1"/>
    <col min="1028" max="1028" width="1.5" style="7" customWidth="1"/>
    <col min="1029" max="1029" width="10" style="7" customWidth="1"/>
    <col min="1030" max="1030" width="6.125" style="7" customWidth="1"/>
    <col min="1031" max="1031" width="7.25" style="7" customWidth="1"/>
    <col min="1032" max="1032" width="8.5" style="7" customWidth="1"/>
    <col min="1033" max="1033" width="1.125" style="7" customWidth="1"/>
    <col min="1034" max="1280" width="10.125" style="7"/>
    <col min="1281" max="1281" width="3.125" style="7" customWidth="1"/>
    <col min="1282" max="1282" width="30.5" style="7" customWidth="1"/>
    <col min="1283" max="1283" width="8.75" style="7" customWidth="1"/>
    <col min="1284" max="1284" width="1.5" style="7" customWidth="1"/>
    <col min="1285" max="1285" width="10" style="7" customWidth="1"/>
    <col min="1286" max="1286" width="6.125" style="7" customWidth="1"/>
    <col min="1287" max="1287" width="7.25" style="7" customWidth="1"/>
    <col min="1288" max="1288" width="8.5" style="7" customWidth="1"/>
    <col min="1289" max="1289" width="1.125" style="7" customWidth="1"/>
    <col min="1290" max="1536" width="10.125" style="7"/>
    <col min="1537" max="1537" width="3.125" style="7" customWidth="1"/>
    <col min="1538" max="1538" width="30.5" style="7" customWidth="1"/>
    <col min="1539" max="1539" width="8.75" style="7" customWidth="1"/>
    <col min="1540" max="1540" width="1.5" style="7" customWidth="1"/>
    <col min="1541" max="1541" width="10" style="7" customWidth="1"/>
    <col min="1542" max="1542" width="6.125" style="7" customWidth="1"/>
    <col min="1543" max="1543" width="7.25" style="7" customWidth="1"/>
    <col min="1544" max="1544" width="8.5" style="7" customWidth="1"/>
    <col min="1545" max="1545" width="1.125" style="7" customWidth="1"/>
    <col min="1546" max="1792" width="10.125" style="7"/>
    <col min="1793" max="1793" width="3.125" style="7" customWidth="1"/>
    <col min="1794" max="1794" width="30.5" style="7" customWidth="1"/>
    <col min="1795" max="1795" width="8.75" style="7" customWidth="1"/>
    <col min="1796" max="1796" width="1.5" style="7" customWidth="1"/>
    <col min="1797" max="1797" width="10" style="7" customWidth="1"/>
    <col min="1798" max="1798" width="6.125" style="7" customWidth="1"/>
    <col min="1799" max="1799" width="7.25" style="7" customWidth="1"/>
    <col min="1800" max="1800" width="8.5" style="7" customWidth="1"/>
    <col min="1801" max="1801" width="1.125" style="7" customWidth="1"/>
    <col min="1802" max="2048" width="10.125" style="7"/>
    <col min="2049" max="2049" width="3.125" style="7" customWidth="1"/>
    <col min="2050" max="2050" width="30.5" style="7" customWidth="1"/>
    <col min="2051" max="2051" width="8.75" style="7" customWidth="1"/>
    <col min="2052" max="2052" width="1.5" style="7" customWidth="1"/>
    <col min="2053" max="2053" width="10" style="7" customWidth="1"/>
    <col min="2054" max="2054" width="6.125" style="7" customWidth="1"/>
    <col min="2055" max="2055" width="7.25" style="7" customWidth="1"/>
    <col min="2056" max="2056" width="8.5" style="7" customWidth="1"/>
    <col min="2057" max="2057" width="1.125" style="7" customWidth="1"/>
    <col min="2058" max="2304" width="10.125" style="7"/>
    <col min="2305" max="2305" width="3.125" style="7" customWidth="1"/>
    <col min="2306" max="2306" width="30.5" style="7" customWidth="1"/>
    <col min="2307" max="2307" width="8.75" style="7" customWidth="1"/>
    <col min="2308" max="2308" width="1.5" style="7" customWidth="1"/>
    <col min="2309" max="2309" width="10" style="7" customWidth="1"/>
    <col min="2310" max="2310" width="6.125" style="7" customWidth="1"/>
    <col min="2311" max="2311" width="7.25" style="7" customWidth="1"/>
    <col min="2312" max="2312" width="8.5" style="7" customWidth="1"/>
    <col min="2313" max="2313" width="1.125" style="7" customWidth="1"/>
    <col min="2314" max="2560" width="10.125" style="7"/>
    <col min="2561" max="2561" width="3.125" style="7" customWidth="1"/>
    <col min="2562" max="2562" width="30.5" style="7" customWidth="1"/>
    <col min="2563" max="2563" width="8.75" style="7" customWidth="1"/>
    <col min="2564" max="2564" width="1.5" style="7" customWidth="1"/>
    <col min="2565" max="2565" width="10" style="7" customWidth="1"/>
    <col min="2566" max="2566" width="6.125" style="7" customWidth="1"/>
    <col min="2567" max="2567" width="7.25" style="7" customWidth="1"/>
    <col min="2568" max="2568" width="8.5" style="7" customWidth="1"/>
    <col min="2569" max="2569" width="1.125" style="7" customWidth="1"/>
    <col min="2570" max="2816" width="10.125" style="7"/>
    <col min="2817" max="2817" width="3.125" style="7" customWidth="1"/>
    <col min="2818" max="2818" width="30.5" style="7" customWidth="1"/>
    <col min="2819" max="2819" width="8.75" style="7" customWidth="1"/>
    <col min="2820" max="2820" width="1.5" style="7" customWidth="1"/>
    <col min="2821" max="2821" width="10" style="7" customWidth="1"/>
    <col min="2822" max="2822" width="6.125" style="7" customWidth="1"/>
    <col min="2823" max="2823" width="7.25" style="7" customWidth="1"/>
    <col min="2824" max="2824" width="8.5" style="7" customWidth="1"/>
    <col min="2825" max="2825" width="1.125" style="7" customWidth="1"/>
    <col min="2826" max="3072" width="10.125" style="7"/>
    <col min="3073" max="3073" width="3.125" style="7" customWidth="1"/>
    <col min="3074" max="3074" width="30.5" style="7" customWidth="1"/>
    <col min="3075" max="3075" width="8.75" style="7" customWidth="1"/>
    <col min="3076" max="3076" width="1.5" style="7" customWidth="1"/>
    <col min="3077" max="3077" width="10" style="7" customWidth="1"/>
    <col min="3078" max="3078" width="6.125" style="7" customWidth="1"/>
    <col min="3079" max="3079" width="7.25" style="7" customWidth="1"/>
    <col min="3080" max="3080" width="8.5" style="7" customWidth="1"/>
    <col min="3081" max="3081" width="1.125" style="7" customWidth="1"/>
    <col min="3082" max="3328" width="10.125" style="7"/>
    <col min="3329" max="3329" width="3.125" style="7" customWidth="1"/>
    <col min="3330" max="3330" width="30.5" style="7" customWidth="1"/>
    <col min="3331" max="3331" width="8.75" style="7" customWidth="1"/>
    <col min="3332" max="3332" width="1.5" style="7" customWidth="1"/>
    <col min="3333" max="3333" width="10" style="7" customWidth="1"/>
    <col min="3334" max="3334" width="6.125" style="7" customWidth="1"/>
    <col min="3335" max="3335" width="7.25" style="7" customWidth="1"/>
    <col min="3336" max="3336" width="8.5" style="7" customWidth="1"/>
    <col min="3337" max="3337" width="1.125" style="7" customWidth="1"/>
    <col min="3338" max="3584" width="10.125" style="7"/>
    <col min="3585" max="3585" width="3.125" style="7" customWidth="1"/>
    <col min="3586" max="3586" width="30.5" style="7" customWidth="1"/>
    <col min="3587" max="3587" width="8.75" style="7" customWidth="1"/>
    <col min="3588" max="3588" width="1.5" style="7" customWidth="1"/>
    <col min="3589" max="3589" width="10" style="7" customWidth="1"/>
    <col min="3590" max="3590" width="6.125" style="7" customWidth="1"/>
    <col min="3591" max="3591" width="7.25" style="7" customWidth="1"/>
    <col min="3592" max="3592" width="8.5" style="7" customWidth="1"/>
    <col min="3593" max="3593" width="1.125" style="7" customWidth="1"/>
    <col min="3594" max="3840" width="10.125" style="7"/>
    <col min="3841" max="3841" width="3.125" style="7" customWidth="1"/>
    <col min="3842" max="3842" width="30.5" style="7" customWidth="1"/>
    <col min="3843" max="3843" width="8.75" style="7" customWidth="1"/>
    <col min="3844" max="3844" width="1.5" style="7" customWidth="1"/>
    <col min="3845" max="3845" width="10" style="7" customWidth="1"/>
    <col min="3846" max="3846" width="6.125" style="7" customWidth="1"/>
    <col min="3847" max="3847" width="7.25" style="7" customWidth="1"/>
    <col min="3848" max="3848" width="8.5" style="7" customWidth="1"/>
    <col min="3849" max="3849" width="1.125" style="7" customWidth="1"/>
    <col min="3850" max="4096" width="10.125" style="7"/>
    <col min="4097" max="4097" width="3.125" style="7" customWidth="1"/>
    <col min="4098" max="4098" width="30.5" style="7" customWidth="1"/>
    <col min="4099" max="4099" width="8.75" style="7" customWidth="1"/>
    <col min="4100" max="4100" width="1.5" style="7" customWidth="1"/>
    <col min="4101" max="4101" width="10" style="7" customWidth="1"/>
    <col min="4102" max="4102" width="6.125" style="7" customWidth="1"/>
    <col min="4103" max="4103" width="7.25" style="7" customWidth="1"/>
    <col min="4104" max="4104" width="8.5" style="7" customWidth="1"/>
    <col min="4105" max="4105" width="1.125" style="7" customWidth="1"/>
    <col min="4106" max="4352" width="10.125" style="7"/>
    <col min="4353" max="4353" width="3.125" style="7" customWidth="1"/>
    <col min="4354" max="4354" width="30.5" style="7" customWidth="1"/>
    <col min="4355" max="4355" width="8.75" style="7" customWidth="1"/>
    <col min="4356" max="4356" width="1.5" style="7" customWidth="1"/>
    <col min="4357" max="4357" width="10" style="7" customWidth="1"/>
    <col min="4358" max="4358" width="6.125" style="7" customWidth="1"/>
    <col min="4359" max="4359" width="7.25" style="7" customWidth="1"/>
    <col min="4360" max="4360" width="8.5" style="7" customWidth="1"/>
    <col min="4361" max="4361" width="1.125" style="7" customWidth="1"/>
    <col min="4362" max="4608" width="10.125" style="7"/>
    <col min="4609" max="4609" width="3.125" style="7" customWidth="1"/>
    <col min="4610" max="4610" width="30.5" style="7" customWidth="1"/>
    <col min="4611" max="4611" width="8.75" style="7" customWidth="1"/>
    <col min="4612" max="4612" width="1.5" style="7" customWidth="1"/>
    <col min="4613" max="4613" width="10" style="7" customWidth="1"/>
    <col min="4614" max="4614" width="6.125" style="7" customWidth="1"/>
    <col min="4615" max="4615" width="7.25" style="7" customWidth="1"/>
    <col min="4616" max="4616" width="8.5" style="7" customWidth="1"/>
    <col min="4617" max="4617" width="1.125" style="7" customWidth="1"/>
    <col min="4618" max="4864" width="10.125" style="7"/>
    <col min="4865" max="4865" width="3.125" style="7" customWidth="1"/>
    <col min="4866" max="4866" width="30.5" style="7" customWidth="1"/>
    <col min="4867" max="4867" width="8.75" style="7" customWidth="1"/>
    <col min="4868" max="4868" width="1.5" style="7" customWidth="1"/>
    <col min="4869" max="4869" width="10" style="7" customWidth="1"/>
    <col min="4870" max="4870" width="6.125" style="7" customWidth="1"/>
    <col min="4871" max="4871" width="7.25" style="7" customWidth="1"/>
    <col min="4872" max="4872" width="8.5" style="7" customWidth="1"/>
    <col min="4873" max="4873" width="1.125" style="7" customWidth="1"/>
    <col min="4874" max="5120" width="10.125" style="7"/>
    <col min="5121" max="5121" width="3.125" style="7" customWidth="1"/>
    <col min="5122" max="5122" width="30.5" style="7" customWidth="1"/>
    <col min="5123" max="5123" width="8.75" style="7" customWidth="1"/>
    <col min="5124" max="5124" width="1.5" style="7" customWidth="1"/>
    <col min="5125" max="5125" width="10" style="7" customWidth="1"/>
    <col min="5126" max="5126" width="6.125" style="7" customWidth="1"/>
    <col min="5127" max="5127" width="7.25" style="7" customWidth="1"/>
    <col min="5128" max="5128" width="8.5" style="7" customWidth="1"/>
    <col min="5129" max="5129" width="1.125" style="7" customWidth="1"/>
    <col min="5130" max="5376" width="10.125" style="7"/>
    <col min="5377" max="5377" width="3.125" style="7" customWidth="1"/>
    <col min="5378" max="5378" width="30.5" style="7" customWidth="1"/>
    <col min="5379" max="5379" width="8.75" style="7" customWidth="1"/>
    <col min="5380" max="5380" width="1.5" style="7" customWidth="1"/>
    <col min="5381" max="5381" width="10" style="7" customWidth="1"/>
    <col min="5382" max="5382" width="6.125" style="7" customWidth="1"/>
    <col min="5383" max="5383" width="7.25" style="7" customWidth="1"/>
    <col min="5384" max="5384" width="8.5" style="7" customWidth="1"/>
    <col min="5385" max="5385" width="1.125" style="7" customWidth="1"/>
    <col min="5386" max="5632" width="10.125" style="7"/>
    <col min="5633" max="5633" width="3.125" style="7" customWidth="1"/>
    <col min="5634" max="5634" width="30.5" style="7" customWidth="1"/>
    <col min="5635" max="5635" width="8.75" style="7" customWidth="1"/>
    <col min="5636" max="5636" width="1.5" style="7" customWidth="1"/>
    <col min="5637" max="5637" width="10" style="7" customWidth="1"/>
    <col min="5638" max="5638" width="6.125" style="7" customWidth="1"/>
    <col min="5639" max="5639" width="7.25" style="7" customWidth="1"/>
    <col min="5640" max="5640" width="8.5" style="7" customWidth="1"/>
    <col min="5641" max="5641" width="1.125" style="7" customWidth="1"/>
    <col min="5642" max="5888" width="10.125" style="7"/>
    <col min="5889" max="5889" width="3.125" style="7" customWidth="1"/>
    <col min="5890" max="5890" width="30.5" style="7" customWidth="1"/>
    <col min="5891" max="5891" width="8.75" style="7" customWidth="1"/>
    <col min="5892" max="5892" width="1.5" style="7" customWidth="1"/>
    <col min="5893" max="5893" width="10" style="7" customWidth="1"/>
    <col min="5894" max="5894" width="6.125" style="7" customWidth="1"/>
    <col min="5895" max="5895" width="7.25" style="7" customWidth="1"/>
    <col min="5896" max="5896" width="8.5" style="7" customWidth="1"/>
    <col min="5897" max="5897" width="1.125" style="7" customWidth="1"/>
    <col min="5898" max="6144" width="10.125" style="7"/>
    <col min="6145" max="6145" width="3.125" style="7" customWidth="1"/>
    <col min="6146" max="6146" width="30.5" style="7" customWidth="1"/>
    <col min="6147" max="6147" width="8.75" style="7" customWidth="1"/>
    <col min="6148" max="6148" width="1.5" style="7" customWidth="1"/>
    <col min="6149" max="6149" width="10" style="7" customWidth="1"/>
    <col min="6150" max="6150" width="6.125" style="7" customWidth="1"/>
    <col min="6151" max="6151" width="7.25" style="7" customWidth="1"/>
    <col min="6152" max="6152" width="8.5" style="7" customWidth="1"/>
    <col min="6153" max="6153" width="1.125" style="7" customWidth="1"/>
    <col min="6154" max="6400" width="10.125" style="7"/>
    <col min="6401" max="6401" width="3.125" style="7" customWidth="1"/>
    <col min="6402" max="6402" width="30.5" style="7" customWidth="1"/>
    <col min="6403" max="6403" width="8.75" style="7" customWidth="1"/>
    <col min="6404" max="6404" width="1.5" style="7" customWidth="1"/>
    <col min="6405" max="6405" width="10" style="7" customWidth="1"/>
    <col min="6406" max="6406" width="6.125" style="7" customWidth="1"/>
    <col min="6407" max="6407" width="7.25" style="7" customWidth="1"/>
    <col min="6408" max="6408" width="8.5" style="7" customWidth="1"/>
    <col min="6409" max="6409" width="1.125" style="7" customWidth="1"/>
    <col min="6410" max="6656" width="10.125" style="7"/>
    <col min="6657" max="6657" width="3.125" style="7" customWidth="1"/>
    <col min="6658" max="6658" width="30.5" style="7" customWidth="1"/>
    <col min="6659" max="6659" width="8.75" style="7" customWidth="1"/>
    <col min="6660" max="6660" width="1.5" style="7" customWidth="1"/>
    <col min="6661" max="6661" width="10" style="7" customWidth="1"/>
    <col min="6662" max="6662" width="6.125" style="7" customWidth="1"/>
    <col min="6663" max="6663" width="7.25" style="7" customWidth="1"/>
    <col min="6664" max="6664" width="8.5" style="7" customWidth="1"/>
    <col min="6665" max="6665" width="1.125" style="7" customWidth="1"/>
    <col min="6666" max="6912" width="10.125" style="7"/>
    <col min="6913" max="6913" width="3.125" style="7" customWidth="1"/>
    <col min="6914" max="6914" width="30.5" style="7" customWidth="1"/>
    <col min="6915" max="6915" width="8.75" style="7" customWidth="1"/>
    <col min="6916" max="6916" width="1.5" style="7" customWidth="1"/>
    <col min="6917" max="6917" width="10" style="7" customWidth="1"/>
    <col min="6918" max="6918" width="6.125" style="7" customWidth="1"/>
    <col min="6919" max="6919" width="7.25" style="7" customWidth="1"/>
    <col min="6920" max="6920" width="8.5" style="7" customWidth="1"/>
    <col min="6921" max="6921" width="1.125" style="7" customWidth="1"/>
    <col min="6922" max="7168" width="10.125" style="7"/>
    <col min="7169" max="7169" width="3.125" style="7" customWidth="1"/>
    <col min="7170" max="7170" width="30.5" style="7" customWidth="1"/>
    <col min="7171" max="7171" width="8.75" style="7" customWidth="1"/>
    <col min="7172" max="7172" width="1.5" style="7" customWidth="1"/>
    <col min="7173" max="7173" width="10" style="7" customWidth="1"/>
    <col min="7174" max="7174" width="6.125" style="7" customWidth="1"/>
    <col min="7175" max="7175" width="7.25" style="7" customWidth="1"/>
    <col min="7176" max="7176" width="8.5" style="7" customWidth="1"/>
    <col min="7177" max="7177" width="1.125" style="7" customWidth="1"/>
    <col min="7178" max="7424" width="10.125" style="7"/>
    <col min="7425" max="7425" width="3.125" style="7" customWidth="1"/>
    <col min="7426" max="7426" width="30.5" style="7" customWidth="1"/>
    <col min="7427" max="7427" width="8.75" style="7" customWidth="1"/>
    <col min="7428" max="7428" width="1.5" style="7" customWidth="1"/>
    <col min="7429" max="7429" width="10" style="7" customWidth="1"/>
    <col min="7430" max="7430" width="6.125" style="7" customWidth="1"/>
    <col min="7431" max="7431" width="7.25" style="7" customWidth="1"/>
    <col min="7432" max="7432" width="8.5" style="7" customWidth="1"/>
    <col min="7433" max="7433" width="1.125" style="7" customWidth="1"/>
    <col min="7434" max="7680" width="10.125" style="7"/>
    <col min="7681" max="7681" width="3.125" style="7" customWidth="1"/>
    <col min="7682" max="7682" width="30.5" style="7" customWidth="1"/>
    <col min="7683" max="7683" width="8.75" style="7" customWidth="1"/>
    <col min="7684" max="7684" width="1.5" style="7" customWidth="1"/>
    <col min="7685" max="7685" width="10" style="7" customWidth="1"/>
    <col min="7686" max="7686" width="6.125" style="7" customWidth="1"/>
    <col min="7687" max="7687" width="7.25" style="7" customWidth="1"/>
    <col min="7688" max="7688" width="8.5" style="7" customWidth="1"/>
    <col min="7689" max="7689" width="1.125" style="7" customWidth="1"/>
    <col min="7690" max="7936" width="10.125" style="7"/>
    <col min="7937" max="7937" width="3.125" style="7" customWidth="1"/>
    <col min="7938" max="7938" width="30.5" style="7" customWidth="1"/>
    <col min="7939" max="7939" width="8.75" style="7" customWidth="1"/>
    <col min="7940" max="7940" width="1.5" style="7" customWidth="1"/>
    <col min="7941" max="7941" width="10" style="7" customWidth="1"/>
    <col min="7942" max="7942" width="6.125" style="7" customWidth="1"/>
    <col min="7943" max="7943" width="7.25" style="7" customWidth="1"/>
    <col min="7944" max="7944" width="8.5" style="7" customWidth="1"/>
    <col min="7945" max="7945" width="1.125" style="7" customWidth="1"/>
    <col min="7946" max="8192" width="10.125" style="7"/>
    <col min="8193" max="8193" width="3.125" style="7" customWidth="1"/>
    <col min="8194" max="8194" width="30.5" style="7" customWidth="1"/>
    <col min="8195" max="8195" width="8.75" style="7" customWidth="1"/>
    <col min="8196" max="8196" width="1.5" style="7" customWidth="1"/>
    <col min="8197" max="8197" width="10" style="7" customWidth="1"/>
    <col min="8198" max="8198" width="6.125" style="7" customWidth="1"/>
    <col min="8199" max="8199" width="7.25" style="7" customWidth="1"/>
    <col min="8200" max="8200" width="8.5" style="7" customWidth="1"/>
    <col min="8201" max="8201" width="1.125" style="7" customWidth="1"/>
    <col min="8202" max="8448" width="10.125" style="7"/>
    <col min="8449" max="8449" width="3.125" style="7" customWidth="1"/>
    <col min="8450" max="8450" width="30.5" style="7" customWidth="1"/>
    <col min="8451" max="8451" width="8.75" style="7" customWidth="1"/>
    <col min="8452" max="8452" width="1.5" style="7" customWidth="1"/>
    <col min="8453" max="8453" width="10" style="7" customWidth="1"/>
    <col min="8454" max="8454" width="6.125" style="7" customWidth="1"/>
    <col min="8455" max="8455" width="7.25" style="7" customWidth="1"/>
    <col min="8456" max="8456" width="8.5" style="7" customWidth="1"/>
    <col min="8457" max="8457" width="1.125" style="7" customWidth="1"/>
    <col min="8458" max="8704" width="10.125" style="7"/>
    <col min="8705" max="8705" width="3.125" style="7" customWidth="1"/>
    <col min="8706" max="8706" width="30.5" style="7" customWidth="1"/>
    <col min="8707" max="8707" width="8.75" style="7" customWidth="1"/>
    <col min="8708" max="8708" width="1.5" style="7" customWidth="1"/>
    <col min="8709" max="8709" width="10" style="7" customWidth="1"/>
    <col min="8710" max="8710" width="6.125" style="7" customWidth="1"/>
    <col min="8711" max="8711" width="7.25" style="7" customWidth="1"/>
    <col min="8712" max="8712" width="8.5" style="7" customWidth="1"/>
    <col min="8713" max="8713" width="1.125" style="7" customWidth="1"/>
    <col min="8714" max="8960" width="10.125" style="7"/>
    <col min="8961" max="8961" width="3.125" style="7" customWidth="1"/>
    <col min="8962" max="8962" width="30.5" style="7" customWidth="1"/>
    <col min="8963" max="8963" width="8.75" style="7" customWidth="1"/>
    <col min="8964" max="8964" width="1.5" style="7" customWidth="1"/>
    <col min="8965" max="8965" width="10" style="7" customWidth="1"/>
    <col min="8966" max="8966" width="6.125" style="7" customWidth="1"/>
    <col min="8967" max="8967" width="7.25" style="7" customWidth="1"/>
    <col min="8968" max="8968" width="8.5" style="7" customWidth="1"/>
    <col min="8969" max="8969" width="1.125" style="7" customWidth="1"/>
    <col min="8970" max="9216" width="10.125" style="7"/>
    <col min="9217" max="9217" width="3.125" style="7" customWidth="1"/>
    <col min="9218" max="9218" width="30.5" style="7" customWidth="1"/>
    <col min="9219" max="9219" width="8.75" style="7" customWidth="1"/>
    <col min="9220" max="9220" width="1.5" style="7" customWidth="1"/>
    <col min="9221" max="9221" width="10" style="7" customWidth="1"/>
    <col min="9222" max="9222" width="6.125" style="7" customWidth="1"/>
    <col min="9223" max="9223" width="7.25" style="7" customWidth="1"/>
    <col min="9224" max="9224" width="8.5" style="7" customWidth="1"/>
    <col min="9225" max="9225" width="1.125" style="7" customWidth="1"/>
    <col min="9226" max="9472" width="10.125" style="7"/>
    <col min="9473" max="9473" width="3.125" style="7" customWidth="1"/>
    <col min="9474" max="9474" width="30.5" style="7" customWidth="1"/>
    <col min="9475" max="9475" width="8.75" style="7" customWidth="1"/>
    <col min="9476" max="9476" width="1.5" style="7" customWidth="1"/>
    <col min="9477" max="9477" width="10" style="7" customWidth="1"/>
    <col min="9478" max="9478" width="6.125" style="7" customWidth="1"/>
    <col min="9479" max="9479" width="7.25" style="7" customWidth="1"/>
    <col min="9480" max="9480" width="8.5" style="7" customWidth="1"/>
    <col min="9481" max="9481" width="1.125" style="7" customWidth="1"/>
    <col min="9482" max="9728" width="10.125" style="7"/>
    <col min="9729" max="9729" width="3.125" style="7" customWidth="1"/>
    <col min="9730" max="9730" width="30.5" style="7" customWidth="1"/>
    <col min="9731" max="9731" width="8.75" style="7" customWidth="1"/>
    <col min="9732" max="9732" width="1.5" style="7" customWidth="1"/>
    <col min="9733" max="9733" width="10" style="7" customWidth="1"/>
    <col min="9734" max="9734" width="6.125" style="7" customWidth="1"/>
    <col min="9735" max="9735" width="7.25" style="7" customWidth="1"/>
    <col min="9736" max="9736" width="8.5" style="7" customWidth="1"/>
    <col min="9737" max="9737" width="1.125" style="7" customWidth="1"/>
    <col min="9738" max="9984" width="10.125" style="7"/>
    <col min="9985" max="9985" width="3.125" style="7" customWidth="1"/>
    <col min="9986" max="9986" width="30.5" style="7" customWidth="1"/>
    <col min="9987" max="9987" width="8.75" style="7" customWidth="1"/>
    <col min="9988" max="9988" width="1.5" style="7" customWidth="1"/>
    <col min="9989" max="9989" width="10" style="7" customWidth="1"/>
    <col min="9990" max="9990" width="6.125" style="7" customWidth="1"/>
    <col min="9991" max="9991" width="7.25" style="7" customWidth="1"/>
    <col min="9992" max="9992" width="8.5" style="7" customWidth="1"/>
    <col min="9993" max="9993" width="1.125" style="7" customWidth="1"/>
    <col min="9994" max="10240" width="10.125" style="7"/>
    <col min="10241" max="10241" width="3.125" style="7" customWidth="1"/>
    <col min="10242" max="10242" width="30.5" style="7" customWidth="1"/>
    <col min="10243" max="10243" width="8.75" style="7" customWidth="1"/>
    <col min="10244" max="10244" width="1.5" style="7" customWidth="1"/>
    <col min="10245" max="10245" width="10" style="7" customWidth="1"/>
    <col min="10246" max="10246" width="6.125" style="7" customWidth="1"/>
    <col min="10247" max="10247" width="7.25" style="7" customWidth="1"/>
    <col min="10248" max="10248" width="8.5" style="7" customWidth="1"/>
    <col min="10249" max="10249" width="1.125" style="7" customWidth="1"/>
    <col min="10250" max="10496" width="10.125" style="7"/>
    <col min="10497" max="10497" width="3.125" style="7" customWidth="1"/>
    <col min="10498" max="10498" width="30.5" style="7" customWidth="1"/>
    <col min="10499" max="10499" width="8.75" style="7" customWidth="1"/>
    <col min="10500" max="10500" width="1.5" style="7" customWidth="1"/>
    <col min="10501" max="10501" width="10" style="7" customWidth="1"/>
    <col min="10502" max="10502" width="6.125" style="7" customWidth="1"/>
    <col min="10503" max="10503" width="7.25" style="7" customWidth="1"/>
    <col min="10504" max="10504" width="8.5" style="7" customWidth="1"/>
    <col min="10505" max="10505" width="1.125" style="7" customWidth="1"/>
    <col min="10506" max="10752" width="10.125" style="7"/>
    <col min="10753" max="10753" width="3.125" style="7" customWidth="1"/>
    <col min="10754" max="10754" width="30.5" style="7" customWidth="1"/>
    <col min="10755" max="10755" width="8.75" style="7" customWidth="1"/>
    <col min="10756" max="10756" width="1.5" style="7" customWidth="1"/>
    <col min="10757" max="10757" width="10" style="7" customWidth="1"/>
    <col min="10758" max="10758" width="6.125" style="7" customWidth="1"/>
    <col min="10759" max="10759" width="7.25" style="7" customWidth="1"/>
    <col min="10760" max="10760" width="8.5" style="7" customWidth="1"/>
    <col min="10761" max="10761" width="1.125" style="7" customWidth="1"/>
    <col min="10762" max="11008" width="10.125" style="7"/>
    <col min="11009" max="11009" width="3.125" style="7" customWidth="1"/>
    <col min="11010" max="11010" width="30.5" style="7" customWidth="1"/>
    <col min="11011" max="11011" width="8.75" style="7" customWidth="1"/>
    <col min="11012" max="11012" width="1.5" style="7" customWidth="1"/>
    <col min="11013" max="11013" width="10" style="7" customWidth="1"/>
    <col min="11014" max="11014" width="6.125" style="7" customWidth="1"/>
    <col min="11015" max="11015" width="7.25" style="7" customWidth="1"/>
    <col min="11016" max="11016" width="8.5" style="7" customWidth="1"/>
    <col min="11017" max="11017" width="1.125" style="7" customWidth="1"/>
    <col min="11018" max="11264" width="10.125" style="7"/>
    <col min="11265" max="11265" width="3.125" style="7" customWidth="1"/>
    <col min="11266" max="11266" width="30.5" style="7" customWidth="1"/>
    <col min="11267" max="11267" width="8.75" style="7" customWidth="1"/>
    <col min="11268" max="11268" width="1.5" style="7" customWidth="1"/>
    <col min="11269" max="11269" width="10" style="7" customWidth="1"/>
    <col min="11270" max="11270" width="6.125" style="7" customWidth="1"/>
    <col min="11271" max="11271" width="7.25" style="7" customWidth="1"/>
    <col min="11272" max="11272" width="8.5" style="7" customWidth="1"/>
    <col min="11273" max="11273" width="1.125" style="7" customWidth="1"/>
    <col min="11274" max="11520" width="10.125" style="7"/>
    <col min="11521" max="11521" width="3.125" style="7" customWidth="1"/>
    <col min="11522" max="11522" width="30.5" style="7" customWidth="1"/>
    <col min="11523" max="11523" width="8.75" style="7" customWidth="1"/>
    <col min="11524" max="11524" width="1.5" style="7" customWidth="1"/>
    <col min="11525" max="11525" width="10" style="7" customWidth="1"/>
    <col min="11526" max="11526" width="6.125" style="7" customWidth="1"/>
    <col min="11527" max="11527" width="7.25" style="7" customWidth="1"/>
    <col min="11528" max="11528" width="8.5" style="7" customWidth="1"/>
    <col min="11529" max="11529" width="1.125" style="7" customWidth="1"/>
    <col min="11530" max="11776" width="10.125" style="7"/>
    <col min="11777" max="11777" width="3.125" style="7" customWidth="1"/>
    <col min="11778" max="11778" width="30.5" style="7" customWidth="1"/>
    <col min="11779" max="11779" width="8.75" style="7" customWidth="1"/>
    <col min="11780" max="11780" width="1.5" style="7" customWidth="1"/>
    <col min="11781" max="11781" width="10" style="7" customWidth="1"/>
    <col min="11782" max="11782" width="6.125" style="7" customWidth="1"/>
    <col min="11783" max="11783" width="7.25" style="7" customWidth="1"/>
    <col min="11784" max="11784" width="8.5" style="7" customWidth="1"/>
    <col min="11785" max="11785" width="1.125" style="7" customWidth="1"/>
    <col min="11786" max="12032" width="10.125" style="7"/>
    <col min="12033" max="12033" width="3.125" style="7" customWidth="1"/>
    <col min="12034" max="12034" width="30.5" style="7" customWidth="1"/>
    <col min="12035" max="12035" width="8.75" style="7" customWidth="1"/>
    <col min="12036" max="12036" width="1.5" style="7" customWidth="1"/>
    <col min="12037" max="12037" width="10" style="7" customWidth="1"/>
    <col min="12038" max="12038" width="6.125" style="7" customWidth="1"/>
    <col min="12039" max="12039" width="7.25" style="7" customWidth="1"/>
    <col min="12040" max="12040" width="8.5" style="7" customWidth="1"/>
    <col min="12041" max="12041" width="1.125" style="7" customWidth="1"/>
    <col min="12042" max="12288" width="10.125" style="7"/>
    <col min="12289" max="12289" width="3.125" style="7" customWidth="1"/>
    <col min="12290" max="12290" width="30.5" style="7" customWidth="1"/>
    <col min="12291" max="12291" width="8.75" style="7" customWidth="1"/>
    <col min="12292" max="12292" width="1.5" style="7" customWidth="1"/>
    <col min="12293" max="12293" width="10" style="7" customWidth="1"/>
    <col min="12294" max="12294" width="6.125" style="7" customWidth="1"/>
    <col min="12295" max="12295" width="7.25" style="7" customWidth="1"/>
    <col min="12296" max="12296" width="8.5" style="7" customWidth="1"/>
    <col min="12297" max="12297" width="1.125" style="7" customWidth="1"/>
    <col min="12298" max="12544" width="10.125" style="7"/>
    <col min="12545" max="12545" width="3.125" style="7" customWidth="1"/>
    <col min="12546" max="12546" width="30.5" style="7" customWidth="1"/>
    <col min="12547" max="12547" width="8.75" style="7" customWidth="1"/>
    <col min="12548" max="12548" width="1.5" style="7" customWidth="1"/>
    <col min="12549" max="12549" width="10" style="7" customWidth="1"/>
    <col min="12550" max="12550" width="6.125" style="7" customWidth="1"/>
    <col min="12551" max="12551" width="7.25" style="7" customWidth="1"/>
    <col min="12552" max="12552" width="8.5" style="7" customWidth="1"/>
    <col min="12553" max="12553" width="1.125" style="7" customWidth="1"/>
    <col min="12554" max="12800" width="10.125" style="7"/>
    <col min="12801" max="12801" width="3.125" style="7" customWidth="1"/>
    <col min="12802" max="12802" width="30.5" style="7" customWidth="1"/>
    <col min="12803" max="12803" width="8.75" style="7" customWidth="1"/>
    <col min="12804" max="12804" width="1.5" style="7" customWidth="1"/>
    <col min="12805" max="12805" width="10" style="7" customWidth="1"/>
    <col min="12806" max="12806" width="6.125" style="7" customWidth="1"/>
    <col min="12807" max="12807" width="7.25" style="7" customWidth="1"/>
    <col min="12808" max="12808" width="8.5" style="7" customWidth="1"/>
    <col min="12809" max="12809" width="1.125" style="7" customWidth="1"/>
    <col min="12810" max="13056" width="10.125" style="7"/>
    <col min="13057" max="13057" width="3.125" style="7" customWidth="1"/>
    <col min="13058" max="13058" width="30.5" style="7" customWidth="1"/>
    <col min="13059" max="13059" width="8.75" style="7" customWidth="1"/>
    <col min="13060" max="13060" width="1.5" style="7" customWidth="1"/>
    <col min="13061" max="13061" width="10" style="7" customWidth="1"/>
    <col min="13062" max="13062" width="6.125" style="7" customWidth="1"/>
    <col min="13063" max="13063" width="7.25" style="7" customWidth="1"/>
    <col min="13064" max="13064" width="8.5" style="7" customWidth="1"/>
    <col min="13065" max="13065" width="1.125" style="7" customWidth="1"/>
    <col min="13066" max="13312" width="10.125" style="7"/>
    <col min="13313" max="13313" width="3.125" style="7" customWidth="1"/>
    <col min="13314" max="13314" width="30.5" style="7" customWidth="1"/>
    <col min="13315" max="13315" width="8.75" style="7" customWidth="1"/>
    <col min="13316" max="13316" width="1.5" style="7" customWidth="1"/>
    <col min="13317" max="13317" width="10" style="7" customWidth="1"/>
    <col min="13318" max="13318" width="6.125" style="7" customWidth="1"/>
    <col min="13319" max="13319" width="7.25" style="7" customWidth="1"/>
    <col min="13320" max="13320" width="8.5" style="7" customWidth="1"/>
    <col min="13321" max="13321" width="1.125" style="7" customWidth="1"/>
    <col min="13322" max="13568" width="10.125" style="7"/>
    <col min="13569" max="13569" width="3.125" style="7" customWidth="1"/>
    <col min="13570" max="13570" width="30.5" style="7" customWidth="1"/>
    <col min="13571" max="13571" width="8.75" style="7" customWidth="1"/>
    <col min="13572" max="13572" width="1.5" style="7" customWidth="1"/>
    <col min="13573" max="13573" width="10" style="7" customWidth="1"/>
    <col min="13574" max="13574" width="6.125" style="7" customWidth="1"/>
    <col min="13575" max="13575" width="7.25" style="7" customWidth="1"/>
    <col min="13576" max="13576" width="8.5" style="7" customWidth="1"/>
    <col min="13577" max="13577" width="1.125" style="7" customWidth="1"/>
    <col min="13578" max="13824" width="10.125" style="7"/>
    <col min="13825" max="13825" width="3.125" style="7" customWidth="1"/>
    <col min="13826" max="13826" width="30.5" style="7" customWidth="1"/>
    <col min="13827" max="13827" width="8.75" style="7" customWidth="1"/>
    <col min="13828" max="13828" width="1.5" style="7" customWidth="1"/>
    <col min="13829" max="13829" width="10" style="7" customWidth="1"/>
    <col min="13830" max="13830" width="6.125" style="7" customWidth="1"/>
    <col min="13831" max="13831" width="7.25" style="7" customWidth="1"/>
    <col min="13832" max="13832" width="8.5" style="7" customWidth="1"/>
    <col min="13833" max="13833" width="1.125" style="7" customWidth="1"/>
    <col min="13834" max="14080" width="10.125" style="7"/>
    <col min="14081" max="14081" width="3.125" style="7" customWidth="1"/>
    <col min="14082" max="14082" width="30.5" style="7" customWidth="1"/>
    <col min="14083" max="14083" width="8.75" style="7" customWidth="1"/>
    <col min="14084" max="14084" width="1.5" style="7" customWidth="1"/>
    <col min="14085" max="14085" width="10" style="7" customWidth="1"/>
    <col min="14086" max="14086" width="6.125" style="7" customWidth="1"/>
    <col min="14087" max="14087" width="7.25" style="7" customWidth="1"/>
    <col min="14088" max="14088" width="8.5" style="7" customWidth="1"/>
    <col min="14089" max="14089" width="1.125" style="7" customWidth="1"/>
    <col min="14090" max="14336" width="10.125" style="7"/>
    <col min="14337" max="14337" width="3.125" style="7" customWidth="1"/>
    <col min="14338" max="14338" width="30.5" style="7" customWidth="1"/>
    <col min="14339" max="14339" width="8.75" style="7" customWidth="1"/>
    <col min="14340" max="14340" width="1.5" style="7" customWidth="1"/>
    <col min="14341" max="14341" width="10" style="7" customWidth="1"/>
    <col min="14342" max="14342" width="6.125" style="7" customWidth="1"/>
    <col min="14343" max="14343" width="7.25" style="7" customWidth="1"/>
    <col min="14344" max="14344" width="8.5" style="7" customWidth="1"/>
    <col min="14345" max="14345" width="1.125" style="7" customWidth="1"/>
    <col min="14346" max="14592" width="10.125" style="7"/>
    <col min="14593" max="14593" width="3.125" style="7" customWidth="1"/>
    <col min="14594" max="14594" width="30.5" style="7" customWidth="1"/>
    <col min="14595" max="14595" width="8.75" style="7" customWidth="1"/>
    <col min="14596" max="14596" width="1.5" style="7" customWidth="1"/>
    <col min="14597" max="14597" width="10" style="7" customWidth="1"/>
    <col min="14598" max="14598" width="6.125" style="7" customWidth="1"/>
    <col min="14599" max="14599" width="7.25" style="7" customWidth="1"/>
    <col min="14600" max="14600" width="8.5" style="7" customWidth="1"/>
    <col min="14601" max="14601" width="1.125" style="7" customWidth="1"/>
    <col min="14602" max="14848" width="10.125" style="7"/>
    <col min="14849" max="14849" width="3.125" style="7" customWidth="1"/>
    <col min="14850" max="14850" width="30.5" style="7" customWidth="1"/>
    <col min="14851" max="14851" width="8.75" style="7" customWidth="1"/>
    <col min="14852" max="14852" width="1.5" style="7" customWidth="1"/>
    <col min="14853" max="14853" width="10" style="7" customWidth="1"/>
    <col min="14854" max="14854" width="6.125" style="7" customWidth="1"/>
    <col min="14855" max="14855" width="7.25" style="7" customWidth="1"/>
    <col min="14856" max="14856" width="8.5" style="7" customWidth="1"/>
    <col min="14857" max="14857" width="1.125" style="7" customWidth="1"/>
    <col min="14858" max="15104" width="10.125" style="7"/>
    <col min="15105" max="15105" width="3.125" style="7" customWidth="1"/>
    <col min="15106" max="15106" width="30.5" style="7" customWidth="1"/>
    <col min="15107" max="15107" width="8.75" style="7" customWidth="1"/>
    <col min="15108" max="15108" width="1.5" style="7" customWidth="1"/>
    <col min="15109" max="15109" width="10" style="7" customWidth="1"/>
    <col min="15110" max="15110" width="6.125" style="7" customWidth="1"/>
    <col min="15111" max="15111" width="7.25" style="7" customWidth="1"/>
    <col min="15112" max="15112" width="8.5" style="7" customWidth="1"/>
    <col min="15113" max="15113" width="1.125" style="7" customWidth="1"/>
    <col min="15114" max="15360" width="10.125" style="7"/>
    <col min="15361" max="15361" width="3.125" style="7" customWidth="1"/>
    <col min="15362" max="15362" width="30.5" style="7" customWidth="1"/>
    <col min="15363" max="15363" width="8.75" style="7" customWidth="1"/>
    <col min="15364" max="15364" width="1.5" style="7" customWidth="1"/>
    <col min="15365" max="15365" width="10" style="7" customWidth="1"/>
    <col min="15366" max="15366" width="6.125" style="7" customWidth="1"/>
    <col min="15367" max="15367" width="7.25" style="7" customWidth="1"/>
    <col min="15368" max="15368" width="8.5" style="7" customWidth="1"/>
    <col min="15369" max="15369" width="1.125" style="7" customWidth="1"/>
    <col min="15370" max="15616" width="10.125" style="7"/>
    <col min="15617" max="15617" width="3.125" style="7" customWidth="1"/>
    <col min="15618" max="15618" width="30.5" style="7" customWidth="1"/>
    <col min="15619" max="15619" width="8.75" style="7" customWidth="1"/>
    <col min="15620" max="15620" width="1.5" style="7" customWidth="1"/>
    <col min="15621" max="15621" width="10" style="7" customWidth="1"/>
    <col min="15622" max="15622" width="6.125" style="7" customWidth="1"/>
    <col min="15623" max="15623" width="7.25" style="7" customWidth="1"/>
    <col min="15624" max="15624" width="8.5" style="7" customWidth="1"/>
    <col min="15625" max="15625" width="1.125" style="7" customWidth="1"/>
    <col min="15626" max="15872" width="10.125" style="7"/>
    <col min="15873" max="15873" width="3.125" style="7" customWidth="1"/>
    <col min="15874" max="15874" width="30.5" style="7" customWidth="1"/>
    <col min="15875" max="15875" width="8.75" style="7" customWidth="1"/>
    <col min="15876" max="15876" width="1.5" style="7" customWidth="1"/>
    <col min="15877" max="15877" width="10" style="7" customWidth="1"/>
    <col min="15878" max="15878" width="6.125" style="7" customWidth="1"/>
    <col min="15879" max="15879" width="7.25" style="7" customWidth="1"/>
    <col min="15880" max="15880" width="8.5" style="7" customWidth="1"/>
    <col min="15881" max="15881" width="1.125" style="7" customWidth="1"/>
    <col min="15882" max="16128" width="10.125" style="7"/>
    <col min="16129" max="16129" width="3.125" style="7" customWidth="1"/>
    <col min="16130" max="16130" width="30.5" style="7" customWidth="1"/>
    <col min="16131" max="16131" width="8.75" style="7" customWidth="1"/>
    <col min="16132" max="16132" width="1.5" style="7" customWidth="1"/>
    <col min="16133" max="16133" width="10" style="7" customWidth="1"/>
    <col min="16134" max="16134" width="6.125" style="7" customWidth="1"/>
    <col min="16135" max="16135" width="7.25" style="7" customWidth="1"/>
    <col min="16136" max="16136" width="8.5" style="7" customWidth="1"/>
    <col min="16137" max="16137" width="1.125" style="7" customWidth="1"/>
    <col min="16138" max="16384" width="10.125" style="7"/>
  </cols>
  <sheetData>
    <row r="5" spans="1:20" x14ac:dyDescent="0.25">
      <c r="A5" s="109" t="s">
        <v>0</v>
      </c>
      <c r="B5" s="110"/>
      <c r="C5" s="110"/>
    </row>
    <row r="6" spans="1:20" ht="9" customHeight="1" x14ac:dyDescent="0.25">
      <c r="A6" s="109"/>
      <c r="B6" s="110"/>
      <c r="C6" s="110"/>
    </row>
    <row r="7" spans="1:20" x14ac:dyDescent="0.25">
      <c r="A7" s="7" t="s">
        <v>1</v>
      </c>
      <c r="B7" s="8"/>
      <c r="E7" s="131" t="s">
        <v>2</v>
      </c>
      <c r="F7" s="132"/>
      <c r="G7" s="133">
        <v>46091</v>
      </c>
      <c r="H7" s="134"/>
    </row>
    <row r="8" spans="1:20" x14ac:dyDescent="0.25">
      <c r="A8" s="7" t="s">
        <v>53</v>
      </c>
      <c r="B8" s="8"/>
      <c r="E8" s="135" t="s">
        <v>3</v>
      </c>
      <c r="F8" s="136"/>
      <c r="H8" s="11">
        <v>60431</v>
      </c>
    </row>
    <row r="9" spans="1:20" x14ac:dyDescent="0.25">
      <c r="A9" s="7" t="s">
        <v>54</v>
      </c>
      <c r="B9" s="8"/>
      <c r="E9" s="135" t="s">
        <v>4</v>
      </c>
      <c r="F9" s="136"/>
      <c r="G9" s="137" t="s">
        <v>139</v>
      </c>
      <c r="H9" s="138"/>
    </row>
    <row r="10" spans="1:20" x14ac:dyDescent="0.25">
      <c r="B10" s="8"/>
      <c r="E10" s="13" t="s">
        <v>137</v>
      </c>
      <c r="F10" s="14"/>
      <c r="G10" s="144" t="s">
        <v>138</v>
      </c>
      <c r="H10" s="140"/>
      <c r="L10" s="7">
        <v>34</v>
      </c>
      <c r="M10" s="7" t="s">
        <v>33</v>
      </c>
      <c r="N10" s="44"/>
      <c r="O10" s="45"/>
      <c r="P10" s="46"/>
      <c r="R10" s="47"/>
      <c r="S10" s="28"/>
    </row>
    <row r="11" spans="1:20" x14ac:dyDescent="0.25">
      <c r="A11" s="15" t="s">
        <v>55</v>
      </c>
      <c r="B11" s="8"/>
      <c r="E11" s="115" t="s">
        <v>6</v>
      </c>
      <c r="F11" s="125" t="s">
        <v>7</v>
      </c>
      <c r="G11" s="125"/>
      <c r="H11" s="126"/>
      <c r="M11" s="7" t="s">
        <v>34</v>
      </c>
      <c r="O11" s="45"/>
    </row>
    <row r="12" spans="1:20" x14ac:dyDescent="0.25">
      <c r="A12" s="15"/>
      <c r="B12" s="8"/>
      <c r="E12" s="13" t="s">
        <v>8</v>
      </c>
      <c r="F12" s="127" t="s">
        <v>9</v>
      </c>
      <c r="G12" s="127"/>
      <c r="H12" s="128"/>
      <c r="M12" s="48" t="s">
        <v>35</v>
      </c>
      <c r="P12" s="49">
        <v>50</v>
      </c>
      <c r="Q12" s="47" t="s">
        <v>36</v>
      </c>
      <c r="R12" s="50">
        <v>0.5</v>
      </c>
      <c r="S12" s="28">
        <f>+R12*P12</f>
        <v>25</v>
      </c>
    </row>
    <row r="13" spans="1:20" x14ac:dyDescent="0.25">
      <c r="A13" s="15"/>
      <c r="B13" s="8"/>
      <c r="F13" s="51"/>
      <c r="G13" s="51"/>
      <c r="H13" s="51"/>
      <c r="M13" s="7" t="s">
        <v>37</v>
      </c>
      <c r="P13" s="49"/>
      <c r="Q13" s="47"/>
      <c r="R13" s="50"/>
      <c r="S13" s="28"/>
    </row>
    <row r="14" spans="1:20" x14ac:dyDescent="0.25">
      <c r="A14" s="15"/>
      <c r="B14" s="8"/>
      <c r="F14" s="51"/>
      <c r="G14" s="51"/>
      <c r="H14" s="51"/>
    </row>
    <row r="15" spans="1:20" x14ac:dyDescent="0.25">
      <c r="A15" s="15"/>
      <c r="B15" s="8"/>
      <c r="F15" s="51"/>
      <c r="G15" s="51"/>
      <c r="H15" s="51"/>
      <c r="M15" s="52" t="s">
        <v>45</v>
      </c>
      <c r="N15" s="53" t="s">
        <v>46</v>
      </c>
      <c r="O15" s="44"/>
      <c r="P15" s="45"/>
      <c r="Q15" s="54">
        <v>18</v>
      </c>
      <c r="R15" s="28"/>
      <c r="S15" s="47">
        <v>2</v>
      </c>
      <c r="T15" s="28">
        <f>+S15*Q15</f>
        <v>36</v>
      </c>
    </row>
    <row r="16" spans="1:20" s="15" customFormat="1" ht="14.25" x14ac:dyDescent="0.2">
      <c r="A16" s="129" t="s">
        <v>10</v>
      </c>
      <c r="B16" s="129"/>
      <c r="C16" s="129"/>
      <c r="D16" s="129"/>
      <c r="E16" s="129"/>
      <c r="F16" s="129"/>
      <c r="G16" s="129"/>
      <c r="H16" s="129"/>
    </row>
    <row r="17" spans="1:8" s="15" customFormat="1" ht="14.25" x14ac:dyDescent="0.2">
      <c r="A17" s="114"/>
      <c r="B17" s="114"/>
      <c r="C17" s="114"/>
      <c r="D17" s="114"/>
      <c r="E17" s="114"/>
      <c r="F17" s="114"/>
      <c r="G17" s="114"/>
      <c r="H17" s="114"/>
    </row>
    <row r="18" spans="1:8" s="15" customFormat="1" ht="14.25" x14ac:dyDescent="0.2">
      <c r="A18" s="114"/>
      <c r="B18" s="114"/>
      <c r="C18" s="114"/>
      <c r="D18" s="114"/>
      <c r="E18" s="114"/>
      <c r="F18" s="114"/>
      <c r="G18" s="114"/>
      <c r="H18" s="114"/>
    </row>
    <row r="19" spans="1:8" x14ac:dyDescent="0.25">
      <c r="A19" s="7" t="s">
        <v>38</v>
      </c>
      <c r="B19" s="8"/>
      <c r="F19" s="9"/>
      <c r="G19" s="18"/>
    </row>
    <row r="20" spans="1:8" x14ac:dyDescent="0.25">
      <c r="A20" s="7" t="s">
        <v>39</v>
      </c>
      <c r="B20" s="8"/>
      <c r="F20" s="9"/>
      <c r="G20" s="18"/>
    </row>
    <row r="21" spans="1:8" ht="9" customHeight="1" x14ac:dyDescent="0.25"/>
    <row r="22" spans="1:8" x14ac:dyDescent="0.25">
      <c r="A22" s="20" t="s">
        <v>13</v>
      </c>
      <c r="B22" s="21"/>
      <c r="C22" s="20"/>
      <c r="E22" s="9" t="s">
        <v>40</v>
      </c>
      <c r="F22" s="17" t="s">
        <v>15</v>
      </c>
      <c r="G22" s="9" t="s">
        <v>41</v>
      </c>
      <c r="H22" s="17" t="s">
        <v>17</v>
      </c>
    </row>
    <row r="23" spans="1:8" x14ac:dyDescent="0.25">
      <c r="A23" s="23" t="s">
        <v>18</v>
      </c>
      <c r="B23" s="23"/>
      <c r="C23" s="22"/>
      <c r="D23" s="24"/>
      <c r="E23" s="24" t="s">
        <v>43</v>
      </c>
      <c r="F23" s="113"/>
      <c r="G23" s="24" t="s">
        <v>44</v>
      </c>
      <c r="H23" s="14"/>
    </row>
    <row r="24" spans="1:8" x14ac:dyDescent="0.25">
      <c r="A24" s="7">
        <v>34</v>
      </c>
      <c r="B24" s="7" t="s">
        <v>125</v>
      </c>
      <c r="D24" s="45"/>
      <c r="E24" s="26"/>
      <c r="F24" s="28"/>
      <c r="G24" s="47"/>
      <c r="H24" s="28"/>
    </row>
    <row r="25" spans="1:8" x14ac:dyDescent="0.25">
      <c r="A25" s="116" t="s">
        <v>45</v>
      </c>
      <c r="B25" s="53" t="s">
        <v>126</v>
      </c>
      <c r="C25" s="44"/>
      <c r="D25" s="45"/>
      <c r="E25" s="7"/>
      <c r="F25" s="7"/>
    </row>
    <row r="26" spans="1:8" x14ac:dyDescent="0.25">
      <c r="B26" s="111">
        <v>45931</v>
      </c>
      <c r="C26" s="44"/>
      <c r="E26" s="54">
        <v>28</v>
      </c>
      <c r="F26" s="28"/>
      <c r="G26" s="47">
        <v>1</v>
      </c>
      <c r="H26" s="28">
        <f>+G26*E26</f>
        <v>28</v>
      </c>
    </row>
    <row r="27" spans="1:8" x14ac:dyDescent="0.25">
      <c r="B27" s="111">
        <v>45962</v>
      </c>
      <c r="C27" s="44"/>
      <c r="D27" s="7"/>
      <c r="E27" s="54">
        <v>28</v>
      </c>
      <c r="F27" s="28"/>
      <c r="G27" s="47">
        <v>1</v>
      </c>
      <c r="H27" s="28">
        <f t="shared" ref="H27:H28" si="0">+G27*E27</f>
        <v>28</v>
      </c>
    </row>
    <row r="28" spans="1:8" x14ac:dyDescent="0.25">
      <c r="B28" s="111">
        <v>45992</v>
      </c>
      <c r="C28" s="44"/>
      <c r="D28" s="45"/>
      <c r="E28" s="54">
        <v>28</v>
      </c>
      <c r="F28" s="28"/>
      <c r="G28" s="47">
        <v>1</v>
      </c>
      <c r="H28" s="28">
        <f t="shared" si="0"/>
        <v>28</v>
      </c>
    </row>
    <row r="29" spans="1:8" x14ac:dyDescent="0.25">
      <c r="A29" s="116"/>
      <c r="C29" s="44"/>
      <c r="D29" s="45"/>
      <c r="E29" s="54"/>
      <c r="F29" s="28"/>
      <c r="G29" s="47"/>
      <c r="H29" s="28"/>
    </row>
    <row r="30" spans="1:8" x14ac:dyDescent="0.25">
      <c r="A30" s="116"/>
      <c r="C30" s="44"/>
      <c r="D30" s="45"/>
      <c r="E30" s="54"/>
      <c r="F30" s="28"/>
      <c r="G30" s="47"/>
      <c r="H30" s="28"/>
    </row>
    <row r="31" spans="1:8" x14ac:dyDescent="0.25">
      <c r="C31" s="44"/>
      <c r="D31" s="45"/>
      <c r="E31" s="54"/>
      <c r="F31" s="28"/>
      <c r="G31" s="47"/>
      <c r="H31" s="28"/>
    </row>
    <row r="32" spans="1:8" x14ac:dyDescent="0.25">
      <c r="A32" s="116"/>
      <c r="C32" s="44"/>
      <c r="D32" s="45"/>
      <c r="E32" s="54"/>
      <c r="F32" s="28"/>
      <c r="G32" s="47"/>
      <c r="H32" s="28"/>
    </row>
    <row r="33" spans="1:10" x14ac:dyDescent="0.25">
      <c r="A33" s="116"/>
      <c r="C33" s="44"/>
      <c r="D33" s="45"/>
      <c r="E33" s="54"/>
      <c r="F33" s="28"/>
      <c r="G33" s="47"/>
      <c r="H33" s="28"/>
    </row>
    <row r="34" spans="1:10" ht="9" customHeight="1" x14ac:dyDescent="0.25">
      <c r="A34" s="116"/>
      <c r="B34" s="53"/>
      <c r="C34" s="44"/>
      <c r="D34" s="45"/>
      <c r="E34" s="54"/>
      <c r="F34" s="28"/>
      <c r="G34" s="47"/>
      <c r="H34" s="28"/>
    </row>
    <row r="35" spans="1:10" x14ac:dyDescent="0.25">
      <c r="A35" s="7">
        <v>16</v>
      </c>
      <c r="B35" s="7" t="s">
        <v>23</v>
      </c>
      <c r="C35" s="56"/>
      <c r="D35" s="7"/>
      <c r="E35" s="41">
        <f>SUM(H24:H34)</f>
        <v>84</v>
      </c>
      <c r="F35" s="26"/>
      <c r="G35" s="17">
        <f>+E35*0.2</f>
        <v>16.8</v>
      </c>
      <c r="H35" s="41">
        <f>+G35</f>
        <v>16.8</v>
      </c>
    </row>
    <row r="36" spans="1:10" x14ac:dyDescent="0.25">
      <c r="A36" s="23"/>
      <c r="B36" s="23" t="s">
        <v>24</v>
      </c>
      <c r="C36" s="23"/>
      <c r="D36" s="23"/>
      <c r="E36" s="24"/>
      <c r="F36" s="113"/>
      <c r="G36" s="57"/>
      <c r="H36" s="58"/>
    </row>
    <row r="37" spans="1:10" ht="15.75" customHeight="1" x14ac:dyDescent="0.25">
      <c r="E37" s="7" t="s">
        <v>25</v>
      </c>
      <c r="F37" s="9"/>
      <c r="G37" s="116"/>
      <c r="H37" s="41">
        <f>SUM(H24:H36)</f>
        <v>100.8</v>
      </c>
      <c r="J37" s="59"/>
    </row>
    <row r="38" spans="1:10" ht="15.75" customHeight="1" x14ac:dyDescent="0.25">
      <c r="E38" s="7" t="s">
        <v>26</v>
      </c>
      <c r="F38" s="9"/>
      <c r="H38" s="41">
        <f>+H37*0.19</f>
        <v>19.152000000000001</v>
      </c>
    </row>
    <row r="39" spans="1:10" ht="15.75" thickBot="1" x14ac:dyDescent="0.3">
      <c r="E39" s="34" t="s">
        <v>27</v>
      </c>
      <c r="F39" s="35"/>
      <c r="G39" s="60"/>
      <c r="H39" s="61">
        <f>SUM(H37:H38)</f>
        <v>119.952</v>
      </c>
    </row>
    <row r="40" spans="1:10" ht="7.5" customHeight="1" thickTop="1" x14ac:dyDescent="0.25">
      <c r="E40" s="38"/>
      <c r="F40" s="17"/>
      <c r="G40" s="9"/>
      <c r="H40" s="41"/>
    </row>
    <row r="41" spans="1:10" x14ac:dyDescent="0.25">
      <c r="A41" s="7" t="s">
        <v>48</v>
      </c>
      <c r="B41" s="8"/>
    </row>
    <row r="44" spans="1:10" ht="14.25" customHeight="1" x14ac:dyDescent="0.25"/>
    <row r="45" spans="1:10" x14ac:dyDescent="0.25">
      <c r="B45" s="23"/>
    </row>
    <row r="48" spans="1:10" x14ac:dyDescent="0.25">
      <c r="D48" s="7"/>
      <c r="E48" s="7"/>
      <c r="F48" s="7"/>
    </row>
    <row r="49" spans="1:8" x14ac:dyDescent="0.25">
      <c r="A49" s="143" t="s">
        <v>127</v>
      </c>
      <c r="B49" s="143"/>
      <c r="C49" s="143"/>
      <c r="D49" s="143"/>
      <c r="E49" s="143"/>
      <c r="F49" s="143"/>
      <c r="G49" s="143"/>
      <c r="H49" s="143"/>
    </row>
  </sheetData>
  <mergeCells count="10">
    <mergeCell ref="F11:H11"/>
    <mergeCell ref="F12:H12"/>
    <mergeCell ref="A16:H16"/>
    <mergeCell ref="A49:H49"/>
    <mergeCell ref="E7:F7"/>
    <mergeCell ref="G7:H7"/>
    <mergeCell ref="E8:F8"/>
    <mergeCell ref="E9:F9"/>
    <mergeCell ref="G9:H9"/>
    <mergeCell ref="G10:H10"/>
  </mergeCells>
  <pageMargins left="0.78740157480314965" right="0.78740157480314965" top="0.98425196850393704" bottom="0.98425196850393704" header="0.51181102362204722" footer="0.51181102362204722"/>
  <pageSetup paperSize="9" orientation="portrait" horizontalDpi="300" verticalDpi="300" r:id="rId1"/>
  <headerFooter alignWithMargins="0">
    <oddHeader>&amp;C&amp;"Times New Roman,Standard"&amp;16Hartmut Ahting
Steuerberater
Diplom-Wirtschaftsingenieur</oddHeader>
    <oddFooter>&amp;L&amp;"Times New Roman,Standard"Heerstrasse 50
60488 Frankfurt
&amp;C&amp;"Times New Roman,Standard"Deutsche Bank
BLZ 500 700 24
Konto 409 28 62&amp;R&amp;"Times New Roman,Standard"Tel:      069 / 788 031-71
Fax:     069 / 788 031-72
Mobil: 0174 / 326 99 58</oddFooter>
  </headerFooter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2E5B9-58E9-4E4B-975F-8EDF8AF26894}">
  <dimension ref="A5:L49"/>
  <sheetViews>
    <sheetView tabSelected="1" topLeftCell="A26" workbookViewId="0">
      <selection activeCell="G8" sqref="G8"/>
    </sheetView>
  </sheetViews>
  <sheetFormatPr baseColWidth="10" defaultColWidth="10.125" defaultRowHeight="15.75" x14ac:dyDescent="0.25"/>
  <cols>
    <col min="1" max="1" width="3.125" style="1" customWidth="1"/>
    <col min="2" max="2" width="29.5" style="1" customWidth="1"/>
    <col min="3" max="3" width="8.375" style="1" customWidth="1"/>
    <col min="4" max="4" width="1.5" style="2" customWidth="1"/>
    <col min="5" max="5" width="10.75" style="3" customWidth="1"/>
    <col min="6" max="6" width="5.375" style="6" customWidth="1"/>
    <col min="7" max="7" width="7.625" style="1" customWidth="1"/>
    <col min="8" max="8" width="9.375" style="1" customWidth="1"/>
    <col min="9" max="10" width="10.125" style="1"/>
    <col min="11" max="11" width="10.625" style="1" bestFit="1" customWidth="1"/>
    <col min="12" max="256" width="10.125" style="1"/>
    <col min="257" max="257" width="3.125" style="1" customWidth="1"/>
    <col min="258" max="258" width="29.5" style="1" customWidth="1"/>
    <col min="259" max="259" width="8.75" style="1" customWidth="1"/>
    <col min="260" max="260" width="1.5" style="1" customWidth="1"/>
    <col min="261" max="261" width="10.75" style="1" customWidth="1"/>
    <col min="262" max="262" width="6.375" style="1" customWidth="1"/>
    <col min="263" max="263" width="6.75" style="1" customWidth="1"/>
    <col min="264" max="264" width="8.75" style="1" customWidth="1"/>
    <col min="265" max="266" width="10.125" style="1"/>
    <col min="267" max="267" width="10.625" style="1" bestFit="1" customWidth="1"/>
    <col min="268" max="512" width="10.125" style="1"/>
    <col min="513" max="513" width="3.125" style="1" customWidth="1"/>
    <col min="514" max="514" width="29.5" style="1" customWidth="1"/>
    <col min="515" max="515" width="8.75" style="1" customWidth="1"/>
    <col min="516" max="516" width="1.5" style="1" customWidth="1"/>
    <col min="517" max="517" width="10.75" style="1" customWidth="1"/>
    <col min="518" max="518" width="6.375" style="1" customWidth="1"/>
    <col min="519" max="519" width="6.75" style="1" customWidth="1"/>
    <col min="520" max="520" width="8.75" style="1" customWidth="1"/>
    <col min="521" max="522" width="10.125" style="1"/>
    <col min="523" max="523" width="10.625" style="1" bestFit="1" customWidth="1"/>
    <col min="524" max="768" width="10.125" style="1"/>
    <col min="769" max="769" width="3.125" style="1" customWidth="1"/>
    <col min="770" max="770" width="29.5" style="1" customWidth="1"/>
    <col min="771" max="771" width="8.75" style="1" customWidth="1"/>
    <col min="772" max="772" width="1.5" style="1" customWidth="1"/>
    <col min="773" max="773" width="10.75" style="1" customWidth="1"/>
    <col min="774" max="774" width="6.375" style="1" customWidth="1"/>
    <col min="775" max="775" width="6.75" style="1" customWidth="1"/>
    <col min="776" max="776" width="8.75" style="1" customWidth="1"/>
    <col min="777" max="778" width="10.125" style="1"/>
    <col min="779" max="779" width="10.625" style="1" bestFit="1" customWidth="1"/>
    <col min="780" max="1024" width="10.125" style="1"/>
    <col min="1025" max="1025" width="3.125" style="1" customWidth="1"/>
    <col min="1026" max="1026" width="29.5" style="1" customWidth="1"/>
    <col min="1027" max="1027" width="8.75" style="1" customWidth="1"/>
    <col min="1028" max="1028" width="1.5" style="1" customWidth="1"/>
    <col min="1029" max="1029" width="10.75" style="1" customWidth="1"/>
    <col min="1030" max="1030" width="6.375" style="1" customWidth="1"/>
    <col min="1031" max="1031" width="6.75" style="1" customWidth="1"/>
    <col min="1032" max="1032" width="8.75" style="1" customWidth="1"/>
    <col min="1033" max="1034" width="10.125" style="1"/>
    <col min="1035" max="1035" width="10.625" style="1" bestFit="1" customWidth="1"/>
    <col min="1036" max="1280" width="10.125" style="1"/>
    <col min="1281" max="1281" width="3.125" style="1" customWidth="1"/>
    <col min="1282" max="1282" width="29.5" style="1" customWidth="1"/>
    <col min="1283" max="1283" width="8.75" style="1" customWidth="1"/>
    <col min="1284" max="1284" width="1.5" style="1" customWidth="1"/>
    <col min="1285" max="1285" width="10.75" style="1" customWidth="1"/>
    <col min="1286" max="1286" width="6.375" style="1" customWidth="1"/>
    <col min="1287" max="1287" width="6.75" style="1" customWidth="1"/>
    <col min="1288" max="1288" width="8.75" style="1" customWidth="1"/>
    <col min="1289" max="1290" width="10.125" style="1"/>
    <col min="1291" max="1291" width="10.625" style="1" bestFit="1" customWidth="1"/>
    <col min="1292" max="1536" width="10.125" style="1"/>
    <col min="1537" max="1537" width="3.125" style="1" customWidth="1"/>
    <col min="1538" max="1538" width="29.5" style="1" customWidth="1"/>
    <col min="1539" max="1539" width="8.75" style="1" customWidth="1"/>
    <col min="1540" max="1540" width="1.5" style="1" customWidth="1"/>
    <col min="1541" max="1541" width="10.75" style="1" customWidth="1"/>
    <col min="1542" max="1542" width="6.375" style="1" customWidth="1"/>
    <col min="1543" max="1543" width="6.75" style="1" customWidth="1"/>
    <col min="1544" max="1544" width="8.75" style="1" customWidth="1"/>
    <col min="1545" max="1546" width="10.125" style="1"/>
    <col min="1547" max="1547" width="10.625" style="1" bestFit="1" customWidth="1"/>
    <col min="1548" max="1792" width="10.125" style="1"/>
    <col min="1793" max="1793" width="3.125" style="1" customWidth="1"/>
    <col min="1794" max="1794" width="29.5" style="1" customWidth="1"/>
    <col min="1795" max="1795" width="8.75" style="1" customWidth="1"/>
    <col min="1796" max="1796" width="1.5" style="1" customWidth="1"/>
    <col min="1797" max="1797" width="10.75" style="1" customWidth="1"/>
    <col min="1798" max="1798" width="6.375" style="1" customWidth="1"/>
    <col min="1799" max="1799" width="6.75" style="1" customWidth="1"/>
    <col min="1800" max="1800" width="8.75" style="1" customWidth="1"/>
    <col min="1801" max="1802" width="10.125" style="1"/>
    <col min="1803" max="1803" width="10.625" style="1" bestFit="1" customWidth="1"/>
    <col min="1804" max="2048" width="10.125" style="1"/>
    <col min="2049" max="2049" width="3.125" style="1" customWidth="1"/>
    <col min="2050" max="2050" width="29.5" style="1" customWidth="1"/>
    <col min="2051" max="2051" width="8.75" style="1" customWidth="1"/>
    <col min="2052" max="2052" width="1.5" style="1" customWidth="1"/>
    <col min="2053" max="2053" width="10.75" style="1" customWidth="1"/>
    <col min="2054" max="2054" width="6.375" style="1" customWidth="1"/>
    <col min="2055" max="2055" width="6.75" style="1" customWidth="1"/>
    <col min="2056" max="2056" width="8.75" style="1" customWidth="1"/>
    <col min="2057" max="2058" width="10.125" style="1"/>
    <col min="2059" max="2059" width="10.625" style="1" bestFit="1" customWidth="1"/>
    <col min="2060" max="2304" width="10.125" style="1"/>
    <col min="2305" max="2305" width="3.125" style="1" customWidth="1"/>
    <col min="2306" max="2306" width="29.5" style="1" customWidth="1"/>
    <col min="2307" max="2307" width="8.75" style="1" customWidth="1"/>
    <col min="2308" max="2308" width="1.5" style="1" customWidth="1"/>
    <col min="2309" max="2309" width="10.75" style="1" customWidth="1"/>
    <col min="2310" max="2310" width="6.375" style="1" customWidth="1"/>
    <col min="2311" max="2311" width="6.75" style="1" customWidth="1"/>
    <col min="2312" max="2312" width="8.75" style="1" customWidth="1"/>
    <col min="2313" max="2314" width="10.125" style="1"/>
    <col min="2315" max="2315" width="10.625" style="1" bestFit="1" customWidth="1"/>
    <col min="2316" max="2560" width="10.125" style="1"/>
    <col min="2561" max="2561" width="3.125" style="1" customWidth="1"/>
    <col min="2562" max="2562" width="29.5" style="1" customWidth="1"/>
    <col min="2563" max="2563" width="8.75" style="1" customWidth="1"/>
    <col min="2564" max="2564" width="1.5" style="1" customWidth="1"/>
    <col min="2565" max="2565" width="10.75" style="1" customWidth="1"/>
    <col min="2566" max="2566" width="6.375" style="1" customWidth="1"/>
    <col min="2567" max="2567" width="6.75" style="1" customWidth="1"/>
    <col min="2568" max="2568" width="8.75" style="1" customWidth="1"/>
    <col min="2569" max="2570" width="10.125" style="1"/>
    <col min="2571" max="2571" width="10.625" style="1" bestFit="1" customWidth="1"/>
    <col min="2572" max="2816" width="10.125" style="1"/>
    <col min="2817" max="2817" width="3.125" style="1" customWidth="1"/>
    <col min="2818" max="2818" width="29.5" style="1" customWidth="1"/>
    <col min="2819" max="2819" width="8.75" style="1" customWidth="1"/>
    <col min="2820" max="2820" width="1.5" style="1" customWidth="1"/>
    <col min="2821" max="2821" width="10.75" style="1" customWidth="1"/>
    <col min="2822" max="2822" width="6.375" style="1" customWidth="1"/>
    <col min="2823" max="2823" width="6.75" style="1" customWidth="1"/>
    <col min="2824" max="2824" width="8.75" style="1" customWidth="1"/>
    <col min="2825" max="2826" width="10.125" style="1"/>
    <col min="2827" max="2827" width="10.625" style="1" bestFit="1" customWidth="1"/>
    <col min="2828" max="3072" width="10.125" style="1"/>
    <col min="3073" max="3073" width="3.125" style="1" customWidth="1"/>
    <col min="3074" max="3074" width="29.5" style="1" customWidth="1"/>
    <col min="3075" max="3075" width="8.75" style="1" customWidth="1"/>
    <col min="3076" max="3076" width="1.5" style="1" customWidth="1"/>
    <col min="3077" max="3077" width="10.75" style="1" customWidth="1"/>
    <col min="3078" max="3078" width="6.375" style="1" customWidth="1"/>
    <col min="3079" max="3079" width="6.75" style="1" customWidth="1"/>
    <col min="3080" max="3080" width="8.75" style="1" customWidth="1"/>
    <col min="3081" max="3082" width="10.125" style="1"/>
    <col min="3083" max="3083" width="10.625" style="1" bestFit="1" customWidth="1"/>
    <col min="3084" max="3328" width="10.125" style="1"/>
    <col min="3329" max="3329" width="3.125" style="1" customWidth="1"/>
    <col min="3330" max="3330" width="29.5" style="1" customWidth="1"/>
    <col min="3331" max="3331" width="8.75" style="1" customWidth="1"/>
    <col min="3332" max="3332" width="1.5" style="1" customWidth="1"/>
    <col min="3333" max="3333" width="10.75" style="1" customWidth="1"/>
    <col min="3334" max="3334" width="6.375" style="1" customWidth="1"/>
    <col min="3335" max="3335" width="6.75" style="1" customWidth="1"/>
    <col min="3336" max="3336" width="8.75" style="1" customWidth="1"/>
    <col min="3337" max="3338" width="10.125" style="1"/>
    <col min="3339" max="3339" width="10.625" style="1" bestFit="1" customWidth="1"/>
    <col min="3340" max="3584" width="10.125" style="1"/>
    <col min="3585" max="3585" width="3.125" style="1" customWidth="1"/>
    <col min="3586" max="3586" width="29.5" style="1" customWidth="1"/>
    <col min="3587" max="3587" width="8.75" style="1" customWidth="1"/>
    <col min="3588" max="3588" width="1.5" style="1" customWidth="1"/>
    <col min="3589" max="3589" width="10.75" style="1" customWidth="1"/>
    <col min="3590" max="3590" width="6.375" style="1" customWidth="1"/>
    <col min="3591" max="3591" width="6.75" style="1" customWidth="1"/>
    <col min="3592" max="3592" width="8.75" style="1" customWidth="1"/>
    <col min="3593" max="3594" width="10.125" style="1"/>
    <col min="3595" max="3595" width="10.625" style="1" bestFit="1" customWidth="1"/>
    <col min="3596" max="3840" width="10.125" style="1"/>
    <col min="3841" max="3841" width="3.125" style="1" customWidth="1"/>
    <col min="3842" max="3842" width="29.5" style="1" customWidth="1"/>
    <col min="3843" max="3843" width="8.75" style="1" customWidth="1"/>
    <col min="3844" max="3844" width="1.5" style="1" customWidth="1"/>
    <col min="3845" max="3845" width="10.75" style="1" customWidth="1"/>
    <col min="3846" max="3846" width="6.375" style="1" customWidth="1"/>
    <col min="3847" max="3847" width="6.75" style="1" customWidth="1"/>
    <col min="3848" max="3848" width="8.75" style="1" customWidth="1"/>
    <col min="3849" max="3850" width="10.125" style="1"/>
    <col min="3851" max="3851" width="10.625" style="1" bestFit="1" customWidth="1"/>
    <col min="3852" max="4096" width="10.125" style="1"/>
    <col min="4097" max="4097" width="3.125" style="1" customWidth="1"/>
    <col min="4098" max="4098" width="29.5" style="1" customWidth="1"/>
    <col min="4099" max="4099" width="8.75" style="1" customWidth="1"/>
    <col min="4100" max="4100" width="1.5" style="1" customWidth="1"/>
    <col min="4101" max="4101" width="10.75" style="1" customWidth="1"/>
    <col min="4102" max="4102" width="6.375" style="1" customWidth="1"/>
    <col min="4103" max="4103" width="6.75" style="1" customWidth="1"/>
    <col min="4104" max="4104" width="8.75" style="1" customWidth="1"/>
    <col min="4105" max="4106" width="10.125" style="1"/>
    <col min="4107" max="4107" width="10.625" style="1" bestFit="1" customWidth="1"/>
    <col min="4108" max="4352" width="10.125" style="1"/>
    <col min="4353" max="4353" width="3.125" style="1" customWidth="1"/>
    <col min="4354" max="4354" width="29.5" style="1" customWidth="1"/>
    <col min="4355" max="4355" width="8.75" style="1" customWidth="1"/>
    <col min="4356" max="4356" width="1.5" style="1" customWidth="1"/>
    <col min="4357" max="4357" width="10.75" style="1" customWidth="1"/>
    <col min="4358" max="4358" width="6.375" style="1" customWidth="1"/>
    <col min="4359" max="4359" width="6.75" style="1" customWidth="1"/>
    <col min="4360" max="4360" width="8.75" style="1" customWidth="1"/>
    <col min="4361" max="4362" width="10.125" style="1"/>
    <col min="4363" max="4363" width="10.625" style="1" bestFit="1" customWidth="1"/>
    <col min="4364" max="4608" width="10.125" style="1"/>
    <col min="4609" max="4609" width="3.125" style="1" customWidth="1"/>
    <col min="4610" max="4610" width="29.5" style="1" customWidth="1"/>
    <col min="4611" max="4611" width="8.75" style="1" customWidth="1"/>
    <col min="4612" max="4612" width="1.5" style="1" customWidth="1"/>
    <col min="4613" max="4613" width="10.75" style="1" customWidth="1"/>
    <col min="4614" max="4614" width="6.375" style="1" customWidth="1"/>
    <col min="4615" max="4615" width="6.75" style="1" customWidth="1"/>
    <col min="4616" max="4616" width="8.75" style="1" customWidth="1"/>
    <col min="4617" max="4618" width="10.125" style="1"/>
    <col min="4619" max="4619" width="10.625" style="1" bestFit="1" customWidth="1"/>
    <col min="4620" max="4864" width="10.125" style="1"/>
    <col min="4865" max="4865" width="3.125" style="1" customWidth="1"/>
    <col min="4866" max="4866" width="29.5" style="1" customWidth="1"/>
    <col min="4867" max="4867" width="8.75" style="1" customWidth="1"/>
    <col min="4868" max="4868" width="1.5" style="1" customWidth="1"/>
    <col min="4869" max="4869" width="10.75" style="1" customWidth="1"/>
    <col min="4870" max="4870" width="6.375" style="1" customWidth="1"/>
    <col min="4871" max="4871" width="6.75" style="1" customWidth="1"/>
    <col min="4872" max="4872" width="8.75" style="1" customWidth="1"/>
    <col min="4873" max="4874" width="10.125" style="1"/>
    <col min="4875" max="4875" width="10.625" style="1" bestFit="1" customWidth="1"/>
    <col min="4876" max="5120" width="10.125" style="1"/>
    <col min="5121" max="5121" width="3.125" style="1" customWidth="1"/>
    <col min="5122" max="5122" width="29.5" style="1" customWidth="1"/>
    <col min="5123" max="5123" width="8.75" style="1" customWidth="1"/>
    <col min="5124" max="5124" width="1.5" style="1" customWidth="1"/>
    <col min="5125" max="5125" width="10.75" style="1" customWidth="1"/>
    <col min="5126" max="5126" width="6.375" style="1" customWidth="1"/>
    <col min="5127" max="5127" width="6.75" style="1" customWidth="1"/>
    <col min="5128" max="5128" width="8.75" style="1" customWidth="1"/>
    <col min="5129" max="5130" width="10.125" style="1"/>
    <col min="5131" max="5131" width="10.625" style="1" bestFit="1" customWidth="1"/>
    <col min="5132" max="5376" width="10.125" style="1"/>
    <col min="5377" max="5377" width="3.125" style="1" customWidth="1"/>
    <col min="5378" max="5378" width="29.5" style="1" customWidth="1"/>
    <col min="5379" max="5379" width="8.75" style="1" customWidth="1"/>
    <col min="5380" max="5380" width="1.5" style="1" customWidth="1"/>
    <col min="5381" max="5381" width="10.75" style="1" customWidth="1"/>
    <col min="5382" max="5382" width="6.375" style="1" customWidth="1"/>
    <col min="5383" max="5383" width="6.75" style="1" customWidth="1"/>
    <col min="5384" max="5384" width="8.75" style="1" customWidth="1"/>
    <col min="5385" max="5386" width="10.125" style="1"/>
    <col min="5387" max="5387" width="10.625" style="1" bestFit="1" customWidth="1"/>
    <col min="5388" max="5632" width="10.125" style="1"/>
    <col min="5633" max="5633" width="3.125" style="1" customWidth="1"/>
    <col min="5634" max="5634" width="29.5" style="1" customWidth="1"/>
    <col min="5635" max="5635" width="8.75" style="1" customWidth="1"/>
    <col min="5636" max="5636" width="1.5" style="1" customWidth="1"/>
    <col min="5637" max="5637" width="10.75" style="1" customWidth="1"/>
    <col min="5638" max="5638" width="6.375" style="1" customWidth="1"/>
    <col min="5639" max="5639" width="6.75" style="1" customWidth="1"/>
    <col min="5640" max="5640" width="8.75" style="1" customWidth="1"/>
    <col min="5641" max="5642" width="10.125" style="1"/>
    <col min="5643" max="5643" width="10.625" style="1" bestFit="1" customWidth="1"/>
    <col min="5644" max="5888" width="10.125" style="1"/>
    <col min="5889" max="5889" width="3.125" style="1" customWidth="1"/>
    <col min="5890" max="5890" width="29.5" style="1" customWidth="1"/>
    <col min="5891" max="5891" width="8.75" style="1" customWidth="1"/>
    <col min="5892" max="5892" width="1.5" style="1" customWidth="1"/>
    <col min="5893" max="5893" width="10.75" style="1" customWidth="1"/>
    <col min="5894" max="5894" width="6.375" style="1" customWidth="1"/>
    <col min="5895" max="5895" width="6.75" style="1" customWidth="1"/>
    <col min="5896" max="5896" width="8.75" style="1" customWidth="1"/>
    <col min="5897" max="5898" width="10.125" style="1"/>
    <col min="5899" max="5899" width="10.625" style="1" bestFit="1" customWidth="1"/>
    <col min="5900" max="6144" width="10.125" style="1"/>
    <col min="6145" max="6145" width="3.125" style="1" customWidth="1"/>
    <col min="6146" max="6146" width="29.5" style="1" customWidth="1"/>
    <col min="6147" max="6147" width="8.75" style="1" customWidth="1"/>
    <col min="6148" max="6148" width="1.5" style="1" customWidth="1"/>
    <col min="6149" max="6149" width="10.75" style="1" customWidth="1"/>
    <col min="6150" max="6150" width="6.375" style="1" customWidth="1"/>
    <col min="6151" max="6151" width="6.75" style="1" customWidth="1"/>
    <col min="6152" max="6152" width="8.75" style="1" customWidth="1"/>
    <col min="6153" max="6154" width="10.125" style="1"/>
    <col min="6155" max="6155" width="10.625" style="1" bestFit="1" customWidth="1"/>
    <col min="6156" max="6400" width="10.125" style="1"/>
    <col min="6401" max="6401" width="3.125" style="1" customWidth="1"/>
    <col min="6402" max="6402" width="29.5" style="1" customWidth="1"/>
    <col min="6403" max="6403" width="8.75" style="1" customWidth="1"/>
    <col min="6404" max="6404" width="1.5" style="1" customWidth="1"/>
    <col min="6405" max="6405" width="10.75" style="1" customWidth="1"/>
    <col min="6406" max="6406" width="6.375" style="1" customWidth="1"/>
    <col min="6407" max="6407" width="6.75" style="1" customWidth="1"/>
    <col min="6408" max="6408" width="8.75" style="1" customWidth="1"/>
    <col min="6409" max="6410" width="10.125" style="1"/>
    <col min="6411" max="6411" width="10.625" style="1" bestFit="1" customWidth="1"/>
    <col min="6412" max="6656" width="10.125" style="1"/>
    <col min="6657" max="6657" width="3.125" style="1" customWidth="1"/>
    <col min="6658" max="6658" width="29.5" style="1" customWidth="1"/>
    <col min="6659" max="6659" width="8.75" style="1" customWidth="1"/>
    <col min="6660" max="6660" width="1.5" style="1" customWidth="1"/>
    <col min="6661" max="6661" width="10.75" style="1" customWidth="1"/>
    <col min="6662" max="6662" width="6.375" style="1" customWidth="1"/>
    <col min="6663" max="6663" width="6.75" style="1" customWidth="1"/>
    <col min="6664" max="6664" width="8.75" style="1" customWidth="1"/>
    <col min="6665" max="6666" width="10.125" style="1"/>
    <col min="6667" max="6667" width="10.625" style="1" bestFit="1" customWidth="1"/>
    <col min="6668" max="6912" width="10.125" style="1"/>
    <col min="6913" max="6913" width="3.125" style="1" customWidth="1"/>
    <col min="6914" max="6914" width="29.5" style="1" customWidth="1"/>
    <col min="6915" max="6915" width="8.75" style="1" customWidth="1"/>
    <col min="6916" max="6916" width="1.5" style="1" customWidth="1"/>
    <col min="6917" max="6917" width="10.75" style="1" customWidth="1"/>
    <col min="6918" max="6918" width="6.375" style="1" customWidth="1"/>
    <col min="6919" max="6919" width="6.75" style="1" customWidth="1"/>
    <col min="6920" max="6920" width="8.75" style="1" customWidth="1"/>
    <col min="6921" max="6922" width="10.125" style="1"/>
    <col min="6923" max="6923" width="10.625" style="1" bestFit="1" customWidth="1"/>
    <col min="6924" max="7168" width="10.125" style="1"/>
    <col min="7169" max="7169" width="3.125" style="1" customWidth="1"/>
    <col min="7170" max="7170" width="29.5" style="1" customWidth="1"/>
    <col min="7171" max="7171" width="8.75" style="1" customWidth="1"/>
    <col min="7172" max="7172" width="1.5" style="1" customWidth="1"/>
    <col min="7173" max="7173" width="10.75" style="1" customWidth="1"/>
    <col min="7174" max="7174" width="6.375" style="1" customWidth="1"/>
    <col min="7175" max="7175" width="6.75" style="1" customWidth="1"/>
    <col min="7176" max="7176" width="8.75" style="1" customWidth="1"/>
    <col min="7177" max="7178" width="10.125" style="1"/>
    <col min="7179" max="7179" width="10.625" style="1" bestFit="1" customWidth="1"/>
    <col min="7180" max="7424" width="10.125" style="1"/>
    <col min="7425" max="7425" width="3.125" style="1" customWidth="1"/>
    <col min="7426" max="7426" width="29.5" style="1" customWidth="1"/>
    <col min="7427" max="7427" width="8.75" style="1" customWidth="1"/>
    <col min="7428" max="7428" width="1.5" style="1" customWidth="1"/>
    <col min="7429" max="7429" width="10.75" style="1" customWidth="1"/>
    <col min="7430" max="7430" width="6.375" style="1" customWidth="1"/>
    <col min="7431" max="7431" width="6.75" style="1" customWidth="1"/>
    <col min="7432" max="7432" width="8.75" style="1" customWidth="1"/>
    <col min="7433" max="7434" width="10.125" style="1"/>
    <col min="7435" max="7435" width="10.625" style="1" bestFit="1" customWidth="1"/>
    <col min="7436" max="7680" width="10.125" style="1"/>
    <col min="7681" max="7681" width="3.125" style="1" customWidth="1"/>
    <col min="7682" max="7682" width="29.5" style="1" customWidth="1"/>
    <col min="7683" max="7683" width="8.75" style="1" customWidth="1"/>
    <col min="7684" max="7684" width="1.5" style="1" customWidth="1"/>
    <col min="7685" max="7685" width="10.75" style="1" customWidth="1"/>
    <col min="7686" max="7686" width="6.375" style="1" customWidth="1"/>
    <col min="7687" max="7687" width="6.75" style="1" customWidth="1"/>
    <col min="7688" max="7688" width="8.75" style="1" customWidth="1"/>
    <col min="7689" max="7690" width="10.125" style="1"/>
    <col min="7691" max="7691" width="10.625" style="1" bestFit="1" customWidth="1"/>
    <col min="7692" max="7936" width="10.125" style="1"/>
    <col min="7937" max="7937" width="3.125" style="1" customWidth="1"/>
    <col min="7938" max="7938" width="29.5" style="1" customWidth="1"/>
    <col min="7939" max="7939" width="8.75" style="1" customWidth="1"/>
    <col min="7940" max="7940" width="1.5" style="1" customWidth="1"/>
    <col min="7941" max="7941" width="10.75" style="1" customWidth="1"/>
    <col min="7942" max="7942" width="6.375" style="1" customWidth="1"/>
    <col min="7943" max="7943" width="6.75" style="1" customWidth="1"/>
    <col min="7944" max="7944" width="8.75" style="1" customWidth="1"/>
    <col min="7945" max="7946" width="10.125" style="1"/>
    <col min="7947" max="7947" width="10.625" style="1" bestFit="1" customWidth="1"/>
    <col min="7948" max="8192" width="10.125" style="1"/>
    <col min="8193" max="8193" width="3.125" style="1" customWidth="1"/>
    <col min="8194" max="8194" width="29.5" style="1" customWidth="1"/>
    <col min="8195" max="8195" width="8.75" style="1" customWidth="1"/>
    <col min="8196" max="8196" width="1.5" style="1" customWidth="1"/>
    <col min="8197" max="8197" width="10.75" style="1" customWidth="1"/>
    <col min="8198" max="8198" width="6.375" style="1" customWidth="1"/>
    <col min="8199" max="8199" width="6.75" style="1" customWidth="1"/>
    <col min="8200" max="8200" width="8.75" style="1" customWidth="1"/>
    <col min="8201" max="8202" width="10.125" style="1"/>
    <col min="8203" max="8203" width="10.625" style="1" bestFit="1" customWidth="1"/>
    <col min="8204" max="8448" width="10.125" style="1"/>
    <col min="8449" max="8449" width="3.125" style="1" customWidth="1"/>
    <col min="8450" max="8450" width="29.5" style="1" customWidth="1"/>
    <col min="8451" max="8451" width="8.75" style="1" customWidth="1"/>
    <col min="8452" max="8452" width="1.5" style="1" customWidth="1"/>
    <col min="8453" max="8453" width="10.75" style="1" customWidth="1"/>
    <col min="8454" max="8454" width="6.375" style="1" customWidth="1"/>
    <col min="8455" max="8455" width="6.75" style="1" customWidth="1"/>
    <col min="8456" max="8456" width="8.75" style="1" customWidth="1"/>
    <col min="8457" max="8458" width="10.125" style="1"/>
    <col min="8459" max="8459" width="10.625" style="1" bestFit="1" customWidth="1"/>
    <col min="8460" max="8704" width="10.125" style="1"/>
    <col min="8705" max="8705" width="3.125" style="1" customWidth="1"/>
    <col min="8706" max="8706" width="29.5" style="1" customWidth="1"/>
    <col min="8707" max="8707" width="8.75" style="1" customWidth="1"/>
    <col min="8708" max="8708" width="1.5" style="1" customWidth="1"/>
    <col min="8709" max="8709" width="10.75" style="1" customWidth="1"/>
    <col min="8710" max="8710" width="6.375" style="1" customWidth="1"/>
    <col min="8711" max="8711" width="6.75" style="1" customWidth="1"/>
    <col min="8712" max="8712" width="8.75" style="1" customWidth="1"/>
    <col min="8713" max="8714" width="10.125" style="1"/>
    <col min="8715" max="8715" width="10.625" style="1" bestFit="1" customWidth="1"/>
    <col min="8716" max="8960" width="10.125" style="1"/>
    <col min="8961" max="8961" width="3.125" style="1" customWidth="1"/>
    <col min="8962" max="8962" width="29.5" style="1" customWidth="1"/>
    <col min="8963" max="8963" width="8.75" style="1" customWidth="1"/>
    <col min="8964" max="8964" width="1.5" style="1" customWidth="1"/>
    <col min="8965" max="8965" width="10.75" style="1" customWidth="1"/>
    <col min="8966" max="8966" width="6.375" style="1" customWidth="1"/>
    <col min="8967" max="8967" width="6.75" style="1" customWidth="1"/>
    <col min="8968" max="8968" width="8.75" style="1" customWidth="1"/>
    <col min="8969" max="8970" width="10.125" style="1"/>
    <col min="8971" max="8971" width="10.625" style="1" bestFit="1" customWidth="1"/>
    <col min="8972" max="9216" width="10.125" style="1"/>
    <col min="9217" max="9217" width="3.125" style="1" customWidth="1"/>
    <col min="9218" max="9218" width="29.5" style="1" customWidth="1"/>
    <col min="9219" max="9219" width="8.75" style="1" customWidth="1"/>
    <col min="9220" max="9220" width="1.5" style="1" customWidth="1"/>
    <col min="9221" max="9221" width="10.75" style="1" customWidth="1"/>
    <col min="9222" max="9222" width="6.375" style="1" customWidth="1"/>
    <col min="9223" max="9223" width="6.75" style="1" customWidth="1"/>
    <col min="9224" max="9224" width="8.75" style="1" customWidth="1"/>
    <col min="9225" max="9226" width="10.125" style="1"/>
    <col min="9227" max="9227" width="10.625" style="1" bestFit="1" customWidth="1"/>
    <col min="9228" max="9472" width="10.125" style="1"/>
    <col min="9473" max="9473" width="3.125" style="1" customWidth="1"/>
    <col min="9474" max="9474" width="29.5" style="1" customWidth="1"/>
    <col min="9475" max="9475" width="8.75" style="1" customWidth="1"/>
    <col min="9476" max="9476" width="1.5" style="1" customWidth="1"/>
    <col min="9477" max="9477" width="10.75" style="1" customWidth="1"/>
    <col min="9478" max="9478" width="6.375" style="1" customWidth="1"/>
    <col min="9479" max="9479" width="6.75" style="1" customWidth="1"/>
    <col min="9480" max="9480" width="8.75" style="1" customWidth="1"/>
    <col min="9481" max="9482" width="10.125" style="1"/>
    <col min="9483" max="9483" width="10.625" style="1" bestFit="1" customWidth="1"/>
    <col min="9484" max="9728" width="10.125" style="1"/>
    <col min="9729" max="9729" width="3.125" style="1" customWidth="1"/>
    <col min="9730" max="9730" width="29.5" style="1" customWidth="1"/>
    <col min="9731" max="9731" width="8.75" style="1" customWidth="1"/>
    <col min="9732" max="9732" width="1.5" style="1" customWidth="1"/>
    <col min="9733" max="9733" width="10.75" style="1" customWidth="1"/>
    <col min="9734" max="9734" width="6.375" style="1" customWidth="1"/>
    <col min="9735" max="9735" width="6.75" style="1" customWidth="1"/>
    <col min="9736" max="9736" width="8.75" style="1" customWidth="1"/>
    <col min="9737" max="9738" width="10.125" style="1"/>
    <col min="9739" max="9739" width="10.625" style="1" bestFit="1" customWidth="1"/>
    <col min="9740" max="9984" width="10.125" style="1"/>
    <col min="9985" max="9985" width="3.125" style="1" customWidth="1"/>
    <col min="9986" max="9986" width="29.5" style="1" customWidth="1"/>
    <col min="9987" max="9987" width="8.75" style="1" customWidth="1"/>
    <col min="9988" max="9988" width="1.5" style="1" customWidth="1"/>
    <col min="9989" max="9989" width="10.75" style="1" customWidth="1"/>
    <col min="9990" max="9990" width="6.375" style="1" customWidth="1"/>
    <col min="9991" max="9991" width="6.75" style="1" customWidth="1"/>
    <col min="9992" max="9992" width="8.75" style="1" customWidth="1"/>
    <col min="9993" max="9994" width="10.125" style="1"/>
    <col min="9995" max="9995" width="10.625" style="1" bestFit="1" customWidth="1"/>
    <col min="9996" max="10240" width="10.125" style="1"/>
    <col min="10241" max="10241" width="3.125" style="1" customWidth="1"/>
    <col min="10242" max="10242" width="29.5" style="1" customWidth="1"/>
    <col min="10243" max="10243" width="8.75" style="1" customWidth="1"/>
    <col min="10244" max="10244" width="1.5" style="1" customWidth="1"/>
    <col min="10245" max="10245" width="10.75" style="1" customWidth="1"/>
    <col min="10246" max="10246" width="6.375" style="1" customWidth="1"/>
    <col min="10247" max="10247" width="6.75" style="1" customWidth="1"/>
    <col min="10248" max="10248" width="8.75" style="1" customWidth="1"/>
    <col min="10249" max="10250" width="10.125" style="1"/>
    <col min="10251" max="10251" width="10.625" style="1" bestFit="1" customWidth="1"/>
    <col min="10252" max="10496" width="10.125" style="1"/>
    <col min="10497" max="10497" width="3.125" style="1" customWidth="1"/>
    <col min="10498" max="10498" width="29.5" style="1" customWidth="1"/>
    <col min="10499" max="10499" width="8.75" style="1" customWidth="1"/>
    <col min="10500" max="10500" width="1.5" style="1" customWidth="1"/>
    <col min="10501" max="10501" width="10.75" style="1" customWidth="1"/>
    <col min="10502" max="10502" width="6.375" style="1" customWidth="1"/>
    <col min="10503" max="10503" width="6.75" style="1" customWidth="1"/>
    <col min="10504" max="10504" width="8.75" style="1" customWidth="1"/>
    <col min="10505" max="10506" width="10.125" style="1"/>
    <col min="10507" max="10507" width="10.625" style="1" bestFit="1" customWidth="1"/>
    <col min="10508" max="10752" width="10.125" style="1"/>
    <col min="10753" max="10753" width="3.125" style="1" customWidth="1"/>
    <col min="10754" max="10754" width="29.5" style="1" customWidth="1"/>
    <col min="10755" max="10755" width="8.75" style="1" customWidth="1"/>
    <col min="10756" max="10756" width="1.5" style="1" customWidth="1"/>
    <col min="10757" max="10757" width="10.75" style="1" customWidth="1"/>
    <col min="10758" max="10758" width="6.375" style="1" customWidth="1"/>
    <col min="10759" max="10759" width="6.75" style="1" customWidth="1"/>
    <col min="10760" max="10760" width="8.75" style="1" customWidth="1"/>
    <col min="10761" max="10762" width="10.125" style="1"/>
    <col min="10763" max="10763" width="10.625" style="1" bestFit="1" customWidth="1"/>
    <col min="10764" max="11008" width="10.125" style="1"/>
    <col min="11009" max="11009" width="3.125" style="1" customWidth="1"/>
    <col min="11010" max="11010" width="29.5" style="1" customWidth="1"/>
    <col min="11011" max="11011" width="8.75" style="1" customWidth="1"/>
    <col min="11012" max="11012" width="1.5" style="1" customWidth="1"/>
    <col min="11013" max="11013" width="10.75" style="1" customWidth="1"/>
    <col min="11014" max="11014" width="6.375" style="1" customWidth="1"/>
    <col min="11015" max="11015" width="6.75" style="1" customWidth="1"/>
    <col min="11016" max="11016" width="8.75" style="1" customWidth="1"/>
    <col min="11017" max="11018" width="10.125" style="1"/>
    <col min="11019" max="11019" width="10.625" style="1" bestFit="1" customWidth="1"/>
    <col min="11020" max="11264" width="10.125" style="1"/>
    <col min="11265" max="11265" width="3.125" style="1" customWidth="1"/>
    <col min="11266" max="11266" width="29.5" style="1" customWidth="1"/>
    <col min="11267" max="11267" width="8.75" style="1" customWidth="1"/>
    <col min="11268" max="11268" width="1.5" style="1" customWidth="1"/>
    <col min="11269" max="11269" width="10.75" style="1" customWidth="1"/>
    <col min="11270" max="11270" width="6.375" style="1" customWidth="1"/>
    <col min="11271" max="11271" width="6.75" style="1" customWidth="1"/>
    <col min="11272" max="11272" width="8.75" style="1" customWidth="1"/>
    <col min="11273" max="11274" width="10.125" style="1"/>
    <col min="11275" max="11275" width="10.625" style="1" bestFit="1" customWidth="1"/>
    <col min="11276" max="11520" width="10.125" style="1"/>
    <col min="11521" max="11521" width="3.125" style="1" customWidth="1"/>
    <col min="11522" max="11522" width="29.5" style="1" customWidth="1"/>
    <col min="11523" max="11523" width="8.75" style="1" customWidth="1"/>
    <col min="11524" max="11524" width="1.5" style="1" customWidth="1"/>
    <col min="11525" max="11525" width="10.75" style="1" customWidth="1"/>
    <col min="11526" max="11526" width="6.375" style="1" customWidth="1"/>
    <col min="11527" max="11527" width="6.75" style="1" customWidth="1"/>
    <col min="11528" max="11528" width="8.75" style="1" customWidth="1"/>
    <col min="11529" max="11530" width="10.125" style="1"/>
    <col min="11531" max="11531" width="10.625" style="1" bestFit="1" customWidth="1"/>
    <col min="11532" max="11776" width="10.125" style="1"/>
    <col min="11777" max="11777" width="3.125" style="1" customWidth="1"/>
    <col min="11778" max="11778" width="29.5" style="1" customWidth="1"/>
    <col min="11779" max="11779" width="8.75" style="1" customWidth="1"/>
    <col min="11780" max="11780" width="1.5" style="1" customWidth="1"/>
    <col min="11781" max="11781" width="10.75" style="1" customWidth="1"/>
    <col min="11782" max="11782" width="6.375" style="1" customWidth="1"/>
    <col min="11783" max="11783" width="6.75" style="1" customWidth="1"/>
    <col min="11784" max="11784" width="8.75" style="1" customWidth="1"/>
    <col min="11785" max="11786" width="10.125" style="1"/>
    <col min="11787" max="11787" width="10.625" style="1" bestFit="1" customWidth="1"/>
    <col min="11788" max="12032" width="10.125" style="1"/>
    <col min="12033" max="12033" width="3.125" style="1" customWidth="1"/>
    <col min="12034" max="12034" width="29.5" style="1" customWidth="1"/>
    <col min="12035" max="12035" width="8.75" style="1" customWidth="1"/>
    <col min="12036" max="12036" width="1.5" style="1" customWidth="1"/>
    <col min="12037" max="12037" width="10.75" style="1" customWidth="1"/>
    <col min="12038" max="12038" width="6.375" style="1" customWidth="1"/>
    <col min="12039" max="12039" width="6.75" style="1" customWidth="1"/>
    <col min="12040" max="12040" width="8.75" style="1" customWidth="1"/>
    <col min="12041" max="12042" width="10.125" style="1"/>
    <col min="12043" max="12043" width="10.625" style="1" bestFit="1" customWidth="1"/>
    <col min="12044" max="12288" width="10.125" style="1"/>
    <col min="12289" max="12289" width="3.125" style="1" customWidth="1"/>
    <col min="12290" max="12290" width="29.5" style="1" customWidth="1"/>
    <col min="12291" max="12291" width="8.75" style="1" customWidth="1"/>
    <col min="12292" max="12292" width="1.5" style="1" customWidth="1"/>
    <col min="12293" max="12293" width="10.75" style="1" customWidth="1"/>
    <col min="12294" max="12294" width="6.375" style="1" customWidth="1"/>
    <col min="12295" max="12295" width="6.75" style="1" customWidth="1"/>
    <col min="12296" max="12296" width="8.75" style="1" customWidth="1"/>
    <col min="12297" max="12298" width="10.125" style="1"/>
    <col min="12299" max="12299" width="10.625" style="1" bestFit="1" customWidth="1"/>
    <col min="12300" max="12544" width="10.125" style="1"/>
    <col min="12545" max="12545" width="3.125" style="1" customWidth="1"/>
    <col min="12546" max="12546" width="29.5" style="1" customWidth="1"/>
    <col min="12547" max="12547" width="8.75" style="1" customWidth="1"/>
    <col min="12548" max="12548" width="1.5" style="1" customWidth="1"/>
    <col min="12549" max="12549" width="10.75" style="1" customWidth="1"/>
    <col min="12550" max="12550" width="6.375" style="1" customWidth="1"/>
    <col min="12551" max="12551" width="6.75" style="1" customWidth="1"/>
    <col min="12552" max="12552" width="8.75" style="1" customWidth="1"/>
    <col min="12553" max="12554" width="10.125" style="1"/>
    <col min="12555" max="12555" width="10.625" style="1" bestFit="1" customWidth="1"/>
    <col min="12556" max="12800" width="10.125" style="1"/>
    <col min="12801" max="12801" width="3.125" style="1" customWidth="1"/>
    <col min="12802" max="12802" width="29.5" style="1" customWidth="1"/>
    <col min="12803" max="12803" width="8.75" style="1" customWidth="1"/>
    <col min="12804" max="12804" width="1.5" style="1" customWidth="1"/>
    <col min="12805" max="12805" width="10.75" style="1" customWidth="1"/>
    <col min="12806" max="12806" width="6.375" style="1" customWidth="1"/>
    <col min="12807" max="12807" width="6.75" style="1" customWidth="1"/>
    <col min="12808" max="12808" width="8.75" style="1" customWidth="1"/>
    <col min="12809" max="12810" width="10.125" style="1"/>
    <col min="12811" max="12811" width="10.625" style="1" bestFit="1" customWidth="1"/>
    <col min="12812" max="13056" width="10.125" style="1"/>
    <col min="13057" max="13057" width="3.125" style="1" customWidth="1"/>
    <col min="13058" max="13058" width="29.5" style="1" customWidth="1"/>
    <col min="13059" max="13059" width="8.75" style="1" customWidth="1"/>
    <col min="13060" max="13060" width="1.5" style="1" customWidth="1"/>
    <col min="13061" max="13061" width="10.75" style="1" customWidth="1"/>
    <col min="13062" max="13062" width="6.375" style="1" customWidth="1"/>
    <col min="13063" max="13063" width="6.75" style="1" customWidth="1"/>
    <col min="13064" max="13064" width="8.75" style="1" customWidth="1"/>
    <col min="13065" max="13066" width="10.125" style="1"/>
    <col min="13067" max="13067" width="10.625" style="1" bestFit="1" customWidth="1"/>
    <col min="13068" max="13312" width="10.125" style="1"/>
    <col min="13313" max="13313" width="3.125" style="1" customWidth="1"/>
    <col min="13314" max="13314" width="29.5" style="1" customWidth="1"/>
    <col min="13315" max="13315" width="8.75" style="1" customWidth="1"/>
    <col min="13316" max="13316" width="1.5" style="1" customWidth="1"/>
    <col min="13317" max="13317" width="10.75" style="1" customWidth="1"/>
    <col min="13318" max="13318" width="6.375" style="1" customWidth="1"/>
    <col min="13319" max="13319" width="6.75" style="1" customWidth="1"/>
    <col min="13320" max="13320" width="8.75" style="1" customWidth="1"/>
    <col min="13321" max="13322" width="10.125" style="1"/>
    <col min="13323" max="13323" width="10.625" style="1" bestFit="1" customWidth="1"/>
    <col min="13324" max="13568" width="10.125" style="1"/>
    <col min="13569" max="13569" width="3.125" style="1" customWidth="1"/>
    <col min="13570" max="13570" width="29.5" style="1" customWidth="1"/>
    <col min="13571" max="13571" width="8.75" style="1" customWidth="1"/>
    <col min="13572" max="13572" width="1.5" style="1" customWidth="1"/>
    <col min="13573" max="13573" width="10.75" style="1" customWidth="1"/>
    <col min="13574" max="13574" width="6.375" style="1" customWidth="1"/>
    <col min="13575" max="13575" width="6.75" style="1" customWidth="1"/>
    <col min="13576" max="13576" width="8.75" style="1" customWidth="1"/>
    <col min="13577" max="13578" width="10.125" style="1"/>
    <col min="13579" max="13579" width="10.625" style="1" bestFit="1" customWidth="1"/>
    <col min="13580" max="13824" width="10.125" style="1"/>
    <col min="13825" max="13825" width="3.125" style="1" customWidth="1"/>
    <col min="13826" max="13826" width="29.5" style="1" customWidth="1"/>
    <col min="13827" max="13827" width="8.75" style="1" customWidth="1"/>
    <col min="13828" max="13828" width="1.5" style="1" customWidth="1"/>
    <col min="13829" max="13829" width="10.75" style="1" customWidth="1"/>
    <col min="13830" max="13830" width="6.375" style="1" customWidth="1"/>
    <col min="13831" max="13831" width="6.75" style="1" customWidth="1"/>
    <col min="13832" max="13832" width="8.75" style="1" customWidth="1"/>
    <col min="13833" max="13834" width="10.125" style="1"/>
    <col min="13835" max="13835" width="10.625" style="1" bestFit="1" customWidth="1"/>
    <col min="13836" max="14080" width="10.125" style="1"/>
    <col min="14081" max="14081" width="3.125" style="1" customWidth="1"/>
    <col min="14082" max="14082" width="29.5" style="1" customWidth="1"/>
    <col min="14083" max="14083" width="8.75" style="1" customWidth="1"/>
    <col min="14084" max="14084" width="1.5" style="1" customWidth="1"/>
    <col min="14085" max="14085" width="10.75" style="1" customWidth="1"/>
    <col min="14086" max="14086" width="6.375" style="1" customWidth="1"/>
    <col min="14087" max="14087" width="6.75" style="1" customWidth="1"/>
    <col min="14088" max="14088" width="8.75" style="1" customWidth="1"/>
    <col min="14089" max="14090" width="10.125" style="1"/>
    <col min="14091" max="14091" width="10.625" style="1" bestFit="1" customWidth="1"/>
    <col min="14092" max="14336" width="10.125" style="1"/>
    <col min="14337" max="14337" width="3.125" style="1" customWidth="1"/>
    <col min="14338" max="14338" width="29.5" style="1" customWidth="1"/>
    <col min="14339" max="14339" width="8.75" style="1" customWidth="1"/>
    <col min="14340" max="14340" width="1.5" style="1" customWidth="1"/>
    <col min="14341" max="14341" width="10.75" style="1" customWidth="1"/>
    <col min="14342" max="14342" width="6.375" style="1" customWidth="1"/>
    <col min="14343" max="14343" width="6.75" style="1" customWidth="1"/>
    <col min="14344" max="14344" width="8.75" style="1" customWidth="1"/>
    <col min="14345" max="14346" width="10.125" style="1"/>
    <col min="14347" max="14347" width="10.625" style="1" bestFit="1" customWidth="1"/>
    <col min="14348" max="14592" width="10.125" style="1"/>
    <col min="14593" max="14593" width="3.125" style="1" customWidth="1"/>
    <col min="14594" max="14594" width="29.5" style="1" customWidth="1"/>
    <col min="14595" max="14595" width="8.75" style="1" customWidth="1"/>
    <col min="14596" max="14596" width="1.5" style="1" customWidth="1"/>
    <col min="14597" max="14597" width="10.75" style="1" customWidth="1"/>
    <col min="14598" max="14598" width="6.375" style="1" customWidth="1"/>
    <col min="14599" max="14599" width="6.75" style="1" customWidth="1"/>
    <col min="14600" max="14600" width="8.75" style="1" customWidth="1"/>
    <col min="14601" max="14602" width="10.125" style="1"/>
    <col min="14603" max="14603" width="10.625" style="1" bestFit="1" customWidth="1"/>
    <col min="14604" max="14848" width="10.125" style="1"/>
    <col min="14849" max="14849" width="3.125" style="1" customWidth="1"/>
    <col min="14850" max="14850" width="29.5" style="1" customWidth="1"/>
    <col min="14851" max="14851" width="8.75" style="1" customWidth="1"/>
    <col min="14852" max="14852" width="1.5" style="1" customWidth="1"/>
    <col min="14853" max="14853" width="10.75" style="1" customWidth="1"/>
    <col min="14854" max="14854" width="6.375" style="1" customWidth="1"/>
    <col min="14855" max="14855" width="6.75" style="1" customWidth="1"/>
    <col min="14856" max="14856" width="8.75" style="1" customWidth="1"/>
    <col min="14857" max="14858" width="10.125" style="1"/>
    <col min="14859" max="14859" width="10.625" style="1" bestFit="1" customWidth="1"/>
    <col min="14860" max="15104" width="10.125" style="1"/>
    <col min="15105" max="15105" width="3.125" style="1" customWidth="1"/>
    <col min="15106" max="15106" width="29.5" style="1" customWidth="1"/>
    <col min="15107" max="15107" width="8.75" style="1" customWidth="1"/>
    <col min="15108" max="15108" width="1.5" style="1" customWidth="1"/>
    <col min="15109" max="15109" width="10.75" style="1" customWidth="1"/>
    <col min="15110" max="15110" width="6.375" style="1" customWidth="1"/>
    <col min="15111" max="15111" width="6.75" style="1" customWidth="1"/>
    <col min="15112" max="15112" width="8.75" style="1" customWidth="1"/>
    <col min="15113" max="15114" width="10.125" style="1"/>
    <col min="15115" max="15115" width="10.625" style="1" bestFit="1" customWidth="1"/>
    <col min="15116" max="15360" width="10.125" style="1"/>
    <col min="15361" max="15361" width="3.125" style="1" customWidth="1"/>
    <col min="15362" max="15362" width="29.5" style="1" customWidth="1"/>
    <col min="15363" max="15363" width="8.75" style="1" customWidth="1"/>
    <col min="15364" max="15364" width="1.5" style="1" customWidth="1"/>
    <col min="15365" max="15365" width="10.75" style="1" customWidth="1"/>
    <col min="15366" max="15366" width="6.375" style="1" customWidth="1"/>
    <col min="15367" max="15367" width="6.75" style="1" customWidth="1"/>
    <col min="15368" max="15368" width="8.75" style="1" customWidth="1"/>
    <col min="15369" max="15370" width="10.125" style="1"/>
    <col min="15371" max="15371" width="10.625" style="1" bestFit="1" customWidth="1"/>
    <col min="15372" max="15616" width="10.125" style="1"/>
    <col min="15617" max="15617" width="3.125" style="1" customWidth="1"/>
    <col min="15618" max="15618" width="29.5" style="1" customWidth="1"/>
    <col min="15619" max="15619" width="8.75" style="1" customWidth="1"/>
    <col min="15620" max="15620" width="1.5" style="1" customWidth="1"/>
    <col min="15621" max="15621" width="10.75" style="1" customWidth="1"/>
    <col min="15622" max="15622" width="6.375" style="1" customWidth="1"/>
    <col min="15623" max="15623" width="6.75" style="1" customWidth="1"/>
    <col min="15624" max="15624" width="8.75" style="1" customWidth="1"/>
    <col min="15625" max="15626" width="10.125" style="1"/>
    <col min="15627" max="15627" width="10.625" style="1" bestFit="1" customWidth="1"/>
    <col min="15628" max="15872" width="10.125" style="1"/>
    <col min="15873" max="15873" width="3.125" style="1" customWidth="1"/>
    <col min="15874" max="15874" width="29.5" style="1" customWidth="1"/>
    <col min="15875" max="15875" width="8.75" style="1" customWidth="1"/>
    <col min="15876" max="15876" width="1.5" style="1" customWidth="1"/>
    <col min="15877" max="15877" width="10.75" style="1" customWidth="1"/>
    <col min="15878" max="15878" width="6.375" style="1" customWidth="1"/>
    <col min="15879" max="15879" width="6.75" style="1" customWidth="1"/>
    <col min="15880" max="15880" width="8.75" style="1" customWidth="1"/>
    <col min="15881" max="15882" width="10.125" style="1"/>
    <col min="15883" max="15883" width="10.625" style="1" bestFit="1" customWidth="1"/>
    <col min="15884" max="16128" width="10.125" style="1"/>
    <col min="16129" max="16129" width="3.125" style="1" customWidth="1"/>
    <col min="16130" max="16130" width="29.5" style="1" customWidth="1"/>
    <col min="16131" max="16131" width="8.75" style="1" customWidth="1"/>
    <col min="16132" max="16132" width="1.5" style="1" customWidth="1"/>
    <col min="16133" max="16133" width="10.75" style="1" customWidth="1"/>
    <col min="16134" max="16134" width="6.375" style="1" customWidth="1"/>
    <col min="16135" max="16135" width="6.75" style="1" customWidth="1"/>
    <col min="16136" max="16136" width="8.75" style="1" customWidth="1"/>
    <col min="16137" max="16138" width="10.125" style="1"/>
    <col min="16139" max="16139" width="10.625" style="1" bestFit="1" customWidth="1"/>
    <col min="16140" max="16384" width="10.125" style="1"/>
  </cols>
  <sheetData>
    <row r="5" spans="1:12" x14ac:dyDescent="0.25">
      <c r="A5" s="4" t="s">
        <v>0</v>
      </c>
      <c r="B5" s="5"/>
      <c r="C5" s="5"/>
    </row>
    <row r="6" spans="1:12" ht="9" customHeight="1" x14ac:dyDescent="0.25">
      <c r="A6" s="4"/>
      <c r="B6" s="5"/>
      <c r="C6" s="5"/>
    </row>
    <row r="7" spans="1:12" s="7" customFormat="1" ht="15" x14ac:dyDescent="0.25">
      <c r="A7" s="7" t="s">
        <v>1</v>
      </c>
      <c r="B7" s="8"/>
      <c r="D7" s="9"/>
      <c r="E7" s="131" t="s">
        <v>2</v>
      </c>
      <c r="F7" s="132"/>
      <c r="G7" s="133">
        <v>46091</v>
      </c>
      <c r="H7" s="134"/>
      <c r="J7" s="55"/>
      <c r="K7" s="55"/>
    </row>
    <row r="8" spans="1:12" s="7" customFormat="1" ht="15" x14ac:dyDescent="0.25">
      <c r="A8" s="7" t="s">
        <v>53</v>
      </c>
      <c r="B8" s="8"/>
      <c r="D8" s="9"/>
      <c r="E8" s="135" t="s">
        <v>3</v>
      </c>
      <c r="F8" s="136"/>
      <c r="H8" s="11">
        <v>60431</v>
      </c>
      <c r="J8" s="55"/>
      <c r="K8" s="55"/>
      <c r="L8" s="55"/>
    </row>
    <row r="9" spans="1:12" s="7" customFormat="1" ht="15" x14ac:dyDescent="0.25">
      <c r="A9" s="7" t="s">
        <v>54</v>
      </c>
      <c r="B9" s="8"/>
      <c r="D9" s="9"/>
      <c r="E9" s="135" t="s">
        <v>4</v>
      </c>
      <c r="F9" s="136"/>
      <c r="G9" s="137" t="s">
        <v>141</v>
      </c>
      <c r="H9" s="138"/>
      <c r="J9" s="55"/>
      <c r="K9" s="55"/>
      <c r="L9" s="55"/>
    </row>
    <row r="10" spans="1:12" s="7" customFormat="1" ht="15" x14ac:dyDescent="0.25">
      <c r="B10" s="8"/>
      <c r="D10" s="9"/>
      <c r="E10" s="13" t="s">
        <v>137</v>
      </c>
      <c r="F10" s="14"/>
      <c r="G10" s="139" t="s">
        <v>140</v>
      </c>
      <c r="H10" s="140"/>
      <c r="J10" s="55"/>
      <c r="K10" s="55"/>
    </row>
    <row r="11" spans="1:12" s="7" customFormat="1" ht="15" x14ac:dyDescent="0.25">
      <c r="A11" s="15" t="s">
        <v>55</v>
      </c>
      <c r="B11" s="8"/>
      <c r="D11" s="9"/>
      <c r="E11" s="115" t="s">
        <v>6</v>
      </c>
      <c r="F11" s="125" t="s">
        <v>7</v>
      </c>
      <c r="G11" s="125"/>
      <c r="H11" s="126"/>
    </row>
    <row r="12" spans="1:12" s="7" customFormat="1" ht="15" x14ac:dyDescent="0.25">
      <c r="A12" s="15"/>
      <c r="B12" s="8"/>
      <c r="D12" s="9"/>
      <c r="E12" s="13" t="s">
        <v>8</v>
      </c>
      <c r="F12" s="127" t="s">
        <v>9</v>
      </c>
      <c r="G12" s="127"/>
      <c r="H12" s="128"/>
    </row>
    <row r="13" spans="1:12" s="7" customFormat="1" ht="15" x14ac:dyDescent="0.25">
      <c r="A13" s="15"/>
      <c r="B13" s="8"/>
      <c r="D13" s="9"/>
      <c r="E13" s="17"/>
      <c r="F13" s="51"/>
      <c r="G13" s="51"/>
      <c r="H13" s="51"/>
      <c r="K13" s="55"/>
    </row>
    <row r="14" spans="1:12" s="7" customFormat="1" ht="15" x14ac:dyDescent="0.25">
      <c r="A14" s="15"/>
      <c r="B14" s="8"/>
      <c r="D14" s="9"/>
      <c r="E14" s="17"/>
      <c r="F14" s="51"/>
      <c r="G14" s="51"/>
      <c r="H14" s="51"/>
      <c r="K14" s="55"/>
    </row>
    <row r="15" spans="1:12" s="7" customFormat="1" ht="15" x14ac:dyDescent="0.25">
      <c r="A15" s="15"/>
      <c r="B15" s="8"/>
      <c r="D15" s="9"/>
      <c r="E15" s="17"/>
      <c r="F15" s="51"/>
      <c r="G15" s="51"/>
      <c r="H15" s="51"/>
      <c r="K15" s="55"/>
    </row>
    <row r="16" spans="1:12" s="15" customFormat="1" ht="14.25" x14ac:dyDescent="0.2">
      <c r="A16" s="129" t="s">
        <v>10</v>
      </c>
      <c r="B16" s="129"/>
      <c r="C16" s="129"/>
      <c r="D16" s="129"/>
      <c r="E16" s="129"/>
      <c r="F16" s="129"/>
      <c r="G16" s="129"/>
      <c r="H16" s="129"/>
    </row>
    <row r="17" spans="1:8" s="15" customFormat="1" ht="14.25" x14ac:dyDescent="0.2">
      <c r="A17" s="114"/>
      <c r="B17" s="114"/>
      <c r="C17" s="114"/>
      <c r="D17" s="114"/>
      <c r="E17" s="114"/>
      <c r="F17" s="114"/>
      <c r="G17" s="114"/>
      <c r="H17" s="114"/>
    </row>
    <row r="18" spans="1:8" s="15" customFormat="1" ht="14.25" x14ac:dyDescent="0.2">
      <c r="A18" s="114"/>
      <c r="B18" s="114"/>
      <c r="C18" s="114"/>
      <c r="D18" s="114"/>
      <c r="E18" s="114"/>
      <c r="F18" s="114"/>
      <c r="G18" s="114"/>
      <c r="H18" s="114"/>
    </row>
    <row r="19" spans="1:8" s="7" customFormat="1" ht="15" x14ac:dyDescent="0.25">
      <c r="A19" s="7" t="s">
        <v>38</v>
      </c>
      <c r="B19" s="8"/>
      <c r="D19" s="9"/>
      <c r="E19" s="17"/>
      <c r="F19" s="9"/>
      <c r="G19" s="18"/>
    </row>
    <row r="20" spans="1:8" s="7" customFormat="1" ht="15" x14ac:dyDescent="0.25">
      <c r="A20" s="7" t="s">
        <v>39</v>
      </c>
      <c r="B20" s="8"/>
      <c r="D20" s="9"/>
      <c r="E20" s="17"/>
      <c r="F20" s="9"/>
      <c r="G20" s="18"/>
    </row>
    <row r="21" spans="1:8" s="7" customFormat="1" ht="9" customHeight="1" x14ac:dyDescent="0.25">
      <c r="D21" s="9"/>
      <c r="E21" s="17"/>
      <c r="F21" s="18"/>
    </row>
    <row r="22" spans="1:8" s="7" customFormat="1" ht="15" x14ac:dyDescent="0.25">
      <c r="A22" s="20" t="s">
        <v>13</v>
      </c>
      <c r="B22" s="21"/>
      <c r="C22" s="20"/>
      <c r="D22" s="9"/>
      <c r="E22" s="9" t="s">
        <v>40</v>
      </c>
      <c r="F22" s="17" t="s">
        <v>15</v>
      </c>
      <c r="G22" s="9" t="s">
        <v>41</v>
      </c>
      <c r="H22" s="17" t="s">
        <v>17</v>
      </c>
    </row>
    <row r="23" spans="1:8" s="7" customFormat="1" ht="15" x14ac:dyDescent="0.25">
      <c r="A23" s="23" t="s">
        <v>18</v>
      </c>
      <c r="B23" s="23"/>
      <c r="C23" s="22"/>
      <c r="D23" s="24"/>
      <c r="E23" s="24" t="s">
        <v>50</v>
      </c>
      <c r="F23" s="113"/>
      <c r="G23" s="24" t="s">
        <v>44</v>
      </c>
      <c r="H23" s="14"/>
    </row>
    <row r="24" spans="1:8" s="7" customFormat="1" ht="15" x14ac:dyDescent="0.25">
      <c r="A24" s="7">
        <v>33</v>
      </c>
      <c r="B24" s="7" t="s">
        <v>51</v>
      </c>
      <c r="C24" s="45"/>
      <c r="D24" s="45"/>
      <c r="E24" s="26"/>
      <c r="F24" s="116"/>
      <c r="G24" s="17"/>
    </row>
    <row r="25" spans="1:8" s="7" customFormat="1" ht="15" x14ac:dyDescent="0.25">
      <c r="A25" s="116"/>
      <c r="B25" s="55">
        <v>45931</v>
      </c>
      <c r="C25" s="44"/>
      <c r="E25" s="26">
        <v>124438</v>
      </c>
      <c r="F25" s="116" t="s">
        <v>52</v>
      </c>
      <c r="G25" s="17">
        <v>10</v>
      </c>
      <c r="H25" s="28">
        <f>G25/10*209</f>
        <v>209</v>
      </c>
    </row>
    <row r="26" spans="1:8" s="7" customFormat="1" ht="15" x14ac:dyDescent="0.25">
      <c r="A26" s="116"/>
      <c r="B26" s="55">
        <v>45962</v>
      </c>
      <c r="C26" s="44"/>
      <c r="E26" s="26">
        <f>+E25</f>
        <v>124438</v>
      </c>
      <c r="F26" s="116" t="s">
        <v>52</v>
      </c>
      <c r="G26" s="17">
        <f>+G25</f>
        <v>10</v>
      </c>
      <c r="H26" s="28">
        <f t="shared" ref="H26:H27" si="0">G26/10*209</f>
        <v>209</v>
      </c>
    </row>
    <row r="27" spans="1:8" s="7" customFormat="1" ht="15" x14ac:dyDescent="0.25">
      <c r="A27" s="116"/>
      <c r="B27" s="55">
        <v>45992</v>
      </c>
      <c r="C27" s="44"/>
      <c r="E27" s="26">
        <f>+E26</f>
        <v>124438</v>
      </c>
      <c r="F27" s="116" t="s">
        <v>52</v>
      </c>
      <c r="G27" s="17">
        <f>+G26</f>
        <v>10</v>
      </c>
      <c r="H27" s="28">
        <f t="shared" si="0"/>
        <v>209</v>
      </c>
    </row>
    <row r="28" spans="1:8" s="7" customFormat="1" ht="15" x14ac:dyDescent="0.25">
      <c r="A28" s="116"/>
      <c r="C28" s="44"/>
      <c r="D28" s="45"/>
      <c r="E28" s="26"/>
      <c r="F28" s="116"/>
      <c r="G28" s="17"/>
      <c r="H28" s="28"/>
    </row>
    <row r="29" spans="1:8" s="7" customFormat="1" ht="5.25" customHeight="1" x14ac:dyDescent="0.25">
      <c r="A29" s="116"/>
      <c r="B29" s="53"/>
      <c r="C29" s="44"/>
      <c r="D29" s="45"/>
      <c r="E29" s="54"/>
      <c r="F29" s="28"/>
      <c r="G29" s="47"/>
      <c r="H29" s="28"/>
    </row>
    <row r="30" spans="1:8" s="7" customFormat="1" ht="15" x14ac:dyDescent="0.25">
      <c r="A30" s="7">
        <v>16</v>
      </c>
      <c r="B30" s="7" t="s">
        <v>23</v>
      </c>
      <c r="C30" s="62"/>
      <c r="E30" s="41"/>
      <c r="F30" s="26"/>
      <c r="G30" s="17"/>
      <c r="H30" s="41">
        <v>80</v>
      </c>
    </row>
    <row r="31" spans="1:8" s="7" customFormat="1" ht="15" x14ac:dyDescent="0.25">
      <c r="A31" s="23"/>
      <c r="B31" s="23" t="s">
        <v>24</v>
      </c>
      <c r="C31" s="23"/>
      <c r="D31" s="23"/>
      <c r="E31" s="24"/>
      <c r="F31" s="113"/>
      <c r="G31" s="57"/>
      <c r="H31" s="58"/>
    </row>
    <row r="32" spans="1:8" s="7" customFormat="1" ht="15.75" customHeight="1" x14ac:dyDescent="0.25">
      <c r="D32" s="9"/>
      <c r="E32" s="7" t="s">
        <v>25</v>
      </c>
      <c r="F32" s="9"/>
      <c r="G32" s="116"/>
      <c r="H32" s="41">
        <f>SUM(H25:H31)</f>
        <v>707</v>
      </c>
    </row>
    <row r="33" spans="1:8" s="7" customFormat="1" ht="15.75" customHeight="1" x14ac:dyDescent="0.25">
      <c r="D33" s="9"/>
      <c r="E33" s="7" t="s">
        <v>26</v>
      </c>
      <c r="F33" s="9"/>
      <c r="H33" s="41">
        <f>+H32*0.19</f>
        <v>134.33000000000001</v>
      </c>
    </row>
    <row r="34" spans="1:8" s="7" customFormat="1" thickBot="1" x14ac:dyDescent="0.3">
      <c r="D34" s="9"/>
      <c r="E34" s="34" t="s">
        <v>27</v>
      </c>
      <c r="F34" s="35"/>
      <c r="G34" s="60"/>
      <c r="H34" s="61">
        <f>SUM(H32:H33)</f>
        <v>841.33</v>
      </c>
    </row>
    <row r="35" spans="1:8" s="7" customFormat="1" ht="7.5" customHeight="1" thickTop="1" x14ac:dyDescent="0.25">
      <c r="D35" s="9"/>
      <c r="E35" s="38"/>
      <c r="F35" s="17"/>
      <c r="G35" s="9"/>
      <c r="H35" s="41"/>
    </row>
    <row r="36" spans="1:8" s="7" customFormat="1" ht="15" x14ac:dyDescent="0.25">
      <c r="A36" s="7" t="s">
        <v>48</v>
      </c>
      <c r="B36" s="8"/>
      <c r="D36" s="9"/>
      <c r="E36" s="17"/>
      <c r="F36" s="18"/>
    </row>
    <row r="37" spans="1:8" s="7" customFormat="1" ht="15" x14ac:dyDescent="0.25">
      <c r="D37" s="9"/>
      <c r="E37" s="17"/>
      <c r="F37" s="18"/>
    </row>
    <row r="38" spans="1:8" s="7" customFormat="1" ht="15" x14ac:dyDescent="0.25">
      <c r="D38" s="9"/>
      <c r="E38" s="17"/>
      <c r="F38" s="18"/>
    </row>
    <row r="39" spans="1:8" ht="14.25" customHeight="1" x14ac:dyDescent="0.25"/>
    <row r="40" spans="1:8" x14ac:dyDescent="0.25">
      <c r="B40" s="23"/>
    </row>
    <row r="43" spans="1:8" x14ac:dyDescent="0.25">
      <c r="D43" s="1"/>
      <c r="E43" s="1"/>
      <c r="F43" s="1"/>
    </row>
    <row r="44" spans="1:8" x14ac:dyDescent="0.25">
      <c r="D44" s="1"/>
      <c r="E44" s="1"/>
      <c r="F44" s="1"/>
    </row>
    <row r="45" spans="1:8" x14ac:dyDescent="0.25">
      <c r="D45" s="1"/>
      <c r="E45" s="1"/>
      <c r="F45" s="1"/>
    </row>
    <row r="46" spans="1:8" x14ac:dyDescent="0.25">
      <c r="D46" s="1"/>
      <c r="E46" s="1"/>
      <c r="F46" s="1"/>
    </row>
    <row r="47" spans="1:8" x14ac:dyDescent="0.25">
      <c r="D47" s="1"/>
      <c r="E47" s="1"/>
      <c r="F47" s="1"/>
    </row>
    <row r="48" spans="1:8" ht="12" customHeight="1" x14ac:dyDescent="0.25">
      <c r="D48" s="1"/>
      <c r="E48" s="1"/>
      <c r="F48" s="1"/>
    </row>
    <row r="49" spans="1:8" x14ac:dyDescent="0.25">
      <c r="A49" s="142" t="s">
        <v>98</v>
      </c>
      <c r="B49" s="142"/>
      <c r="C49" s="142"/>
      <c r="D49" s="142"/>
      <c r="E49" s="142"/>
      <c r="F49" s="142"/>
      <c r="G49" s="142"/>
      <c r="H49" s="142"/>
    </row>
  </sheetData>
  <mergeCells count="10">
    <mergeCell ref="F11:H11"/>
    <mergeCell ref="F12:H12"/>
    <mergeCell ref="A16:H16"/>
    <mergeCell ref="A49:H49"/>
    <mergeCell ref="E7:F7"/>
    <mergeCell ref="G7:H7"/>
    <mergeCell ref="E8:F8"/>
    <mergeCell ref="E9:F9"/>
    <mergeCell ref="G9:H9"/>
    <mergeCell ref="G10:H10"/>
  </mergeCells>
  <pageMargins left="0.78740157480314965" right="0.78740157480314965" top="0.98425196850393704" bottom="0.98425196850393704" header="0.51181102362204722" footer="0.51181102362204722"/>
  <pageSetup paperSize="9" orientation="portrait" horizontalDpi="300" verticalDpi="300" r:id="rId1"/>
  <headerFooter alignWithMargins="0">
    <oddHeader>&amp;C&amp;"Times New Roman,Standard"&amp;16Hartmut Ahting
Steuerberater
Diplom-Wirtschaftsingenieur</oddHeader>
    <oddFooter>&amp;L&amp;"Times New Roman,Standard"Heerstrasse 50
60488 Frankfurt
&amp;C&amp;"Times New Roman,Standard"Deutsche Bank
BLZ 500 700 24
Konto 409 28 62&amp;R&amp;"Times New Roman,Standard"Tel:      069 / 788 031-71
Fax:     069 / 788 031-72
Mobil: 0174 / 326 99 58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D7E4DB2D15C4B84897E1610CBF74DCA7" ma:contentTypeVersion="13" ma:contentTypeDescription="Ein neues Dokument erstellen." ma:contentTypeScope="" ma:versionID="21d4e400eca12ebf19fe25665737a17a">
  <xsd:schema xmlns:xsd="http://www.w3.org/2001/XMLSchema" xmlns:xs="http://www.w3.org/2001/XMLSchema" xmlns:p="http://schemas.microsoft.com/office/2006/metadata/properties" xmlns:ns2="39610a9a-d901-4909-bf1d-9eb88f698c46" xmlns:ns3="1b69345e-4f7f-4263-9167-af18e7b0a127" targetNamespace="http://schemas.microsoft.com/office/2006/metadata/properties" ma:root="true" ma:fieldsID="b9fe44f4a96a2530bf8afe2f7cf38d8c" ns2:_="" ns3:_="">
    <xsd:import namespace="39610a9a-d901-4909-bf1d-9eb88f698c46"/>
    <xsd:import namespace="1b69345e-4f7f-4263-9167-af18e7b0a12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610a9a-d901-4909-bf1d-9eb88f698c4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ildmarkierungen" ma:readOnly="false" ma:fieldId="{5cf76f15-5ced-4ddc-b409-7134ff3c332f}" ma:taxonomyMulti="true" ma:sspId="cc87726b-915a-431c-9ffc-7e8adc27615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69345e-4f7f-4263-9167-af18e7b0a12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54fb1be-d376-465e-81ae-ba40f1444eac}" ma:internalName="TaxCatchAll" ma:showField="CatchAllData" ma:web="1b69345e-4f7f-4263-9167-af18e7b0a12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b69345e-4f7f-4263-9167-af18e7b0a127" xsi:nil="true"/>
    <lcf76f155ced4ddcb4097134ff3c332f xmlns="39610a9a-d901-4909-bf1d-9eb88f698c4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5D654EB-9521-496C-BE3F-7719DB037313}"/>
</file>

<file path=customXml/itemProps2.xml><?xml version="1.0" encoding="utf-8"?>
<ds:datastoreItem xmlns:ds="http://schemas.openxmlformats.org/officeDocument/2006/customXml" ds:itemID="{E9F3595D-E5BA-4420-BC08-04961B0271AE}"/>
</file>

<file path=customXml/itemProps3.xml><?xml version="1.0" encoding="utf-8"?>
<ds:datastoreItem xmlns:ds="http://schemas.openxmlformats.org/officeDocument/2006/customXml" ds:itemID="{73598B33-E8D9-4E1B-A892-F7C48C3D3A0A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22</vt:i4>
      </vt:variant>
    </vt:vector>
  </HeadingPairs>
  <TitlesOfParts>
    <vt:vector size="22" baseType="lpstr">
      <vt:lpstr>EÜR 2021 (Überarb.)</vt:lpstr>
      <vt:lpstr>EÜR 2022</vt:lpstr>
      <vt:lpstr>ESt 2022</vt:lpstr>
      <vt:lpstr>Fibu I-2024</vt:lpstr>
      <vt:lpstr>DRV-Prüfung 20-23</vt:lpstr>
      <vt:lpstr>Lohn I+II-2024</vt:lpstr>
      <vt:lpstr>Fibu II-2024</vt:lpstr>
      <vt:lpstr>Lohn III-2024</vt:lpstr>
      <vt:lpstr>Fibu III-2024</vt:lpstr>
      <vt:lpstr>Fibu IV-2024</vt:lpstr>
      <vt:lpstr>Lohn I+II-2025</vt:lpstr>
      <vt:lpstr>Lohn IV-2024</vt:lpstr>
      <vt:lpstr>EÜR 2023</vt:lpstr>
      <vt:lpstr>ESt 2023</vt:lpstr>
      <vt:lpstr>Fibu I-2025</vt:lpstr>
      <vt:lpstr>Fibu II-2025</vt:lpstr>
      <vt:lpstr>Lohn III-2025</vt:lpstr>
      <vt:lpstr>Fibu III-2025</vt:lpstr>
      <vt:lpstr>EÜR 2024</vt:lpstr>
      <vt:lpstr>ESt 2024</vt:lpstr>
      <vt:lpstr>Lohn IV-2025</vt:lpstr>
      <vt:lpstr>Fibu IV-2025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hartmut ahting</dc:creator>
  <cp:lastModifiedBy>Hartmut Ahting</cp:lastModifiedBy>
  <cp:lastPrinted>2026-03-10T11:41:05Z</cp:lastPrinted>
  <dcterms:created xsi:type="dcterms:W3CDTF">2024-04-23T09:01:39Z</dcterms:created>
  <dcterms:modified xsi:type="dcterms:W3CDTF">2026-03-10T11:41:11Z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0x010100D7E4DB2D15C4B84897E1610CBF74DCA7</vt:lpwstr>
  </property>
</Properties>
</file>