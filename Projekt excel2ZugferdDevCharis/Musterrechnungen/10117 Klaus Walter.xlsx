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\"/>
    </mc:Choice>
  </mc:AlternateContent>
  <xr:revisionPtr revIDLastSave="0" documentId="13_ncr:1_{21A9258C-D999-4886-B90F-281D735046BB}" xr6:coauthVersionLast="47" xr6:coauthVersionMax="47" xr10:uidLastSave="{00000000-0000-0000-0000-000000000000}"/>
  <bookViews>
    <workbookView xWindow="720" yWindow="225" windowWidth="27780" windowHeight="14115" firstSheet="32" activeTab="41" xr2:uid="{00000000-000D-0000-FFFF-FFFF00000000}"/>
  </bookViews>
  <sheets>
    <sheet name="JA 2017" sheetId="1" r:id="rId1"/>
    <sheet name="ESt 2017" sheetId="2" r:id="rId2"/>
    <sheet name="Fibu IV-2018" sheetId="3" r:id="rId3"/>
    <sheet name="Fibu I-2019" sheetId="4" r:id="rId4"/>
    <sheet name="ESt 2017 Anl V" sheetId="5" r:id="rId5"/>
    <sheet name="Fibu I+II-2019" sheetId="6" r:id="rId6"/>
    <sheet name="Fibu III+IV-2019" sheetId="7" r:id="rId7"/>
    <sheet name="JA 2018" sheetId="8" r:id="rId8"/>
    <sheet name="ESt 2018" sheetId="9" r:id="rId9"/>
    <sheet name="Fibu I-2020" sheetId="10" r:id="rId10"/>
    <sheet name="Fibu II-2020" sheetId="11" r:id="rId11"/>
    <sheet name="Fibu III-2020" sheetId="12" r:id="rId12"/>
    <sheet name="Fibu IV-2020" sheetId="13" r:id="rId13"/>
    <sheet name="JA 2019" sheetId="14" r:id="rId14"/>
    <sheet name="ESt 2019" sheetId="15" r:id="rId15"/>
    <sheet name="Fibu I+II-2021" sheetId="16" r:id="rId16"/>
    <sheet name="Fibu III-2021" sheetId="17" r:id="rId17"/>
    <sheet name="Fibu IV-2021" sheetId="18" r:id="rId18"/>
    <sheet name="JA 2020" sheetId="19" r:id="rId19"/>
    <sheet name="Fibu I-2022" sheetId="20" r:id="rId20"/>
    <sheet name="ESt 2020" sheetId="21" r:id="rId21"/>
    <sheet name="Fibu II-2022" sheetId="22" r:id="rId22"/>
    <sheet name="Fibu III-2022" sheetId="23" r:id="rId23"/>
    <sheet name="JA 2021" sheetId="24" r:id="rId24"/>
    <sheet name="ESt 2021" sheetId="25" r:id="rId25"/>
    <sheet name="Fibu IV-2022" sheetId="26" r:id="rId26"/>
    <sheet name="GrSt 2022" sheetId="27" r:id="rId27"/>
    <sheet name="Fibu I-2023" sheetId="28" r:id="rId28"/>
    <sheet name="Fibu II-2023" sheetId="29" r:id="rId29"/>
    <sheet name="Fibu III-2023" sheetId="30" r:id="rId30"/>
    <sheet name="Fibu IV-2023" sheetId="31" r:id="rId31"/>
    <sheet name="Fibu I-2024" sheetId="32" r:id="rId32"/>
    <sheet name="JA 2022" sheetId="33" r:id="rId33"/>
    <sheet name="ESt 2022" sheetId="34" r:id="rId34"/>
    <sheet name="Fibu II-2024" sheetId="35" r:id="rId35"/>
    <sheet name="Fibu III-2024" sheetId="36" r:id="rId36"/>
    <sheet name="Fibu IV-2024" sheetId="37" r:id="rId37"/>
    <sheet name="Fibu I-2025" sheetId="38" r:id="rId38"/>
    <sheet name="EÜR 2023" sheetId="39" r:id="rId39"/>
    <sheet name="ESt 2023" sheetId="40" r:id="rId40"/>
    <sheet name="Fibu II-2025" sheetId="41" r:id="rId41"/>
    <sheet name="Fibu II-2025 (2)" sheetId="42" r:id="rId42"/>
  </sheets>
  <calcPr calcId="191029"/>
</workbook>
</file>

<file path=xl/calcChain.xml><?xml version="1.0" encoding="utf-8"?>
<calcChain xmlns="http://schemas.openxmlformats.org/spreadsheetml/2006/main">
  <c r="H35" i="41" l="1"/>
  <c r="H31" i="41"/>
  <c r="H28" i="41"/>
  <c r="E28" i="41"/>
  <c r="E31" i="41" s="1"/>
  <c r="H25" i="41"/>
  <c r="H41" i="41" s="1"/>
  <c r="H31" i="40"/>
  <c r="H27" i="40"/>
  <c r="C25" i="40"/>
  <c r="C29" i="40" s="1"/>
  <c r="C33" i="40" s="1"/>
  <c r="H23" i="40"/>
  <c r="H20" i="40"/>
  <c r="H38" i="40" s="1"/>
  <c r="H31" i="39"/>
  <c r="H26" i="39"/>
  <c r="H24" i="39"/>
  <c r="H35" i="39" s="1"/>
  <c r="H35" i="38"/>
  <c r="H36" i="38" s="1"/>
  <c r="H25" i="38"/>
  <c r="H25" i="37"/>
  <c r="H35" i="37" s="1"/>
  <c r="H25" i="36"/>
  <c r="H35" i="36" s="1"/>
  <c r="H35" i="35"/>
  <c r="H25" i="35"/>
  <c r="H31" i="34"/>
  <c r="H27" i="34"/>
  <c r="C25" i="34"/>
  <c r="C29" i="34" s="1"/>
  <c r="C33" i="34" s="1"/>
  <c r="H23" i="34"/>
  <c r="H20" i="34"/>
  <c r="H38" i="34" s="1"/>
  <c r="H31" i="33"/>
  <c r="H26" i="33"/>
  <c r="H24" i="33"/>
  <c r="H35" i="33" s="1"/>
  <c r="H35" i="32"/>
  <c r="H36" i="32" s="1"/>
  <c r="H25" i="32"/>
  <c r="H25" i="31"/>
  <c r="H35" i="31" s="1"/>
  <c r="H25" i="30"/>
  <c r="H35" i="30" s="1"/>
  <c r="H36" i="29"/>
  <c r="H37" i="29" s="1"/>
  <c r="H35" i="29"/>
  <c r="H25" i="29"/>
  <c r="H28" i="28"/>
  <c r="H25" i="28"/>
  <c r="H35" i="28" s="1"/>
  <c r="H27" i="27"/>
  <c r="E32" i="27" s="1"/>
  <c r="G27" i="27"/>
  <c r="H27" i="26"/>
  <c r="H24" i="26"/>
  <c r="E32" i="26" s="1"/>
  <c r="H38" i="25"/>
  <c r="E36" i="25"/>
  <c r="H31" i="25"/>
  <c r="H27" i="25"/>
  <c r="C25" i="25"/>
  <c r="C29" i="25" s="1"/>
  <c r="C33" i="25" s="1"/>
  <c r="H23" i="25"/>
  <c r="H20" i="25"/>
  <c r="H35" i="24"/>
  <c r="E33" i="24"/>
  <c r="H31" i="24"/>
  <c r="H26" i="24"/>
  <c r="H24" i="24"/>
  <c r="H27" i="23"/>
  <c r="H24" i="23"/>
  <c r="H34" i="23" s="1"/>
  <c r="H35" i="22"/>
  <c r="H25" i="22"/>
  <c r="H31" i="21"/>
  <c r="H27" i="21"/>
  <c r="C25" i="21"/>
  <c r="C29" i="21" s="1"/>
  <c r="H23" i="21"/>
  <c r="H20" i="21"/>
  <c r="H38" i="21" s="1"/>
  <c r="H25" i="20"/>
  <c r="H35" i="20" s="1"/>
  <c r="H30" i="19"/>
  <c r="H26" i="19"/>
  <c r="H24" i="19"/>
  <c r="E32" i="19" s="1"/>
  <c r="H24" i="18"/>
  <c r="H34" i="18" s="1"/>
  <c r="H24" i="17"/>
  <c r="H34" i="17" s="1"/>
  <c r="H36" i="16"/>
  <c r="H38" i="16" s="1"/>
  <c r="H35" i="16"/>
  <c r="H34" i="16"/>
  <c r="H28" i="16"/>
  <c r="H24" i="16"/>
  <c r="E32" i="16" s="1"/>
  <c r="H37" i="15"/>
  <c r="H38" i="15" s="1"/>
  <c r="E35" i="15"/>
  <c r="C33" i="15"/>
  <c r="H31" i="15"/>
  <c r="C29" i="15"/>
  <c r="H27" i="15"/>
  <c r="C25" i="15"/>
  <c r="H23" i="15"/>
  <c r="H20" i="15"/>
  <c r="H27" i="14"/>
  <c r="H25" i="14"/>
  <c r="H31" i="14" s="1"/>
  <c r="H24" i="13"/>
  <c r="H34" i="13" s="1"/>
  <c r="H24" i="12"/>
  <c r="H34" i="12" s="1"/>
  <c r="H35" i="11"/>
  <c r="H34" i="11"/>
  <c r="H36" i="11" s="1"/>
  <c r="E32" i="11"/>
  <c r="H24" i="11"/>
  <c r="H24" i="10"/>
  <c r="E32" i="10" s="1"/>
  <c r="H38" i="9"/>
  <c r="H37" i="9"/>
  <c r="H31" i="9"/>
  <c r="H27" i="9"/>
  <c r="C25" i="9"/>
  <c r="C33" i="9" s="1"/>
  <c r="H23" i="9"/>
  <c r="H20" i="9"/>
  <c r="E35" i="9" s="1"/>
  <c r="Q7" i="9"/>
  <c r="H31" i="8"/>
  <c r="H32" i="8" s="1"/>
  <c r="E29" i="8"/>
  <c r="H27" i="8"/>
  <c r="H25" i="8"/>
  <c r="H28" i="7"/>
  <c r="H24" i="7"/>
  <c r="H34" i="7" s="1"/>
  <c r="H34" i="6"/>
  <c r="E32" i="6"/>
  <c r="H28" i="6"/>
  <c r="H24" i="6"/>
  <c r="H23" i="5"/>
  <c r="H34" i="4"/>
  <c r="H35" i="4" s="1"/>
  <c r="E32" i="4"/>
  <c r="H24" i="4"/>
  <c r="H24" i="3"/>
  <c r="H34" i="3" s="1"/>
  <c r="K38" i="2"/>
  <c r="H27" i="2"/>
  <c r="H23" i="2"/>
  <c r="H20" i="2"/>
  <c r="H37" i="2" s="1"/>
  <c r="Q7" i="2"/>
  <c r="H31" i="1"/>
  <c r="E29" i="1"/>
  <c r="H27" i="1"/>
  <c r="H25" i="1"/>
  <c r="H39" i="40" l="1"/>
  <c r="H40" i="40"/>
  <c r="H55" i="40" s="1"/>
  <c r="H67" i="40" s="1"/>
  <c r="H36" i="30"/>
  <c r="H37" i="30" s="1"/>
  <c r="H35" i="18"/>
  <c r="H36" i="18" s="1"/>
  <c r="H39" i="34"/>
  <c r="H40" i="34"/>
  <c r="H42" i="41"/>
  <c r="H43" i="41" s="1"/>
  <c r="H32" i="14"/>
  <c r="H33" i="14" s="1"/>
  <c r="H35" i="17"/>
  <c r="H36" i="17" s="1"/>
  <c r="H37" i="22"/>
  <c r="H36" i="37"/>
  <c r="H37" i="37" s="1"/>
  <c r="H36" i="28"/>
  <c r="H37" i="28" s="1"/>
  <c r="J35" i="29"/>
  <c r="K37" i="2"/>
  <c r="H38" i="2"/>
  <c r="H39" i="2" s="1"/>
  <c r="I37" i="2"/>
  <c r="J37" i="2" s="1"/>
  <c r="H35" i="3"/>
  <c r="H36" i="3"/>
  <c r="H36" i="36"/>
  <c r="H37" i="36" s="1"/>
  <c r="H36" i="33"/>
  <c r="H37" i="33" s="1"/>
  <c r="H36" i="13"/>
  <c r="H35" i="13"/>
  <c r="H36" i="31"/>
  <c r="H37" i="31" s="1"/>
  <c r="H36" i="20"/>
  <c r="H37" i="20" s="1"/>
  <c r="H35" i="7"/>
  <c r="H36" i="7"/>
  <c r="H35" i="23"/>
  <c r="H36" i="23"/>
  <c r="H35" i="12"/>
  <c r="H36" i="12" s="1"/>
  <c r="H39" i="21"/>
  <c r="H40" i="21"/>
  <c r="H36" i="39"/>
  <c r="H37" i="39" s="1"/>
  <c r="H35" i="6"/>
  <c r="H36" i="6" s="1"/>
  <c r="H36" i="24"/>
  <c r="H37" i="24" s="1"/>
  <c r="H37" i="38"/>
  <c r="E32" i="17"/>
  <c r="H39" i="15"/>
  <c r="H55" i="15" s="1"/>
  <c r="H67" i="15" s="1"/>
  <c r="E32" i="13"/>
  <c r="E32" i="18"/>
  <c r="H34" i="26"/>
  <c r="H32" i="1"/>
  <c r="H33" i="1" s="1"/>
  <c r="H33" i="8"/>
  <c r="H34" i="27"/>
  <c r="E35" i="5"/>
  <c r="E32" i="12"/>
  <c r="H34" i="19"/>
  <c r="E32" i="3"/>
  <c r="H55" i="21"/>
  <c r="H67" i="21" s="1"/>
  <c r="H55" i="34"/>
  <c r="H67" i="34" s="1"/>
  <c r="H39" i="9"/>
  <c r="H55" i="9" s="1"/>
  <c r="H67" i="9" s="1"/>
  <c r="H37" i="32"/>
  <c r="H36" i="4"/>
  <c r="H39" i="25"/>
  <c r="H36" i="35"/>
  <c r="H37" i="35" s="1"/>
  <c r="E29" i="14"/>
  <c r="H40" i="25"/>
  <c r="H55" i="25" s="1"/>
  <c r="H67" i="25" s="1"/>
  <c r="E32" i="7"/>
  <c r="E36" i="21"/>
  <c r="E32" i="23"/>
  <c r="E36" i="34"/>
  <c r="E36" i="40"/>
  <c r="H36" i="22"/>
  <c r="H37" i="5"/>
  <c r="E35" i="2"/>
  <c r="H34" i="10"/>
  <c r="E33" i="33"/>
  <c r="E33" i="39"/>
  <c r="H35" i="19" l="1"/>
  <c r="H36" i="19" s="1"/>
  <c r="H38" i="5"/>
  <c r="H39" i="5" s="1"/>
  <c r="H55" i="5" s="1"/>
  <c r="H67" i="5" s="1"/>
  <c r="H55" i="2"/>
  <c r="H67" i="2" s="1"/>
  <c r="H35" i="27"/>
  <c r="H36" i="27" s="1"/>
  <c r="H35" i="10"/>
  <c r="H36" i="10"/>
  <c r="H35" i="26"/>
  <c r="H36" i="26" s="1"/>
</calcChain>
</file>

<file path=xl/sharedStrings.xml><?xml version="1.0" encoding="utf-8"?>
<sst xmlns="http://schemas.openxmlformats.org/spreadsheetml/2006/main" count="1627" uniqueCount="208">
  <si>
    <t>Hartmut Ahting, Steuerberater, Heerstrasse 50, 60488 Frankfurt</t>
  </si>
  <si>
    <t>Herr</t>
  </si>
  <si>
    <t>Rg-Datum:</t>
  </si>
  <si>
    <t>Klaus Walter</t>
  </si>
  <si>
    <t xml:space="preserve">Kunden-Nr.: </t>
  </si>
  <si>
    <t>Neuer Weg 72</t>
  </si>
  <si>
    <t>Rg-Nr.:</t>
  </si>
  <si>
    <t>10117-2019-001</t>
  </si>
  <si>
    <t>60388 Frankfurt</t>
  </si>
  <si>
    <t xml:space="preserve">IBAN: </t>
  </si>
  <si>
    <t>DE 13 50070024 0 4092862 00</t>
  </si>
  <si>
    <t>BIC:</t>
  </si>
  <si>
    <t>DEUTDEDBFRA</t>
  </si>
  <si>
    <t xml:space="preserve">Rechnung über Honorare </t>
  </si>
  <si>
    <t>Für die nachfolgend aufgeführten Leistungen erlaube ich mir nach der Steuerberatervergütungs-</t>
  </si>
  <si>
    <t>verordnung wie folgt abzurechnen:</t>
  </si>
  <si>
    <t>Leistung</t>
  </si>
  <si>
    <t>Gegenstands-</t>
  </si>
  <si>
    <t>Tabelle</t>
  </si>
  <si>
    <t>Geb.-</t>
  </si>
  <si>
    <t>Honorar</t>
  </si>
  <si>
    <t>§§</t>
  </si>
  <si>
    <t>wert</t>
  </si>
  <si>
    <t>satz</t>
  </si>
  <si>
    <t>Einnahmenüberschußrechnung 2017</t>
  </si>
  <si>
    <t>B</t>
  </si>
  <si>
    <t>Umsatzsteuerjahreserklärung für 2017</t>
  </si>
  <si>
    <t>A</t>
  </si>
  <si>
    <t xml:space="preserve">Auslagenersatz für Post- und </t>
  </si>
  <si>
    <t>Telekommunikation</t>
  </si>
  <si>
    <t>Gesamt</t>
  </si>
  <si>
    <t>USt 19%</t>
  </si>
  <si>
    <t>Rechnungsendbetrag</t>
  </si>
  <si>
    <t>Leistungszeitpunkt ist, soweit nicht anders angegeben, der Monat der Rechnungsstellung.</t>
  </si>
  <si>
    <t>Bitte überweisen Sie den Betrag ohne Abzüge innerhalb von 14 Tagen auf das angegebene Konto.</t>
  </si>
  <si>
    <t xml:space="preserve">   Steuernummer: 012 801 35159      </t>
  </si>
  <si>
    <t>Einnahmenüberschußrechnung</t>
  </si>
  <si>
    <t>Dozententätigkeit I. Nikulka</t>
  </si>
  <si>
    <t>10117-2019-002</t>
  </si>
  <si>
    <t xml:space="preserve">Für die nachfolgend aufgeführten Leistungen erlaube ich mir, in Übereinstimmung mit der </t>
  </si>
  <si>
    <t>Steuerberatervergütungsverordnung wie folgt abzurechnen:</t>
  </si>
  <si>
    <t>Geb-</t>
  </si>
  <si>
    <t>Gebühr</t>
  </si>
  <si>
    <t xml:space="preserve"> wert</t>
  </si>
  <si>
    <t>Satz/Std</t>
  </si>
  <si>
    <t>Einkommensteuererklärung ohne Ermittlung</t>
  </si>
  <si>
    <t xml:space="preserve">der einzelnen Einkünfte für </t>
  </si>
  <si>
    <t xml:space="preserve">Ermittlung des Überschusses der Einnahmen </t>
  </si>
  <si>
    <t>über die Werbungskosten bei Vermietung</t>
  </si>
  <si>
    <t>Neuer Weg 72 für</t>
  </si>
  <si>
    <t xml:space="preserve">über die Werbungskosten bei </t>
  </si>
  <si>
    <t>Kapitalerträgen 2017</t>
  </si>
  <si>
    <t xml:space="preserve">Steuernummer: 012 801 35159      </t>
  </si>
  <si>
    <t>Übertrag auf Seite 2</t>
  </si>
  <si>
    <t>Seite 2 zur Rechnung 10117-2014-007 vom 22.12.2014</t>
  </si>
  <si>
    <t>Übertrag von Seite 1</t>
  </si>
  <si>
    <t>10117-2019-003</t>
  </si>
  <si>
    <t>Leistungsdatum:</t>
  </si>
  <si>
    <t>siehe Einzelposition</t>
  </si>
  <si>
    <t>am/in:</t>
  </si>
  <si>
    <t>Buchführung einschließlich des Kontierens der</t>
  </si>
  <si>
    <t>C</t>
  </si>
  <si>
    <t>der Belege für das 4. Quartal 2018</t>
  </si>
  <si>
    <t>IV/2018</t>
  </si>
  <si>
    <t>Steuernummer: 012 801 35159</t>
  </si>
  <si>
    <t>10117-2019-004</t>
  </si>
  <si>
    <t>der Belege für das erste Quartal 2019</t>
  </si>
  <si>
    <t>am 10.06.2019</t>
  </si>
  <si>
    <t>10117-2019-005</t>
  </si>
  <si>
    <t>Oelsberg</t>
  </si>
  <si>
    <t>10117-2019-006</t>
  </si>
  <si>
    <t>der Belege für das zweite Quartal 2019</t>
  </si>
  <si>
    <t>am 08.11.2019</t>
  </si>
  <si>
    <t>10117-2020-001</t>
  </si>
  <si>
    <t>der Belege für das dritte Quartal 2019</t>
  </si>
  <si>
    <t>am</t>
  </si>
  <si>
    <t>der Belege für das vierte Quartal 2019</t>
  </si>
  <si>
    <t>2. Hj 2019</t>
  </si>
  <si>
    <t>10117-2020-002</t>
  </si>
  <si>
    <t>10117-2020-003</t>
  </si>
  <si>
    <t>Nastätter Str. 2, Oelsberg</t>
  </si>
  <si>
    <t>10117-2020-004</t>
  </si>
  <si>
    <t>der Belege für das erste Quartal 2020</t>
  </si>
  <si>
    <t>10117-2020-005</t>
  </si>
  <si>
    <t>der Belege für das zweite Quartal 2020</t>
  </si>
  <si>
    <t>USt 16%</t>
  </si>
  <si>
    <t>10117-2020-006</t>
  </si>
  <si>
    <t>der Belege für das dritte Quartal 2020</t>
  </si>
  <si>
    <t>10117-2021-001</t>
  </si>
  <si>
    <t>der Belege für das vierte Quartal 2020</t>
  </si>
  <si>
    <t>10117-2021-002</t>
  </si>
  <si>
    <t>Einnahmenüberschußrechnung 2019</t>
  </si>
  <si>
    <t>Umsatzsteuerjahreserklärung für 2019</t>
  </si>
  <si>
    <t>10117-2021-003</t>
  </si>
  <si>
    <t xml:space="preserve">Kapitalerträgen </t>
  </si>
  <si>
    <t>10117-2021-004</t>
  </si>
  <si>
    <t>der Belege für das zweite Quartal 2021</t>
  </si>
  <si>
    <t>am 07.05.2021</t>
  </si>
  <si>
    <t>am 09.08.2021</t>
  </si>
  <si>
    <t>Telekommunikation im 1. Hj 2021</t>
  </si>
  <si>
    <t>abzgl. Überzahlung Vormonate</t>
  </si>
  <si>
    <t>Zahlungsbetrag</t>
  </si>
  <si>
    <t>10117-2022-001</t>
  </si>
  <si>
    <t>der Belege für das dritte Quartal 2021</t>
  </si>
  <si>
    <t>10117-2022-002</t>
  </si>
  <si>
    <t>der Belege für das vierte Quartal 2021</t>
  </si>
  <si>
    <t>10117-2022-003</t>
  </si>
  <si>
    <t>Einnahmenüberschußrechnung 2020</t>
  </si>
  <si>
    <t>Vorarbeiten bei der Ermittlung des Überschusses</t>
  </si>
  <si>
    <t>der Betriebseinnahmen über die Betriebsausgaben 2020</t>
  </si>
  <si>
    <t>(Abgleiche zur Ermittlung fehlender Unterlagen)</t>
  </si>
  <si>
    <t>Umsatzsteuerjahreserklärung für 2020</t>
  </si>
  <si>
    <t>10117-2022-004</t>
  </si>
  <si>
    <t>der Belege für das erste Quartal 2022</t>
  </si>
  <si>
    <t xml:space="preserve">Telekommunikation </t>
  </si>
  <si>
    <t>10117-2022-005</t>
  </si>
  <si>
    <t>mündlicher o. schriftlicher Rat o. Auskunft</t>
  </si>
  <si>
    <t xml:space="preserve">im Zus.hang mit der Übertragung des </t>
  </si>
  <si>
    <t>Familienheims im Rahmen der vorweg-</t>
  </si>
  <si>
    <t xml:space="preserve">genommenen Erbfolge im </t>
  </si>
  <si>
    <t>10117-2022-006</t>
  </si>
  <si>
    <t>der Belege für das zweite Quartal 2022</t>
  </si>
  <si>
    <t>10117-2022-007</t>
  </si>
  <si>
    <t>der Belege für das dritte Quartal 2022</t>
  </si>
  <si>
    <t>(Erfassung nachgereichter Belege)</t>
  </si>
  <si>
    <t>10117-2022-008</t>
  </si>
  <si>
    <t>Einnahmenüberschußrechnung 2021</t>
  </si>
  <si>
    <t>der Betriebseinnahmen über die Betriebsausgaben 2021</t>
  </si>
  <si>
    <t>(Ermittlung fehlender Unterlagen, Einarbeitung</t>
  </si>
  <si>
    <t>nachgereichter Belege)</t>
  </si>
  <si>
    <t>Umsatzsteuerjahreserklärung für 2021</t>
  </si>
  <si>
    <t>Das Leistungsdatum ist, soweit nicht anders angegeben, der Monat der Rechnungsstellung.</t>
  </si>
  <si>
    <t>10117-2022-009</t>
  </si>
  <si>
    <t>Kapitalerträgen - Hr. Walter</t>
  </si>
  <si>
    <t>Kapitalerträgen - Fr. Nikulka</t>
  </si>
  <si>
    <t>10117-2023-001</t>
  </si>
  <si>
    <t>der Belege für das vierte Quartal 2022</t>
  </si>
  <si>
    <t>10117-2023-002</t>
  </si>
  <si>
    <t xml:space="preserve">Erklärung zur Feststellung oder Festsetzung für Zwecke der </t>
  </si>
  <si>
    <t>Grundsteuerfestsetzung auf den 01.01.2022 für folgende Objekte:</t>
  </si>
  <si>
    <t>-</t>
  </si>
  <si>
    <t>Neuer Weg 72, Frankfurt</t>
  </si>
  <si>
    <t>10117-2023-003</t>
  </si>
  <si>
    <t>der Belege für das erste Quartal 2023</t>
  </si>
  <si>
    <t>(nachgereichte Belege)</t>
  </si>
  <si>
    <t>10117-2023-004</t>
  </si>
  <si>
    <t>der Belege für das zweite Quartal 2023</t>
  </si>
  <si>
    <t>10117-2024-001</t>
  </si>
  <si>
    <t>der Belege für das dritte Quartal 2023</t>
  </si>
  <si>
    <t>10117-2024-002</t>
  </si>
  <si>
    <t>der Belege für das vierte Quartal 2023</t>
  </si>
  <si>
    <t xml:space="preserve">Steuernummer: 014 801 32096  </t>
  </si>
  <si>
    <t>10117-2024-003</t>
  </si>
  <si>
    <t>der Belege für das erste Quartal 2024</t>
  </si>
  <si>
    <t xml:space="preserve">Steuernummer: 014 801 32096      </t>
  </si>
  <si>
    <t>10117-2024-004</t>
  </si>
  <si>
    <t>Einnahmenüberschußrechnung 2022</t>
  </si>
  <si>
    <t>der Betriebseinnahmen über die Betriebsausgaben 2022</t>
  </si>
  <si>
    <t>Umsatzsteuerjahreserklärung für 2022</t>
  </si>
  <si>
    <t>10117-2024-005</t>
  </si>
  <si>
    <t>10117-2024-006</t>
  </si>
  <si>
    <t>der Belege für das zweite Quartal 2024</t>
  </si>
  <si>
    <t>10117-2025-001</t>
  </si>
  <si>
    <t>der Belege für das dritte Quartal 2024</t>
  </si>
  <si>
    <t>10117-2025-002</t>
  </si>
  <si>
    <t>der Belege für das vierte Quartal 2024</t>
  </si>
  <si>
    <t>10117-2025-003</t>
  </si>
  <si>
    <t>der Belege für das erste Quartal 2025</t>
  </si>
  <si>
    <t>10117-2025-004</t>
  </si>
  <si>
    <t>Einnahmenüberschußrechnung 2023</t>
  </si>
  <si>
    <t>der Betriebseinnahmen über die Betriebsausgaben 2023</t>
  </si>
  <si>
    <t>Umsatzsteuerjahreserklärung für 2023</t>
  </si>
  <si>
    <t>10117-2025-005</t>
  </si>
  <si>
    <t xml:space="preserve">Steuernummer: 014 801 32096    </t>
  </si>
  <si>
    <t>10117-2026-001</t>
  </si>
  <si>
    <t>Leistungszeitraum:</t>
  </si>
  <si>
    <t>31.10.25-06.02.26</t>
  </si>
  <si>
    <t xml:space="preserve"> wert/Std.-Satz</t>
  </si>
  <si>
    <t>der Belege für das zweite Quartal 2025</t>
  </si>
  <si>
    <t>der Belege für das dritte Quartal 2025</t>
  </si>
  <si>
    <t>der Belege für das vierte Quartal 2025</t>
  </si>
  <si>
    <t>Hilfeleistung bei Sonstigen Tätigkeiten im Zusammenhang</t>
  </si>
  <si>
    <t>mit der Buchführung</t>
  </si>
  <si>
    <t>Zeitgeb.</t>
  </si>
  <si>
    <t>(Anfordern vergessener Belege, Vollständigkeits-</t>
  </si>
  <si>
    <t>prüfungen)</t>
  </si>
  <si>
    <t>An:</t>
  </si>
  <si>
    <t>Rechnungs-Nr:</t>
  </si>
  <si>
    <t>Kunden-Nr:</t>
  </si>
  <si>
    <t>Rechnungsdatum:</t>
  </si>
  <si>
    <t>Rechnung über Honorare</t>
  </si>
  <si>
    <t>Für die nachfolgend aufgeführten Leistungen erlaube ich mir nach der Steuerberater­vergütungs­verordnung wie folgt abzurechnen:</t>
  </si>
  <si>
    <t>Pos.</t>
  </si>
  <si>
    <t>Datum</t>
  </si>
  <si>
    <t>§§ / Leistung</t>
  </si>
  <si>
    <t>Gebühren-satz</t>
  </si>
  <si>
    <t>Einheit</t>
  </si>
  <si>
    <t>Wert</t>
  </si>
  <si>
    <t>§33 / Buchführung einschl. Kontieren der Belege für das zweite Quartal 2025 - Tabelle C</t>
  </si>
  <si>
    <t>Stk.</t>
  </si>
  <si>
    <t>§33 / Buchführung einschl. Kontieren der Belege für das dritte Quartal 2025 - Tabelle C</t>
  </si>
  <si>
    <t>§33 / Buchführung einschl. Kontieren der Belege für das vierte Quartal 2025 - Tabelle C</t>
  </si>
  <si>
    <t>§33 / Hilfeleistung bei Sonstigen Tätigkeiten im Zusammenhang mit der Buchführung (Anfordern vergessener Belege, Vollständigkeitsprüfungen)</t>
  </si>
  <si>
    <t>h</t>
  </si>
  <si>
    <t>§16 / Auslagenersatz für Post- und Telekommunikation</t>
  </si>
  <si>
    <t>Summe</t>
  </si>
  <si>
    <t>Umsatzsteuer 19%</t>
  </si>
  <si>
    <t>Bruttobetrag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</si>
</sst>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\ _€"/>
    <numFmt numFmtId="165" formatCode="#,##0.00\ [$€-1]"/>
    <numFmt numFmtId="166" formatCode="#,##0\ [$€-1]"/>
    <numFmt numFmtId="167" formatCode="#,##0.00\ &quot;€&quot;"/>
    <numFmt numFmtId="168" formatCode="#,##0.00\ [$€/Std.-1]"/>
    <numFmt numFmtId="169" formatCode="#,##0.00\ &quot;Std.&quot;"/>
    <numFmt numFmtId="170" formatCode="#,##0.0"/>
    <numFmt numFmtId="171" formatCode="#\ ??/20"/>
    <numFmt numFmtId="172" formatCode="[$-407]mmmm\ yyyy;@"/>
    <numFmt numFmtId="173" formatCode="#,##0\ [$€/Std.-1]"/>
    <numFmt numFmtId="174" formatCode="d/\ mmmm\ yyyy"/>
    <numFmt numFmtId="175" formatCode="[$-407]d/\ mmmm\ yyyy;@"/>
    <numFmt numFmtId="177" formatCode="dd\.mm\.yyyy"/>
  </numFmts>
  <fonts count="11" x14ac:knownFonts="1">
    <font>
      <sz val="10"/>
      <name val="Arial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65" fontId="4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5" fontId="4" fillId="0" borderId="1" xfId="0" applyNumberFormat="1" applyFont="1" applyBorder="1"/>
    <xf numFmtId="0" fontId="8" fillId="0" borderId="2" xfId="0" applyFont="1" applyBorder="1"/>
    <xf numFmtId="3" fontId="8" fillId="0" borderId="2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/>
    <xf numFmtId="165" fontId="8" fillId="0" borderId="2" xfId="0" applyNumberFormat="1" applyFont="1" applyBorder="1"/>
    <xf numFmtId="3" fontId="6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165" fontId="6" fillId="0" borderId="0" xfId="0" applyNumberFormat="1" applyFont="1"/>
    <xf numFmtId="0" fontId="6" fillId="0" borderId="0" xfId="0" applyFont="1" applyAlignment="1">
      <alignment horizontal="left"/>
    </xf>
    <xf numFmtId="165" fontId="6" fillId="0" borderId="1" xfId="0" applyNumberFormat="1" applyFont="1" applyBorder="1"/>
    <xf numFmtId="4" fontId="6" fillId="0" borderId="0" xfId="0" applyNumberFormat="1" applyFont="1" applyAlignment="1">
      <alignment horizontal="left"/>
    </xf>
    <xf numFmtId="3" fontId="6" fillId="0" borderId="3" xfId="0" applyNumberFormat="1" applyFont="1" applyBorder="1" applyAlignment="1">
      <alignment horizontal="left"/>
    </xf>
    <xf numFmtId="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/>
    <xf numFmtId="165" fontId="6" fillId="0" borderId="3" xfId="0" applyNumberFormat="1" applyFont="1" applyBorder="1"/>
    <xf numFmtId="4" fontId="6" fillId="0" borderId="4" xfId="0" applyNumberFormat="1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4" fontId="5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right"/>
    </xf>
    <xf numFmtId="4" fontId="6" fillId="0" borderId="1" xfId="0" applyNumberFormat="1" applyFont="1" applyBorder="1" applyAlignment="1">
      <alignment horizontal="left"/>
    </xf>
    <xf numFmtId="0" fontId="7" fillId="0" borderId="1" xfId="0" applyFont="1" applyBorder="1"/>
    <xf numFmtId="168" fontId="6" fillId="0" borderId="0" xfId="0" applyNumberFormat="1" applyFont="1"/>
    <xf numFmtId="169" fontId="6" fillId="0" borderId="0" xfId="0" applyNumberFormat="1" applyFont="1"/>
    <xf numFmtId="0" fontId="10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center"/>
    </xf>
    <xf numFmtId="4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center"/>
    </xf>
    <xf numFmtId="165" fontId="6" fillId="0" borderId="0" xfId="1" applyNumberFormat="1" applyFont="1"/>
    <xf numFmtId="170" fontId="6" fillId="0" borderId="0" xfId="1" applyNumberFormat="1" applyFont="1" applyAlignment="1">
      <alignment horizontal="center"/>
    </xf>
    <xf numFmtId="0" fontId="10" fillId="0" borderId="0" xfId="1" applyFont="1" applyAlignment="1">
      <alignment horizontal="right"/>
    </xf>
    <xf numFmtId="171" fontId="6" fillId="0" borderId="0" xfId="1" quotePrefix="1" applyNumberFormat="1" applyFont="1" applyAlignment="1">
      <alignment horizontal="center"/>
    </xf>
    <xf numFmtId="172" fontId="6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173" fontId="6" fillId="0" borderId="0" xfId="0" applyNumberFormat="1" applyFont="1" applyAlignment="1">
      <alignment horizontal="center"/>
    </xf>
    <xf numFmtId="177" fontId="0" fillId="0" borderId="0" xfId="0" applyNumberFormat="1"/>
    <xf numFmtId="4" fontId="6" fillId="0" borderId="8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9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164" fontId="4" fillId="0" borderId="0" xfId="0" applyNumberFormat="1" applyFont="1"/>
    <xf numFmtId="4" fontId="6" fillId="0" borderId="9" xfId="0" applyNumberFormat="1" applyFont="1" applyBorder="1" applyAlignment="1">
      <alignment horizontal="center"/>
    </xf>
    <xf numFmtId="0" fontId="0" fillId="0" borderId="1" xfId="0" applyBorder="1"/>
    <xf numFmtId="0" fontId="0" fillId="0" borderId="9" xfId="0" applyBorder="1"/>
    <xf numFmtId="174" fontId="6" fillId="0" borderId="8" xfId="0" applyNumberFormat="1" applyFont="1" applyBorder="1" applyAlignment="1">
      <alignment horizontal="center"/>
    </xf>
    <xf numFmtId="4" fontId="6" fillId="0" borderId="10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6" xfId="0" applyFont="1" applyBorder="1" applyAlignment="1">
      <alignment horizontal="center"/>
    </xf>
    <xf numFmtId="0" fontId="0" fillId="0" borderId="6" xfId="0" applyBorder="1"/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75" fontId="6" fillId="0" borderId="9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0" xfId="0" applyNumberFormat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2</xdr:col>
      <xdr:colOff>133350</xdr:colOff>
      <xdr:row>46</xdr:row>
      <xdr:rowOff>38100</xdr:rowOff>
    </xdr:to>
    <xdr:pic>
      <xdr:nvPicPr>
        <xdr:cNvPr id="1031" name="Grafik 2">
          <a:extLst>
            <a:ext uri="{FF2B5EF4-FFF2-40B4-BE49-F238E27FC236}">
              <a16:creationId xmlns:a16="http://schemas.microsoft.com/office/drawing/2014/main" id="{00000000-0008-0000-26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743825"/>
          <a:ext cx="2409825" cy="10191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85725</xdr:rowOff>
    </xdr:from>
    <xdr:to>
      <xdr:col>1</xdr:col>
      <xdr:colOff>2933700</xdr:colOff>
      <xdr:row>48</xdr:row>
      <xdr:rowOff>123825</xdr:rowOff>
    </xdr:to>
    <xdr:pic>
      <xdr:nvPicPr>
        <xdr:cNvPr id="2055" name="Grafik 2">
          <a:extLst>
            <a:ext uri="{FF2B5EF4-FFF2-40B4-BE49-F238E27FC236}">
              <a16:creationId xmlns:a16="http://schemas.microsoft.com/office/drawing/2014/main" id="{00000000-0008-0000-27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8125" y="8020050"/>
          <a:ext cx="2038350" cy="7143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9525</xdr:rowOff>
    </xdr:from>
    <xdr:to>
      <xdr:col>3</xdr:col>
      <xdr:colOff>76200</xdr:colOff>
      <xdr:row>49</xdr:row>
      <xdr:rowOff>190500</xdr:rowOff>
    </xdr:to>
    <xdr:pic>
      <xdr:nvPicPr>
        <xdr:cNvPr id="3074" name="Grafik 2">
          <a:extLst>
            <a:ext uri="{FF2B5EF4-FFF2-40B4-BE49-F238E27FC236}">
              <a16:creationId xmlns:a16="http://schemas.microsoft.com/office/drawing/2014/main" id="{00000000-0008-0000-28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178296">
          <a:off x="0" y="7705725"/>
          <a:ext cx="2724150" cy="1333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8"/>
  <sheetViews>
    <sheetView workbookViewId="0">
      <selection activeCell="F10" sqref="F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71093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43475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7</v>
      </c>
      <c r="H9" s="86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8" customFormat="1" ht="14.25" customHeight="1" x14ac:dyDescent="0.2">
      <c r="A18" s="36"/>
      <c r="B18" s="36"/>
      <c r="C18" s="36"/>
      <c r="D18" s="36"/>
      <c r="E18" s="36"/>
      <c r="F18" s="36"/>
      <c r="G18" s="36"/>
      <c r="H18" s="36"/>
    </row>
    <row r="19" spans="1:9" s="9" customFormat="1" ht="15" customHeight="1" x14ac:dyDescent="0.25">
      <c r="D19" s="10"/>
      <c r="E19" s="11"/>
      <c r="F19" s="12"/>
      <c r="G19" s="13"/>
    </row>
    <row r="20" spans="1:9" s="9" customFormat="1" ht="15" customHeight="1" x14ac:dyDescent="0.25">
      <c r="A20" s="9" t="s">
        <v>14</v>
      </c>
      <c r="B20" s="14"/>
      <c r="D20" s="10"/>
      <c r="E20" s="11"/>
      <c r="F20" s="12"/>
      <c r="G20" s="13"/>
    </row>
    <row r="21" spans="1:9" s="9" customFormat="1" ht="15" customHeight="1" x14ac:dyDescent="0.25">
      <c r="A21" s="9" t="s">
        <v>15</v>
      </c>
      <c r="B21" s="14"/>
      <c r="D21" s="10"/>
      <c r="E21" s="11"/>
      <c r="F21" s="12"/>
      <c r="G21" s="13"/>
    </row>
    <row r="22" spans="1:9" s="9" customFormat="1" ht="15" customHeight="1" x14ac:dyDescent="0.25">
      <c r="D22" s="10"/>
      <c r="E22" s="11"/>
      <c r="F22" s="12"/>
      <c r="G22" s="13"/>
    </row>
    <row r="23" spans="1:9" s="9" customFormat="1" ht="15" customHeight="1" x14ac:dyDescent="0.25">
      <c r="A23" s="15" t="s">
        <v>16</v>
      </c>
      <c r="B23" s="16"/>
      <c r="C23" s="15"/>
      <c r="D23" s="10"/>
      <c r="E23" s="11" t="s">
        <v>17</v>
      </c>
      <c r="F23" s="11" t="s">
        <v>18</v>
      </c>
      <c r="G23" s="17" t="s">
        <v>19</v>
      </c>
      <c r="H23" s="18" t="s">
        <v>20</v>
      </c>
    </row>
    <row r="24" spans="1:9" s="9" customFormat="1" ht="15" customHeight="1" x14ac:dyDescent="0.25">
      <c r="A24" s="19" t="s">
        <v>21</v>
      </c>
      <c r="B24" s="19"/>
      <c r="C24" s="19"/>
      <c r="D24" s="20"/>
      <c r="E24" s="21" t="s">
        <v>22</v>
      </c>
      <c r="F24" s="21"/>
      <c r="G24" s="37" t="s">
        <v>23</v>
      </c>
      <c r="H24" s="23"/>
    </row>
    <row r="25" spans="1:9" s="9" customFormat="1" ht="15" customHeight="1" x14ac:dyDescent="0.25">
      <c r="A25" s="9">
        <v>25</v>
      </c>
      <c r="B25" s="9" t="s">
        <v>24</v>
      </c>
      <c r="E25" s="39">
        <v>58506.559999999998</v>
      </c>
      <c r="F25" s="11" t="s">
        <v>25</v>
      </c>
      <c r="G25" s="13">
        <v>20</v>
      </c>
      <c r="H25" s="39">
        <f>G25/10*255</f>
        <v>510</v>
      </c>
      <c r="I25" s="12"/>
    </row>
    <row r="26" spans="1:9" s="9" customFormat="1" ht="15" customHeight="1" x14ac:dyDescent="0.25">
      <c r="E26" s="39"/>
      <c r="F26" s="11"/>
      <c r="G26" s="13"/>
      <c r="H26" s="39"/>
      <c r="I26" s="12"/>
    </row>
    <row r="27" spans="1:9" s="9" customFormat="1" ht="15" customHeight="1" x14ac:dyDescent="0.25">
      <c r="A27" s="9">
        <v>24</v>
      </c>
      <c r="B27" s="40" t="s">
        <v>26</v>
      </c>
      <c r="E27" s="39">
        <v>8000</v>
      </c>
      <c r="F27" s="11" t="s">
        <v>27</v>
      </c>
      <c r="G27" s="13">
        <v>5</v>
      </c>
      <c r="H27" s="39">
        <f>G27/10*433</f>
        <v>216.5</v>
      </c>
    </row>
    <row r="28" spans="1:9" s="9" customFormat="1" ht="15" customHeight="1" x14ac:dyDescent="0.25">
      <c r="B28" s="40"/>
      <c r="E28" s="39"/>
      <c r="F28" s="11"/>
      <c r="G28" s="13"/>
      <c r="H28" s="39"/>
    </row>
    <row r="29" spans="1:9" s="9" customFormat="1" ht="15" customHeight="1" x14ac:dyDescent="0.25">
      <c r="A29" s="9">
        <v>16</v>
      </c>
      <c r="B29" s="9" t="s">
        <v>28</v>
      </c>
      <c r="E29" s="39">
        <f>SUM(H25:H27)*0.2</f>
        <v>145.30000000000001</v>
      </c>
      <c r="F29" s="11"/>
      <c r="G29" s="13"/>
      <c r="H29" s="39">
        <v>20</v>
      </c>
    </row>
    <row r="30" spans="1:9" s="9" customFormat="1" ht="15" customHeight="1" x14ac:dyDescent="0.25">
      <c r="B30" s="9" t="s">
        <v>29</v>
      </c>
      <c r="E30" s="20"/>
      <c r="F30" s="21"/>
      <c r="G30" s="22"/>
      <c r="H30" s="41"/>
    </row>
    <row r="31" spans="1:9" s="9" customFormat="1" ht="15" customHeight="1" x14ac:dyDescent="0.25">
      <c r="A31" s="14"/>
      <c r="B31" s="14"/>
      <c r="E31" s="9" t="s">
        <v>30</v>
      </c>
      <c r="F31" s="14"/>
      <c r="G31" s="13"/>
      <c r="H31" s="39">
        <f>SUM(H25:H30)</f>
        <v>746.5</v>
      </c>
      <c r="I31" s="39"/>
    </row>
    <row r="32" spans="1:9" s="9" customFormat="1" ht="15" customHeight="1" x14ac:dyDescent="0.25">
      <c r="E32" s="42" t="s">
        <v>31</v>
      </c>
      <c r="F32" s="14"/>
      <c r="G32" s="13"/>
      <c r="H32" s="39">
        <f>+H31*0.19</f>
        <v>141.83500000000001</v>
      </c>
    </row>
    <row r="33" spans="1:8" s="9" customFormat="1" thickBot="1" x14ac:dyDescent="0.3">
      <c r="E33" s="43" t="s">
        <v>32</v>
      </c>
      <c r="F33" s="44"/>
      <c r="G33" s="45"/>
      <c r="H33" s="46">
        <f>SUM(H31:H32)</f>
        <v>888.33500000000004</v>
      </c>
    </row>
    <row r="34" spans="1:8" s="9" customFormat="1" thickTop="1" x14ac:dyDescent="0.25">
      <c r="E34" s="35"/>
      <c r="F34" s="11"/>
      <c r="G34" s="13"/>
      <c r="H34" s="39"/>
    </row>
    <row r="35" spans="1:8" s="9" customFormat="1" ht="15.6" customHeight="1" x14ac:dyDescent="0.25">
      <c r="A35" s="9" t="s">
        <v>33</v>
      </c>
      <c r="D35" s="35"/>
      <c r="E35" s="11"/>
      <c r="F35" s="12"/>
      <c r="G35" s="13"/>
    </row>
    <row r="36" spans="1:8" s="9" customFormat="1" ht="15" customHeight="1" x14ac:dyDescent="0.25">
      <c r="A36" s="9" t="s">
        <v>34</v>
      </c>
      <c r="B36" s="14"/>
      <c r="D36" s="10"/>
      <c r="E36" s="11"/>
      <c r="F36" s="12"/>
      <c r="G36" s="13"/>
    </row>
    <row r="37" spans="1:8" s="9" customFormat="1" ht="15" customHeight="1" x14ac:dyDescent="0.25">
      <c r="D37" s="10"/>
      <c r="E37" s="11"/>
      <c r="F37" s="12"/>
      <c r="G37" s="13"/>
    </row>
    <row r="38" spans="1:8" s="9" customFormat="1" ht="15" customHeight="1" x14ac:dyDescent="0.25">
      <c r="D38" s="10"/>
      <c r="E38" s="11"/>
      <c r="F38" s="12"/>
      <c r="G38" s="13"/>
    </row>
    <row r="39" spans="1:8" s="9" customFormat="1" ht="15" customHeight="1" x14ac:dyDescent="0.25"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B42" s="19"/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s="9" customFormat="1" ht="11.25" customHeight="1" x14ac:dyDescent="0.25">
      <c r="D47" s="10"/>
      <c r="E47" s="11"/>
      <c r="F47" s="12"/>
      <c r="G47" s="13"/>
    </row>
    <row r="48" spans="1:8" x14ac:dyDescent="0.25">
      <c r="A48" s="78" t="s">
        <v>35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Q68"/>
  <sheetViews>
    <sheetView workbookViewId="0">
      <selection activeCell="F10" sqref="F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43475</v>
      </c>
      <c r="H7" s="77"/>
      <c r="J7" s="9">
        <v>25</v>
      </c>
      <c r="K7" s="9" t="s">
        <v>36</v>
      </c>
      <c r="L7" s="18">
        <v>2017</v>
      </c>
      <c r="N7" s="10">
        <v>12500</v>
      </c>
      <c r="O7" s="11" t="s">
        <v>25</v>
      </c>
      <c r="P7" s="13">
        <v>5</v>
      </c>
      <c r="Q7" s="39">
        <f>+P7/10*113</f>
        <v>56.5</v>
      </c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K8" s="9" t="s">
        <v>37</v>
      </c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38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10">
        <v>145348</v>
      </c>
      <c r="F20" s="11" t="s">
        <v>27</v>
      </c>
      <c r="G20" s="13">
        <v>3</v>
      </c>
      <c r="H20" s="39">
        <f>+G20/10*1583</f>
        <v>474.9</v>
      </c>
    </row>
    <row r="21" spans="1:9" s="9" customFormat="1" ht="15" customHeight="1" x14ac:dyDescent="0.25">
      <c r="B21" s="9" t="s">
        <v>46</v>
      </c>
      <c r="C21" s="18">
        <v>2017</v>
      </c>
      <c r="E21" s="10"/>
      <c r="F21" s="11"/>
      <c r="G21" s="13"/>
      <c r="H21" s="39"/>
    </row>
    <row r="22" spans="1:9" s="9" customFormat="1" ht="8.25" customHeight="1" x14ac:dyDescent="0.25">
      <c r="C22" s="18"/>
      <c r="E22" s="10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10">
        <v>8000</v>
      </c>
      <c r="F23" s="11" t="s">
        <v>27</v>
      </c>
      <c r="G23" s="13">
        <v>8</v>
      </c>
      <c r="H23" s="39">
        <f>+G23/20*433</f>
        <v>173.20000000000002</v>
      </c>
    </row>
    <row r="24" spans="1:9" s="9" customFormat="1" ht="15" customHeight="1" x14ac:dyDescent="0.25">
      <c r="B24" s="9" t="s">
        <v>48</v>
      </c>
      <c r="C24" s="18"/>
      <c r="E24" s="10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v>2017</v>
      </c>
      <c r="E25" s="10"/>
      <c r="F25" s="11"/>
      <c r="G25" s="13"/>
      <c r="H25" s="39"/>
    </row>
    <row r="26" spans="1:9" s="9" customFormat="1" ht="8.25" customHeight="1" x14ac:dyDescent="0.25">
      <c r="C26" s="18"/>
      <c r="E26" s="10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10">
        <v>8000</v>
      </c>
      <c r="F27" s="11" t="s">
        <v>27</v>
      </c>
      <c r="G27" s="13">
        <v>1</v>
      </c>
      <c r="H27" s="39">
        <f>+G27/10*433</f>
        <v>43.300000000000004</v>
      </c>
    </row>
    <row r="28" spans="1:9" s="9" customFormat="1" ht="15" customHeight="1" x14ac:dyDescent="0.25">
      <c r="B28" s="9" t="s">
        <v>50</v>
      </c>
      <c r="C28" s="18"/>
      <c r="E28" s="10"/>
      <c r="F28" s="11"/>
      <c r="G28" s="13"/>
      <c r="H28" s="39"/>
    </row>
    <row r="29" spans="1:9" s="9" customFormat="1" ht="15" customHeight="1" x14ac:dyDescent="0.25">
      <c r="B29" s="9" t="s">
        <v>51</v>
      </c>
      <c r="C29" s="18"/>
      <c r="E29" s="10"/>
      <c r="F29" s="11"/>
      <c r="G29" s="13"/>
      <c r="H29" s="39"/>
    </row>
    <row r="30" spans="1:9" s="9" customFormat="1" ht="8.25" customHeight="1" x14ac:dyDescent="0.25">
      <c r="C30" s="18"/>
      <c r="E30" s="10"/>
      <c r="F30" s="11"/>
      <c r="G30" s="13"/>
      <c r="H30" s="39"/>
      <c r="I30" s="12"/>
    </row>
    <row r="31" spans="1:9" s="9" customFormat="1" ht="15" customHeight="1" x14ac:dyDescent="0.25"/>
    <row r="32" spans="1:9" s="9" customFormat="1" ht="15" customHeight="1" x14ac:dyDescent="0.25"/>
    <row r="33" spans="1:11" s="9" customFormat="1" ht="15" customHeight="1" x14ac:dyDescent="0.25"/>
    <row r="34" spans="1:11" s="9" customFormat="1" ht="8.25" customHeight="1" x14ac:dyDescent="0.25">
      <c r="E34" s="10"/>
      <c r="F34" s="11"/>
      <c r="G34" s="13"/>
      <c r="H34" s="39"/>
      <c r="I34" s="12"/>
    </row>
    <row r="35" spans="1:11" s="9" customFormat="1" ht="15" customHeight="1" x14ac:dyDescent="0.25">
      <c r="A35" s="9">
        <v>16</v>
      </c>
      <c r="B35" s="9" t="s">
        <v>28</v>
      </c>
      <c r="E35" s="10">
        <f>SUM(H20:H32)*0.2</f>
        <v>138.28</v>
      </c>
      <c r="F35" s="11"/>
      <c r="G35" s="13"/>
      <c r="H35" s="39">
        <v>20</v>
      </c>
    </row>
    <row r="36" spans="1:11" s="9" customFormat="1" ht="15" customHeight="1" x14ac:dyDescent="0.25">
      <c r="B36" s="9" t="s">
        <v>29</v>
      </c>
      <c r="E36" s="20"/>
      <c r="F36" s="21"/>
      <c r="G36" s="22"/>
      <c r="H36" s="41"/>
    </row>
    <row r="37" spans="1:11" s="9" customFormat="1" ht="15" customHeight="1" x14ac:dyDescent="0.25">
      <c r="A37" s="14"/>
      <c r="B37" s="14"/>
      <c r="E37" s="9" t="s">
        <v>30</v>
      </c>
      <c r="F37" s="14"/>
      <c r="G37" s="13"/>
      <c r="H37" s="39">
        <f>SUM(H20:H36)</f>
        <v>711.4</v>
      </c>
      <c r="I37" s="39">
        <f>+H37+'JA 2017'!H31</f>
        <v>1457.9</v>
      </c>
      <c r="J37" s="39">
        <f>+I37/80</f>
        <v>18.223750000000003</v>
      </c>
      <c r="K37" s="39" t="e">
        <f>+H37-#REF!</f>
        <v>#REF!</v>
      </c>
    </row>
    <row r="38" spans="1:11" s="9" customFormat="1" ht="15" customHeight="1" x14ac:dyDescent="0.25">
      <c r="E38" s="42" t="s">
        <v>31</v>
      </c>
      <c r="F38" s="14"/>
      <c r="G38" s="13"/>
      <c r="H38" s="39">
        <f>+H37*0.19</f>
        <v>135.166</v>
      </c>
      <c r="K38" s="9" t="e">
        <f>+'JA 2017'!H31-#REF!</f>
        <v>#REF!</v>
      </c>
    </row>
    <row r="39" spans="1:11" s="9" customFormat="1" thickBot="1" x14ac:dyDescent="0.3">
      <c r="E39" s="43" t="s">
        <v>32</v>
      </c>
      <c r="F39" s="44"/>
      <c r="G39" s="45"/>
      <c r="H39" s="46">
        <f>SUM(H37:H38)</f>
        <v>846.56600000000003</v>
      </c>
    </row>
    <row r="40" spans="1:11" s="9" customFormat="1" thickTop="1" x14ac:dyDescent="0.25">
      <c r="E40" s="35"/>
      <c r="F40" s="11"/>
      <c r="G40" s="13"/>
      <c r="H40" s="39"/>
    </row>
    <row r="41" spans="1:11" s="9" customFormat="1" ht="15" customHeight="1" x14ac:dyDescent="0.25">
      <c r="A41" s="9" t="s">
        <v>33</v>
      </c>
      <c r="D41" s="35"/>
      <c r="E41" s="11"/>
      <c r="F41" s="12"/>
      <c r="G41" s="13"/>
    </row>
    <row r="42" spans="1:11" s="9" customFormat="1" ht="15" customHeight="1" x14ac:dyDescent="0.25">
      <c r="A42" s="9" t="s">
        <v>34</v>
      </c>
      <c r="B42" s="14"/>
      <c r="D42" s="10"/>
      <c r="E42" s="11"/>
      <c r="F42" s="12"/>
      <c r="G42" s="13"/>
    </row>
    <row r="43" spans="1:11" s="9" customFormat="1" ht="15" customHeight="1" x14ac:dyDescent="0.25"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B46" s="19"/>
      <c r="D46" s="10"/>
      <c r="E46" s="11"/>
      <c r="F46" s="12"/>
      <c r="G46" s="13"/>
    </row>
    <row r="47" spans="1:11" s="9" customFormat="1" ht="8.25" customHeight="1" x14ac:dyDescent="0.25">
      <c r="D47" s="10"/>
      <c r="E47" s="11"/>
      <c r="F47" s="12"/>
      <c r="G47" s="13"/>
      <c r="I47" s="12"/>
    </row>
    <row r="48" spans="1:11" s="9" customFormat="1" ht="15" customHeight="1" x14ac:dyDescent="0.25">
      <c r="D48" s="10"/>
      <c r="E48" s="11"/>
      <c r="F48" s="12"/>
      <c r="G48" s="13"/>
      <c r="I48" s="12"/>
    </row>
    <row r="49" spans="1:8" s="9" customFormat="1" ht="15" customHeight="1" x14ac:dyDescent="0.25">
      <c r="D49" s="10"/>
      <c r="E49" s="11"/>
      <c r="F49" s="12"/>
      <c r="G49" s="13"/>
    </row>
    <row r="50" spans="1:8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8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8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8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8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8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2404.5320000000002</v>
      </c>
    </row>
    <row r="56" spans="1:8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8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8" x14ac:dyDescent="0.25">
      <c r="D58" s="7"/>
      <c r="E58" s="3"/>
      <c r="F58" s="4"/>
      <c r="H58" s="24"/>
    </row>
    <row r="59" spans="1:8" x14ac:dyDescent="0.25">
      <c r="D59" s="7"/>
      <c r="E59" s="3"/>
      <c r="F59" s="4"/>
      <c r="H59" s="24"/>
    </row>
    <row r="60" spans="1:8" x14ac:dyDescent="0.25">
      <c r="D60" s="7"/>
      <c r="E60" s="3"/>
      <c r="F60" s="4"/>
      <c r="H60" s="24"/>
    </row>
    <row r="61" spans="1:8" ht="11.25" customHeight="1" x14ac:dyDescent="0.25">
      <c r="D61" s="7"/>
      <c r="E61" s="3"/>
      <c r="F61" s="4"/>
      <c r="H61" s="24"/>
    </row>
    <row r="62" spans="1:8" x14ac:dyDescent="0.25">
      <c r="D62" s="7"/>
      <c r="E62" s="3"/>
      <c r="F62" s="4"/>
      <c r="H62" s="24"/>
    </row>
    <row r="63" spans="1:8" x14ac:dyDescent="0.25">
      <c r="D63" s="7"/>
      <c r="E63" s="3"/>
      <c r="F63" s="4"/>
      <c r="H63" s="24"/>
    </row>
    <row r="64" spans="1:8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2404.5320000000002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H2679"/>
  <sheetViews>
    <sheetView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43538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56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 t="s">
        <v>58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00" t="s">
        <v>59</v>
      </c>
      <c r="D23" s="85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70000</v>
      </c>
      <c r="F24" s="55" t="s">
        <v>61</v>
      </c>
      <c r="G24" s="11">
        <v>10</v>
      </c>
      <c r="H24" s="56">
        <f>+G24/20*133*3</f>
        <v>199.5</v>
      </c>
    </row>
    <row r="25" spans="1:8" s="9" customFormat="1" ht="15" customHeight="1" x14ac:dyDescent="0.25">
      <c r="B25" s="9" t="s">
        <v>62</v>
      </c>
      <c r="C25" s="98">
        <v>43504</v>
      </c>
      <c r="D25" s="96"/>
      <c r="E25" s="54"/>
      <c r="F25" s="55"/>
      <c r="G25" s="11"/>
      <c r="H25" s="56"/>
    </row>
    <row r="26" spans="1:8" s="9" customFormat="1" ht="15" customHeight="1" x14ac:dyDescent="0.25"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C32" s="97" t="s">
        <v>63</v>
      </c>
      <c r="D32" s="96"/>
      <c r="E32" s="10">
        <f>SUM(H24:H27)*0.2</f>
        <v>39.900000000000006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219.5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41.704999999999998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261.20499999999998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3">
    <mergeCell ref="A48:H48"/>
    <mergeCell ref="C32:D32"/>
    <mergeCell ref="G7:H7"/>
    <mergeCell ref="E7:F7"/>
    <mergeCell ref="C25:D25"/>
    <mergeCell ref="G10:H10"/>
    <mergeCell ref="A16:H16"/>
    <mergeCell ref="E8:F8"/>
    <mergeCell ref="F12:H12"/>
    <mergeCell ref="G9:H9"/>
    <mergeCell ref="E9:F9"/>
    <mergeCell ref="F11:H11"/>
    <mergeCell ref="C23:D23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H2679"/>
  <sheetViews>
    <sheetView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43628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65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 t="s">
        <v>58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10</v>
      </c>
      <c r="H24" s="56">
        <f>+G24/20*133*3</f>
        <v>199.5</v>
      </c>
    </row>
    <row r="25" spans="1:8" s="9" customFormat="1" ht="15" customHeight="1" x14ac:dyDescent="0.25">
      <c r="B25" s="9" t="s">
        <v>66</v>
      </c>
      <c r="C25" s="18"/>
      <c r="E25" s="54"/>
      <c r="F25" s="55"/>
      <c r="G25" s="11"/>
      <c r="H25" s="56"/>
    </row>
    <row r="26" spans="1:8" s="9" customFormat="1" ht="15" customHeight="1" x14ac:dyDescent="0.25">
      <c r="B26" s="9" t="s">
        <v>67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SUM(H24:H27)*0.2</f>
        <v>39.900000000000006</v>
      </c>
      <c r="F32" s="11"/>
      <c r="G32" s="13"/>
      <c r="H32" s="39">
        <v>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199.5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37.905000000000001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237.405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Q68"/>
  <sheetViews>
    <sheetView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43690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68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9" customFormat="1" ht="15" customHeight="1" x14ac:dyDescent="0.25">
      <c r="D13" s="10"/>
      <c r="E13" s="11"/>
      <c r="F13" s="12"/>
    </row>
    <row r="14" spans="1:17" s="9" customFormat="1" ht="15" customHeight="1" x14ac:dyDescent="0.25">
      <c r="D14" s="10"/>
      <c r="E14" s="11"/>
      <c r="F14" s="12"/>
    </row>
    <row r="15" spans="1:17" s="8" customFormat="1" ht="14.25" customHeight="1" x14ac:dyDescent="0.2">
      <c r="A15" s="89" t="s">
        <v>13</v>
      </c>
      <c r="B15" s="90"/>
      <c r="C15" s="90"/>
      <c r="D15" s="90"/>
      <c r="E15" s="90"/>
      <c r="F15" s="90"/>
      <c r="G15" s="90"/>
      <c r="H15" s="90"/>
    </row>
    <row r="16" spans="1:17" s="9" customFormat="1" ht="15" customHeight="1" x14ac:dyDescent="0.25">
      <c r="D16" s="10"/>
      <c r="E16" s="11"/>
      <c r="F16" s="10"/>
      <c r="G16" s="12"/>
    </row>
    <row r="17" spans="1:9" s="9" customFormat="1" ht="15" customHeight="1" x14ac:dyDescent="0.25">
      <c r="A17" s="9" t="s">
        <v>39</v>
      </c>
      <c r="B17" s="14"/>
      <c r="D17" s="10"/>
      <c r="E17" s="11"/>
      <c r="F17" s="10"/>
      <c r="G17" s="12"/>
    </row>
    <row r="18" spans="1:9" s="9" customFormat="1" ht="15" customHeight="1" x14ac:dyDescent="0.25">
      <c r="A18" s="9" t="s">
        <v>40</v>
      </c>
      <c r="B18" s="14"/>
      <c r="D18" s="10"/>
      <c r="E18" s="11"/>
      <c r="F18" s="10"/>
      <c r="G18" s="12"/>
    </row>
    <row r="19" spans="1:9" s="9" customFormat="1" ht="8.25" customHeight="1" x14ac:dyDescent="0.25">
      <c r="D19" s="10"/>
      <c r="E19" s="11"/>
      <c r="F19" s="10"/>
      <c r="G19" s="12"/>
    </row>
    <row r="20" spans="1:9" s="9" customFormat="1" ht="15" customHeight="1" x14ac:dyDescent="0.25">
      <c r="A20" s="15" t="s">
        <v>16</v>
      </c>
      <c r="B20" s="16"/>
      <c r="C20" s="15"/>
      <c r="E20" s="10" t="s">
        <v>17</v>
      </c>
      <c r="F20" s="11" t="s">
        <v>18</v>
      </c>
      <c r="G20" s="10" t="s">
        <v>41</v>
      </c>
      <c r="H20" s="11" t="s">
        <v>42</v>
      </c>
    </row>
    <row r="21" spans="1:9" s="9" customFormat="1" ht="15" customHeight="1" x14ac:dyDescent="0.25">
      <c r="A21" s="19" t="s">
        <v>21</v>
      </c>
      <c r="B21" s="19"/>
      <c r="C21" s="19"/>
      <c r="D21" s="19"/>
      <c r="E21" s="20" t="s">
        <v>43</v>
      </c>
      <c r="F21" s="21"/>
      <c r="G21" s="20" t="s">
        <v>44</v>
      </c>
      <c r="H21" s="38"/>
    </row>
    <row r="22" spans="1:9" s="9" customFormat="1" ht="8.25" customHeight="1" x14ac:dyDescent="0.25">
      <c r="C22" s="18"/>
      <c r="E22" s="39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39">
        <v>8000</v>
      </c>
      <c r="F23" s="11" t="s">
        <v>27</v>
      </c>
      <c r="G23" s="13">
        <v>10</v>
      </c>
      <c r="H23" s="39">
        <f>+G23/20*433</f>
        <v>216.5</v>
      </c>
    </row>
    <row r="24" spans="1:9" s="9" customFormat="1" ht="15" customHeight="1" x14ac:dyDescent="0.25">
      <c r="B24" s="9" t="s">
        <v>48</v>
      </c>
      <c r="C24" s="18"/>
      <c r="E24" s="39"/>
      <c r="F24" s="11"/>
      <c r="G24" s="13"/>
      <c r="H24" s="39"/>
    </row>
    <row r="25" spans="1:9" s="9" customFormat="1" ht="15" customHeight="1" x14ac:dyDescent="0.25">
      <c r="B25" s="9" t="s">
        <v>69</v>
      </c>
      <c r="C25" s="18">
        <v>2017</v>
      </c>
      <c r="E25" s="39"/>
      <c r="F25" s="11"/>
      <c r="G25" s="13"/>
      <c r="H25" s="39"/>
    </row>
    <row r="26" spans="1:9" s="9" customFormat="1" ht="8.25" customHeight="1" x14ac:dyDescent="0.25">
      <c r="C26" s="18"/>
      <c r="E26" s="39"/>
      <c r="F26" s="11"/>
      <c r="G26" s="13"/>
      <c r="H26" s="39"/>
      <c r="I26" s="12"/>
    </row>
    <row r="27" spans="1:9" s="9" customFormat="1" ht="15" customHeight="1" x14ac:dyDescent="0.25">
      <c r="C27" s="18"/>
      <c r="E27" s="39"/>
      <c r="F27" s="11"/>
      <c r="G27" s="13"/>
      <c r="H27" s="39"/>
    </row>
    <row r="28" spans="1:9" s="9" customFormat="1" ht="15" customHeight="1" x14ac:dyDescent="0.25">
      <c r="C28" s="18"/>
      <c r="E28" s="10"/>
      <c r="F28" s="11"/>
      <c r="G28" s="13"/>
      <c r="H28" s="39"/>
    </row>
    <row r="29" spans="1:9" s="9" customFormat="1" ht="15" customHeight="1" x14ac:dyDescent="0.25">
      <c r="C29" s="18"/>
      <c r="E29" s="10"/>
      <c r="F29" s="11"/>
      <c r="G29" s="13"/>
      <c r="H29" s="39"/>
    </row>
    <row r="30" spans="1:9" s="9" customFormat="1" ht="8.25" customHeight="1" x14ac:dyDescent="0.25">
      <c r="C30" s="18"/>
      <c r="E30" s="10"/>
      <c r="F30" s="11"/>
      <c r="G30" s="13"/>
      <c r="H30" s="39"/>
      <c r="I30" s="12"/>
    </row>
    <row r="31" spans="1:9" s="9" customFormat="1" ht="15" customHeight="1" x14ac:dyDescent="0.25"/>
    <row r="32" spans="1:9" s="9" customFormat="1" ht="15" customHeight="1" x14ac:dyDescent="0.25"/>
    <row r="33" spans="1:11" s="9" customFormat="1" ht="15" customHeight="1" x14ac:dyDescent="0.25"/>
    <row r="34" spans="1:11" s="9" customFormat="1" ht="8.25" customHeight="1" x14ac:dyDescent="0.25">
      <c r="E34" s="10"/>
      <c r="F34" s="11"/>
      <c r="G34" s="13"/>
      <c r="H34" s="39"/>
      <c r="I34" s="12"/>
    </row>
    <row r="35" spans="1:11" s="9" customFormat="1" ht="15" customHeight="1" x14ac:dyDescent="0.25">
      <c r="A35" s="9">
        <v>16</v>
      </c>
      <c r="B35" s="9" t="s">
        <v>28</v>
      </c>
      <c r="E35" s="10">
        <f>SUM(H22:H32)*0.2</f>
        <v>43.300000000000004</v>
      </c>
      <c r="F35" s="11"/>
      <c r="G35" s="13"/>
      <c r="H35" s="39">
        <v>20</v>
      </c>
    </row>
    <row r="36" spans="1:11" s="9" customFormat="1" ht="15" customHeight="1" x14ac:dyDescent="0.25">
      <c r="B36" s="9" t="s">
        <v>29</v>
      </c>
      <c r="E36" s="20"/>
      <c r="F36" s="21"/>
      <c r="G36" s="22"/>
      <c r="H36" s="41"/>
    </row>
    <row r="37" spans="1:11" s="9" customFormat="1" ht="15" customHeight="1" x14ac:dyDescent="0.25">
      <c r="A37" s="14"/>
      <c r="B37" s="14"/>
      <c r="E37" s="9" t="s">
        <v>30</v>
      </c>
      <c r="F37" s="14"/>
      <c r="G37" s="13"/>
      <c r="H37" s="39">
        <f>SUM(H22:H36)</f>
        <v>236.5</v>
      </c>
      <c r="I37" s="39"/>
      <c r="J37" s="39"/>
      <c r="K37" s="39"/>
    </row>
    <row r="38" spans="1:11" s="9" customFormat="1" ht="15" customHeight="1" x14ac:dyDescent="0.25">
      <c r="E38" s="42" t="s">
        <v>31</v>
      </c>
      <c r="F38" s="14"/>
      <c r="G38" s="13"/>
      <c r="H38" s="39">
        <f>+H37*0.19</f>
        <v>44.935000000000002</v>
      </c>
    </row>
    <row r="39" spans="1:11" s="9" customFormat="1" thickBot="1" x14ac:dyDescent="0.3">
      <c r="E39" s="43" t="s">
        <v>32</v>
      </c>
      <c r="F39" s="44"/>
      <c r="G39" s="45"/>
      <c r="H39" s="46">
        <f>SUM(H37:H38)</f>
        <v>281.435</v>
      </c>
    </row>
    <row r="40" spans="1:11" s="9" customFormat="1" thickTop="1" x14ac:dyDescent="0.25">
      <c r="E40" s="35"/>
      <c r="F40" s="11"/>
      <c r="G40" s="13"/>
      <c r="H40" s="39"/>
    </row>
    <row r="41" spans="1:11" s="9" customFormat="1" ht="15" customHeight="1" x14ac:dyDescent="0.25">
      <c r="A41" s="9" t="s">
        <v>33</v>
      </c>
      <c r="D41" s="35"/>
      <c r="E41" s="11"/>
      <c r="F41" s="12"/>
      <c r="G41" s="13"/>
    </row>
    <row r="42" spans="1:11" s="9" customFormat="1" ht="15" customHeight="1" x14ac:dyDescent="0.25">
      <c r="A42" s="9" t="s">
        <v>34</v>
      </c>
      <c r="B42" s="14"/>
      <c r="D42" s="10"/>
      <c r="E42" s="11"/>
      <c r="F42" s="12"/>
      <c r="G42" s="13"/>
    </row>
    <row r="43" spans="1:11" s="9" customFormat="1" ht="15" customHeight="1" x14ac:dyDescent="0.25"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B46" s="19"/>
      <c r="D46" s="10"/>
      <c r="E46" s="11"/>
      <c r="F46" s="12"/>
      <c r="G46" s="13"/>
    </row>
    <row r="47" spans="1:11" s="9" customFormat="1" ht="8.25" customHeight="1" x14ac:dyDescent="0.25">
      <c r="D47" s="10"/>
      <c r="E47" s="11"/>
      <c r="F47" s="12"/>
      <c r="G47" s="13"/>
      <c r="I47" s="12"/>
    </row>
    <row r="48" spans="1:11" s="9" customFormat="1" ht="15" customHeight="1" x14ac:dyDescent="0.25">
      <c r="D48" s="10"/>
      <c r="E48" s="11"/>
      <c r="F48" s="12"/>
      <c r="G48" s="13"/>
      <c r="I48" s="12"/>
    </row>
    <row r="49" spans="1:8" s="9" customFormat="1" ht="15" customHeight="1" x14ac:dyDescent="0.25">
      <c r="D49" s="10"/>
      <c r="E49" s="11"/>
      <c r="F49" s="12"/>
      <c r="G49" s="13"/>
    </row>
    <row r="50" spans="1:8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8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8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8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8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8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SUM(H22:H54)</f>
        <v>799.36999999999989</v>
      </c>
    </row>
    <row r="56" spans="1:8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8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8" x14ac:dyDescent="0.25">
      <c r="D58" s="7"/>
      <c r="E58" s="3"/>
      <c r="F58" s="4"/>
      <c r="H58" s="24"/>
    </row>
    <row r="59" spans="1:8" x14ac:dyDescent="0.25">
      <c r="D59" s="7"/>
      <c r="E59" s="3"/>
      <c r="F59" s="4"/>
      <c r="H59" s="24"/>
    </row>
    <row r="60" spans="1:8" x14ac:dyDescent="0.25">
      <c r="D60" s="7"/>
      <c r="E60" s="3"/>
      <c r="F60" s="4"/>
      <c r="H60" s="24"/>
    </row>
    <row r="61" spans="1:8" ht="11.25" customHeight="1" x14ac:dyDescent="0.25">
      <c r="D61" s="7"/>
      <c r="E61" s="3"/>
      <c r="F61" s="4"/>
      <c r="H61" s="24"/>
    </row>
    <row r="62" spans="1:8" x14ac:dyDescent="0.25">
      <c r="D62" s="7"/>
      <c r="E62" s="3"/>
      <c r="F62" s="4"/>
      <c r="H62" s="24"/>
    </row>
    <row r="63" spans="1:8" x14ac:dyDescent="0.25">
      <c r="D63" s="7"/>
      <c r="E63" s="3"/>
      <c r="F63" s="4"/>
      <c r="H63" s="24"/>
    </row>
    <row r="64" spans="1:8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799.36999999999989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A15:H15"/>
    <mergeCell ref="G7:H7"/>
    <mergeCell ref="E7:F7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H2679"/>
  <sheetViews>
    <sheetView topLeftCell="A7"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43787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70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 t="s">
        <v>58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10</v>
      </c>
      <c r="H24" s="56">
        <f>+G24/20*133*3</f>
        <v>199.5</v>
      </c>
    </row>
    <row r="25" spans="1:8" s="9" customFormat="1" ht="15" customHeight="1" x14ac:dyDescent="0.25">
      <c r="B25" s="9" t="s">
        <v>71</v>
      </c>
      <c r="C25" s="18"/>
      <c r="E25" s="54"/>
      <c r="F25" s="55"/>
      <c r="G25" s="11"/>
      <c r="H25" s="56"/>
    </row>
    <row r="26" spans="1:8" s="9" customFormat="1" ht="15" customHeight="1" x14ac:dyDescent="0.25">
      <c r="B26" s="9" t="s">
        <v>72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A28" s="9">
        <v>33</v>
      </c>
      <c r="B28" s="9" t="s">
        <v>60</v>
      </c>
      <c r="C28" s="18"/>
      <c r="E28" s="54">
        <v>65000</v>
      </c>
      <c r="F28" s="55" t="s">
        <v>61</v>
      </c>
      <c r="G28" s="11">
        <v>10</v>
      </c>
      <c r="H28" s="56">
        <f>+G28/20*133*3</f>
        <v>199.5</v>
      </c>
    </row>
    <row r="29" spans="1:8" s="9" customFormat="1" ht="15" customHeight="1" x14ac:dyDescent="0.25">
      <c r="B29" s="9" t="s">
        <v>71</v>
      </c>
      <c r="C29" s="18"/>
      <c r="E29" s="54"/>
      <c r="F29" s="55"/>
      <c r="G29" s="11"/>
      <c r="H29" s="56"/>
    </row>
    <row r="30" spans="1:8" s="9" customFormat="1" ht="15" customHeight="1" x14ac:dyDescent="0.25">
      <c r="B30" s="9" t="s">
        <v>72</v>
      </c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79.800000000000011</v>
      </c>
      <c r="F32" s="11"/>
      <c r="G32" s="13"/>
      <c r="H32" s="39">
        <v>40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439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83.41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522.41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H2679"/>
  <sheetViews>
    <sheetView workbookViewId="0">
      <selection activeCell="C31" sqref="C31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43892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73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 t="s">
        <v>58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10</v>
      </c>
      <c r="H24" s="56">
        <f>+G24/20*133*3</f>
        <v>199.5</v>
      </c>
    </row>
    <row r="25" spans="1:8" s="9" customFormat="1" ht="15" customHeight="1" x14ac:dyDescent="0.25">
      <c r="B25" s="9" t="s">
        <v>74</v>
      </c>
      <c r="C25" s="18"/>
      <c r="E25" s="54"/>
      <c r="F25" s="55"/>
      <c r="G25" s="11"/>
      <c r="H25" s="56"/>
    </row>
    <row r="26" spans="1:8" s="9" customFormat="1" ht="15" customHeight="1" x14ac:dyDescent="0.25">
      <c r="B26" s="9" t="s">
        <v>75</v>
      </c>
      <c r="C26" s="98">
        <v>43776</v>
      </c>
      <c r="D26" s="96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A28" s="9">
        <v>33</v>
      </c>
      <c r="B28" s="9" t="s">
        <v>60</v>
      </c>
      <c r="C28" s="18"/>
      <c r="E28" s="54">
        <v>65000</v>
      </c>
      <c r="F28" s="55" t="s">
        <v>61</v>
      </c>
      <c r="G28" s="11">
        <v>10</v>
      </c>
      <c r="H28" s="56">
        <f>+G28/20*133*3</f>
        <v>199.5</v>
      </c>
    </row>
    <row r="29" spans="1:8" s="9" customFormat="1" ht="15" customHeight="1" x14ac:dyDescent="0.25">
      <c r="B29" s="9" t="s">
        <v>76</v>
      </c>
      <c r="C29" s="18"/>
      <c r="E29" s="54"/>
      <c r="F29" s="55"/>
      <c r="G29" s="11"/>
      <c r="H29" s="56"/>
    </row>
    <row r="30" spans="1:8" s="9" customFormat="1" ht="15" customHeight="1" x14ac:dyDescent="0.25">
      <c r="B30" s="9" t="s">
        <v>75</v>
      </c>
      <c r="C30" s="98">
        <v>43871</v>
      </c>
      <c r="D30" s="96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C32" s="9" t="s">
        <v>77</v>
      </c>
      <c r="E32" s="10">
        <f>SUM(H24:H28)*0.2</f>
        <v>79.800000000000011</v>
      </c>
      <c r="F32" s="11"/>
      <c r="G32" s="13"/>
      <c r="H32" s="39">
        <v>40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439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83.41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522.41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2">
    <mergeCell ref="E9:F9"/>
    <mergeCell ref="A48:H48"/>
    <mergeCell ref="C30:D30"/>
    <mergeCell ref="G7:H7"/>
    <mergeCell ref="E7:F7"/>
    <mergeCell ref="G10:H10"/>
    <mergeCell ref="A16:H16"/>
    <mergeCell ref="E8:F8"/>
    <mergeCell ref="F12:H12"/>
    <mergeCell ref="G9:H9"/>
    <mergeCell ref="C26:D26"/>
    <mergeCell ref="F11:H11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I48"/>
  <sheetViews>
    <sheetView workbookViewId="0">
      <selection activeCell="G7" sqref="G7:H7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71093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43892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78</v>
      </c>
      <c r="H9" s="86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8" customFormat="1" ht="14.25" customHeight="1" x14ac:dyDescent="0.2">
      <c r="A18" s="36"/>
      <c r="B18" s="36"/>
      <c r="C18" s="36"/>
      <c r="D18" s="36"/>
      <c r="E18" s="36"/>
      <c r="F18" s="36"/>
      <c r="G18" s="36"/>
      <c r="H18" s="36"/>
    </row>
    <row r="19" spans="1:9" s="9" customFormat="1" ht="15" customHeight="1" x14ac:dyDescent="0.25">
      <c r="D19" s="10"/>
      <c r="E19" s="11"/>
      <c r="F19" s="12"/>
      <c r="G19" s="13"/>
    </row>
    <row r="20" spans="1:9" s="9" customFormat="1" ht="15" customHeight="1" x14ac:dyDescent="0.25">
      <c r="A20" s="9" t="s">
        <v>14</v>
      </c>
      <c r="B20" s="14"/>
      <c r="D20" s="10"/>
      <c r="E20" s="11"/>
      <c r="F20" s="12"/>
      <c r="G20" s="13"/>
    </row>
    <row r="21" spans="1:9" s="9" customFormat="1" ht="15" customHeight="1" x14ac:dyDescent="0.25">
      <c r="A21" s="9" t="s">
        <v>15</v>
      </c>
      <c r="B21" s="14"/>
      <c r="D21" s="10"/>
      <c r="E21" s="11"/>
      <c r="F21" s="12"/>
      <c r="G21" s="13"/>
    </row>
    <row r="22" spans="1:9" s="9" customFormat="1" ht="15" customHeight="1" x14ac:dyDescent="0.25">
      <c r="D22" s="10"/>
      <c r="E22" s="11"/>
      <c r="F22" s="12"/>
      <c r="G22" s="13"/>
    </row>
    <row r="23" spans="1:9" s="9" customFormat="1" ht="15" customHeight="1" x14ac:dyDescent="0.25">
      <c r="A23" s="15" t="s">
        <v>16</v>
      </c>
      <c r="B23" s="16"/>
      <c r="C23" s="15"/>
      <c r="D23" s="10"/>
      <c r="E23" s="11" t="s">
        <v>17</v>
      </c>
      <c r="F23" s="11" t="s">
        <v>18</v>
      </c>
      <c r="G23" s="17" t="s">
        <v>19</v>
      </c>
      <c r="H23" s="18" t="s">
        <v>20</v>
      </c>
    </row>
    <row r="24" spans="1:9" s="9" customFormat="1" ht="15" customHeight="1" x14ac:dyDescent="0.25">
      <c r="A24" s="19" t="s">
        <v>21</v>
      </c>
      <c r="B24" s="19"/>
      <c r="C24" s="19"/>
      <c r="D24" s="20"/>
      <c r="E24" s="21" t="s">
        <v>22</v>
      </c>
      <c r="F24" s="21"/>
      <c r="G24" s="37" t="s">
        <v>23</v>
      </c>
      <c r="H24" s="23"/>
    </row>
    <row r="25" spans="1:9" s="9" customFormat="1" ht="15" customHeight="1" x14ac:dyDescent="0.25">
      <c r="A25" s="9">
        <v>25</v>
      </c>
      <c r="B25" s="9" t="s">
        <v>24</v>
      </c>
      <c r="E25" s="39">
        <v>76378.77</v>
      </c>
      <c r="F25" s="11" t="s">
        <v>25</v>
      </c>
      <c r="G25" s="13">
        <v>20</v>
      </c>
      <c r="H25" s="39">
        <f>G25/10*297</f>
        <v>594</v>
      </c>
      <c r="I25" s="12"/>
    </row>
    <row r="26" spans="1:9" s="9" customFormat="1" ht="15" customHeight="1" x14ac:dyDescent="0.25">
      <c r="E26" s="39"/>
      <c r="F26" s="11"/>
      <c r="G26" s="13"/>
      <c r="H26" s="39"/>
      <c r="I26" s="12"/>
    </row>
    <row r="27" spans="1:9" s="9" customFormat="1" ht="15" customHeight="1" x14ac:dyDescent="0.25">
      <c r="A27" s="9">
        <v>24</v>
      </c>
      <c r="B27" s="40" t="s">
        <v>26</v>
      </c>
      <c r="E27" s="39">
        <v>8000</v>
      </c>
      <c r="F27" s="11" t="s">
        <v>27</v>
      </c>
      <c r="G27" s="13">
        <v>6</v>
      </c>
      <c r="H27" s="39">
        <f>G27/10*433</f>
        <v>259.8</v>
      </c>
    </row>
    <row r="28" spans="1:9" s="9" customFormat="1" ht="15" customHeight="1" x14ac:dyDescent="0.25">
      <c r="B28" s="40"/>
      <c r="E28" s="39"/>
      <c r="F28" s="11"/>
      <c r="G28" s="13"/>
      <c r="H28" s="39"/>
    </row>
    <row r="29" spans="1:9" s="9" customFormat="1" ht="15" customHeight="1" x14ac:dyDescent="0.25">
      <c r="A29" s="9">
        <v>16</v>
      </c>
      <c r="B29" s="9" t="s">
        <v>28</v>
      </c>
      <c r="E29" s="39">
        <f>SUM(H25:H27)*0.2</f>
        <v>170.76</v>
      </c>
      <c r="F29" s="11"/>
      <c r="G29" s="13"/>
      <c r="H29" s="39">
        <v>20</v>
      </c>
    </row>
    <row r="30" spans="1:9" s="9" customFormat="1" ht="15" customHeight="1" x14ac:dyDescent="0.25">
      <c r="B30" s="9" t="s">
        <v>29</v>
      </c>
      <c r="E30" s="20"/>
      <c r="F30" s="21"/>
      <c r="G30" s="22"/>
      <c r="H30" s="41"/>
    </row>
    <row r="31" spans="1:9" s="9" customFormat="1" ht="15" customHeight="1" x14ac:dyDescent="0.25">
      <c r="A31" s="14"/>
      <c r="B31" s="14"/>
      <c r="E31" s="9" t="s">
        <v>30</v>
      </c>
      <c r="F31" s="14"/>
      <c r="G31" s="13"/>
      <c r="H31" s="39">
        <f>SUM(H25:H30)</f>
        <v>873.8</v>
      </c>
      <c r="I31" s="39"/>
    </row>
    <row r="32" spans="1:9" s="9" customFormat="1" ht="15" customHeight="1" x14ac:dyDescent="0.25">
      <c r="E32" s="42" t="s">
        <v>31</v>
      </c>
      <c r="F32" s="14"/>
      <c r="G32" s="13"/>
      <c r="H32" s="39">
        <f>+H31*0.19</f>
        <v>166.02199999999999</v>
      </c>
    </row>
    <row r="33" spans="1:8" s="9" customFormat="1" thickBot="1" x14ac:dyDescent="0.3">
      <c r="E33" s="43" t="s">
        <v>32</v>
      </c>
      <c r="F33" s="44"/>
      <c r="G33" s="45"/>
      <c r="H33" s="46">
        <f>SUM(H31:H32)</f>
        <v>1039.8219999999999</v>
      </c>
    </row>
    <row r="34" spans="1:8" s="9" customFormat="1" thickTop="1" x14ac:dyDescent="0.25">
      <c r="E34" s="35"/>
      <c r="F34" s="11"/>
      <c r="G34" s="13"/>
      <c r="H34" s="39"/>
    </row>
    <row r="35" spans="1:8" s="9" customFormat="1" ht="15.6" customHeight="1" x14ac:dyDescent="0.25">
      <c r="A35" s="9" t="s">
        <v>33</v>
      </c>
      <c r="D35" s="35"/>
      <c r="E35" s="11"/>
      <c r="F35" s="12"/>
      <c r="G35" s="13"/>
    </row>
    <row r="36" spans="1:8" s="9" customFormat="1" ht="15" customHeight="1" x14ac:dyDescent="0.25">
      <c r="A36" s="9" t="s">
        <v>34</v>
      </c>
      <c r="B36" s="14"/>
      <c r="D36" s="10"/>
      <c r="E36" s="11"/>
      <c r="F36" s="12"/>
      <c r="G36" s="13"/>
    </row>
    <row r="37" spans="1:8" s="9" customFormat="1" ht="15" customHeight="1" x14ac:dyDescent="0.25">
      <c r="D37" s="10"/>
      <c r="E37" s="11"/>
      <c r="F37" s="12"/>
      <c r="G37" s="13"/>
    </row>
    <row r="38" spans="1:8" s="9" customFormat="1" ht="15" customHeight="1" x14ac:dyDescent="0.25">
      <c r="D38" s="10"/>
      <c r="E38" s="11"/>
      <c r="F38" s="12"/>
      <c r="G38" s="13"/>
    </row>
    <row r="39" spans="1:8" s="9" customFormat="1" ht="15" customHeight="1" x14ac:dyDescent="0.25"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B42" s="19"/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s="9" customFormat="1" ht="11.25" customHeight="1" x14ac:dyDescent="0.25">
      <c r="D47" s="10"/>
      <c r="E47" s="11"/>
      <c r="F47" s="12"/>
      <c r="G47" s="13"/>
    </row>
    <row r="48" spans="1:8" x14ac:dyDescent="0.25">
      <c r="A48" s="78" t="s">
        <v>35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Q68"/>
  <sheetViews>
    <sheetView workbookViewId="0">
      <selection activeCell="F10" sqref="F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43892</v>
      </c>
      <c r="H7" s="77"/>
      <c r="J7" s="9">
        <v>25</v>
      </c>
      <c r="K7" s="9" t="s">
        <v>36</v>
      </c>
      <c r="L7" s="18">
        <v>2017</v>
      </c>
      <c r="N7" s="10">
        <v>12500</v>
      </c>
      <c r="O7" s="11" t="s">
        <v>25</v>
      </c>
      <c r="P7" s="13">
        <v>5</v>
      </c>
      <c r="Q7" s="39">
        <f>+P7/10*113</f>
        <v>56.5</v>
      </c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K8" s="9" t="s">
        <v>37</v>
      </c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79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10">
        <v>181908</v>
      </c>
      <c r="F20" s="11" t="s">
        <v>27</v>
      </c>
      <c r="G20" s="13">
        <v>3</v>
      </c>
      <c r="H20" s="39">
        <f>+G20/10*1826</f>
        <v>547.79999999999995</v>
      </c>
    </row>
    <row r="21" spans="1:9" s="9" customFormat="1" ht="15" customHeight="1" x14ac:dyDescent="0.25">
      <c r="B21" s="9" t="s">
        <v>46</v>
      </c>
      <c r="C21" s="18">
        <v>2018</v>
      </c>
      <c r="E21" s="10"/>
      <c r="F21" s="11"/>
      <c r="G21" s="13"/>
      <c r="H21" s="39"/>
    </row>
    <row r="22" spans="1:9" s="9" customFormat="1" ht="8.25" customHeight="1" x14ac:dyDescent="0.25">
      <c r="C22" s="18"/>
      <c r="E22" s="10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10">
        <v>8000</v>
      </c>
      <c r="F23" s="11" t="s">
        <v>27</v>
      </c>
      <c r="G23" s="13">
        <v>8</v>
      </c>
      <c r="H23" s="39">
        <f>+G23/20*433</f>
        <v>173.20000000000002</v>
      </c>
    </row>
    <row r="24" spans="1:9" s="9" customFormat="1" ht="15" customHeight="1" x14ac:dyDescent="0.25">
      <c r="B24" s="9" t="s">
        <v>48</v>
      </c>
      <c r="C24" s="18"/>
      <c r="E24" s="10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2018</v>
      </c>
      <c r="E25" s="10"/>
      <c r="F25" s="11"/>
      <c r="G25" s="13"/>
      <c r="H25" s="39"/>
    </row>
    <row r="26" spans="1:9" s="9" customFormat="1" ht="8.25" customHeight="1" x14ac:dyDescent="0.25">
      <c r="C26" s="18"/>
      <c r="E26" s="10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10">
        <v>8703</v>
      </c>
      <c r="F27" s="11" t="s">
        <v>27</v>
      </c>
      <c r="G27" s="13">
        <v>2</v>
      </c>
      <c r="H27" s="39">
        <f>+G27/10*471</f>
        <v>94.2</v>
      </c>
    </row>
    <row r="28" spans="1:9" s="9" customFormat="1" ht="15" customHeight="1" x14ac:dyDescent="0.25">
      <c r="B28" s="9" t="s">
        <v>50</v>
      </c>
      <c r="C28" s="18"/>
      <c r="E28" s="10"/>
      <c r="F28" s="11"/>
      <c r="G28" s="13"/>
      <c r="H28" s="39"/>
    </row>
    <row r="29" spans="1:9" s="9" customFormat="1" ht="15" customHeight="1" x14ac:dyDescent="0.25">
      <c r="B29" s="9" t="s">
        <v>51</v>
      </c>
      <c r="C29" s="18"/>
      <c r="E29" s="10"/>
      <c r="F29" s="11"/>
      <c r="G29" s="13"/>
      <c r="H29" s="39"/>
    </row>
    <row r="30" spans="1:9" s="9" customFormat="1" ht="8.25" customHeight="1" x14ac:dyDescent="0.25">
      <c r="C30" s="18"/>
      <c r="E30" s="10"/>
      <c r="F30" s="11"/>
      <c r="G30" s="13"/>
      <c r="H30" s="39"/>
      <c r="I30" s="12"/>
    </row>
    <row r="31" spans="1:9" s="9" customFormat="1" ht="15" customHeight="1" x14ac:dyDescent="0.25">
      <c r="A31" s="9">
        <v>27</v>
      </c>
      <c r="B31" s="9" t="s">
        <v>47</v>
      </c>
      <c r="C31" s="18"/>
      <c r="E31" s="10">
        <v>8000</v>
      </c>
      <c r="F31" s="11" t="s">
        <v>27</v>
      </c>
      <c r="G31" s="13">
        <v>8</v>
      </c>
      <c r="H31" s="39">
        <f>+G31/20*433</f>
        <v>173.20000000000002</v>
      </c>
    </row>
    <row r="32" spans="1:9" s="9" customFormat="1" ht="15" customHeight="1" x14ac:dyDescent="0.25">
      <c r="B32" s="9" t="s">
        <v>48</v>
      </c>
      <c r="C32" s="18"/>
      <c r="E32" s="10"/>
      <c r="F32" s="11"/>
      <c r="G32" s="13"/>
      <c r="H32" s="39"/>
    </row>
    <row r="33" spans="1:11" s="9" customFormat="1" ht="15" customHeight="1" x14ac:dyDescent="0.25">
      <c r="B33" s="9" t="s">
        <v>80</v>
      </c>
      <c r="C33" s="18">
        <f>+C25</f>
        <v>2018</v>
      </c>
      <c r="E33" s="10"/>
      <c r="F33" s="11"/>
      <c r="G33" s="13"/>
      <c r="H33" s="39"/>
    </row>
    <row r="34" spans="1:11" s="9" customFormat="1" ht="8.25" customHeight="1" x14ac:dyDescent="0.25">
      <c r="C34" s="18"/>
      <c r="E34" s="10"/>
      <c r="F34" s="11"/>
      <c r="G34" s="13"/>
      <c r="H34" s="39"/>
      <c r="I34" s="12"/>
    </row>
    <row r="35" spans="1:11" s="9" customFormat="1" ht="15" customHeight="1" x14ac:dyDescent="0.25">
      <c r="A35" s="9">
        <v>16</v>
      </c>
      <c r="B35" s="9" t="s">
        <v>28</v>
      </c>
      <c r="E35" s="10">
        <f>SUM(H20:H34)*0.2</f>
        <v>197.68000000000004</v>
      </c>
      <c r="F35" s="11"/>
      <c r="G35" s="13"/>
      <c r="H35" s="39">
        <v>20</v>
      </c>
    </row>
    <row r="36" spans="1:11" s="9" customFormat="1" ht="15" customHeight="1" x14ac:dyDescent="0.25">
      <c r="B36" s="9" t="s">
        <v>29</v>
      </c>
      <c r="E36" s="20"/>
      <c r="F36" s="21"/>
      <c r="G36" s="22"/>
      <c r="H36" s="41"/>
    </row>
    <row r="37" spans="1:11" s="9" customFormat="1" ht="15" customHeight="1" x14ac:dyDescent="0.25">
      <c r="A37" s="14"/>
      <c r="B37" s="14"/>
      <c r="E37" s="9" t="s">
        <v>30</v>
      </c>
      <c r="F37" s="14"/>
      <c r="G37" s="13"/>
      <c r="H37" s="39">
        <f>SUM(H20:H36)</f>
        <v>1008.4000000000001</v>
      </c>
      <c r="I37" s="39"/>
      <c r="J37" s="39"/>
      <c r="K37" s="39"/>
    </row>
    <row r="38" spans="1:11" s="9" customFormat="1" ht="15" customHeight="1" x14ac:dyDescent="0.25">
      <c r="E38" s="42" t="s">
        <v>31</v>
      </c>
      <c r="F38" s="14"/>
      <c r="G38" s="13"/>
      <c r="H38" s="39">
        <f>+H37*0.19</f>
        <v>191.59600000000003</v>
      </c>
    </row>
    <row r="39" spans="1:11" s="9" customFormat="1" thickBot="1" x14ac:dyDescent="0.3">
      <c r="E39" s="43" t="s">
        <v>32</v>
      </c>
      <c r="F39" s="44"/>
      <c r="G39" s="45"/>
      <c r="H39" s="46">
        <f>SUM(H37:H38)</f>
        <v>1199.9960000000001</v>
      </c>
    </row>
    <row r="40" spans="1:11" s="9" customFormat="1" thickTop="1" x14ac:dyDescent="0.25">
      <c r="E40" s="35"/>
      <c r="F40" s="11"/>
      <c r="G40" s="13"/>
      <c r="H40" s="39"/>
    </row>
    <row r="41" spans="1:11" s="9" customFormat="1" ht="15" customHeight="1" x14ac:dyDescent="0.25">
      <c r="A41" s="9" t="s">
        <v>33</v>
      </c>
      <c r="D41" s="35"/>
      <c r="E41" s="11"/>
      <c r="F41" s="12"/>
      <c r="G41" s="13"/>
    </row>
    <row r="42" spans="1:11" s="9" customFormat="1" ht="15" customHeight="1" x14ac:dyDescent="0.25">
      <c r="A42" s="9" t="s">
        <v>34</v>
      </c>
      <c r="B42" s="14"/>
      <c r="D42" s="10"/>
      <c r="E42" s="11"/>
      <c r="F42" s="12"/>
      <c r="G42" s="13"/>
    </row>
    <row r="43" spans="1:11" s="9" customFormat="1" ht="15" customHeight="1" x14ac:dyDescent="0.25"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B46" s="19"/>
      <c r="D46" s="10"/>
      <c r="E46" s="11"/>
      <c r="F46" s="12"/>
      <c r="G46" s="13"/>
    </row>
    <row r="47" spans="1:11" s="9" customFormat="1" ht="8.25" customHeight="1" x14ac:dyDescent="0.25">
      <c r="D47" s="10"/>
      <c r="E47" s="11"/>
      <c r="F47" s="12"/>
      <c r="G47" s="13"/>
      <c r="I47" s="12"/>
    </row>
    <row r="48" spans="1:11" s="9" customFormat="1" ht="15" customHeight="1" x14ac:dyDescent="0.25">
      <c r="D48" s="10"/>
      <c r="E48" s="11"/>
      <c r="F48" s="12"/>
      <c r="G48" s="13"/>
      <c r="I48" s="12"/>
    </row>
    <row r="49" spans="1:8" s="9" customFormat="1" ht="15" customHeight="1" x14ac:dyDescent="0.25">
      <c r="D49" s="10"/>
      <c r="E49" s="11"/>
      <c r="F49" s="12"/>
      <c r="G49" s="13"/>
    </row>
    <row r="50" spans="1:8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8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8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8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8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8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3408.3920000000003</v>
      </c>
    </row>
    <row r="56" spans="1:8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8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8" x14ac:dyDescent="0.25">
      <c r="D58" s="7"/>
      <c r="E58" s="3"/>
      <c r="F58" s="4"/>
      <c r="H58" s="24"/>
    </row>
    <row r="59" spans="1:8" x14ac:dyDescent="0.25">
      <c r="D59" s="7"/>
      <c r="E59" s="3"/>
      <c r="F59" s="4"/>
      <c r="H59" s="24"/>
    </row>
    <row r="60" spans="1:8" x14ac:dyDescent="0.25">
      <c r="D60" s="7"/>
      <c r="E60" s="3"/>
      <c r="F60" s="4"/>
      <c r="H60" s="24"/>
    </row>
    <row r="61" spans="1:8" ht="11.25" customHeight="1" x14ac:dyDescent="0.25">
      <c r="D61" s="7"/>
      <c r="E61" s="3"/>
      <c r="F61" s="4"/>
      <c r="H61" s="24"/>
    </row>
    <row r="62" spans="1:8" x14ac:dyDescent="0.25">
      <c r="D62" s="7"/>
      <c r="E62" s="3"/>
      <c r="F62" s="4"/>
      <c r="H62" s="24"/>
    </row>
    <row r="63" spans="1:8" x14ac:dyDescent="0.25">
      <c r="D63" s="7"/>
      <c r="E63" s="3"/>
      <c r="F63" s="4"/>
      <c r="H63" s="24"/>
    </row>
    <row r="64" spans="1:8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3408.3920000000003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H2679"/>
  <sheetViews>
    <sheetView topLeftCell="A19" workbookViewId="0">
      <selection activeCell="F26" sqref="F2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44015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81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43959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68000</v>
      </c>
      <c r="F24" s="55" t="s">
        <v>61</v>
      </c>
      <c r="G24" s="11">
        <v>12</v>
      </c>
      <c r="H24" s="56">
        <f>+G24/20*133*3</f>
        <v>239.39999999999998</v>
      </c>
    </row>
    <row r="25" spans="1:8" s="9" customFormat="1" ht="15" customHeight="1" x14ac:dyDescent="0.25">
      <c r="B25" s="9" t="s">
        <v>82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47.879999999999995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259.39999999999998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49.285999999999994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308.68599999999998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H2679"/>
  <sheetViews>
    <sheetView workbookViewId="0">
      <selection activeCell="B26" sqref="B2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44057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83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44049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68000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84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53.64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288.2</v>
      </c>
    </row>
    <row r="35" spans="1:8" s="9" customFormat="1" ht="15" customHeight="1" x14ac:dyDescent="0.25">
      <c r="E35" s="42" t="s">
        <v>85</v>
      </c>
      <c r="F35" s="14"/>
      <c r="G35" s="13"/>
      <c r="H35" s="39">
        <f>+H34*0.16</f>
        <v>46.112000000000002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334.31200000000001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H2679"/>
  <sheetViews>
    <sheetView workbookViewId="0">
      <selection activeCell="H24" sqref="H24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44169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86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44049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68000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87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53.64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288.2</v>
      </c>
    </row>
    <row r="35" spans="1:8" s="9" customFormat="1" ht="15" customHeight="1" x14ac:dyDescent="0.25">
      <c r="E35" s="42" t="s">
        <v>85</v>
      </c>
      <c r="F35" s="14"/>
      <c r="G35" s="13"/>
      <c r="H35" s="39">
        <f>+H34*0.16</f>
        <v>46.112000000000002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334.31200000000001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H2679"/>
  <sheetViews>
    <sheetView workbookViewId="0">
      <selection activeCell="H36" sqref="H3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44246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88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44242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66000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89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53.64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288.2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54.757999999999996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342.95799999999997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I48"/>
  <sheetViews>
    <sheetView workbookViewId="0">
      <selection activeCell="G8" sqref="G8:H8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71093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44247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90</v>
      </c>
      <c r="H9" s="86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8" customFormat="1" ht="14.25" customHeight="1" x14ac:dyDescent="0.2">
      <c r="A18" s="36"/>
      <c r="B18" s="36"/>
      <c r="C18" s="36"/>
      <c r="D18" s="36"/>
      <c r="E18" s="36"/>
      <c r="F18" s="36"/>
      <c r="G18" s="36"/>
      <c r="H18" s="36"/>
    </row>
    <row r="19" spans="1:9" s="9" customFormat="1" ht="15" customHeight="1" x14ac:dyDescent="0.25">
      <c r="D19" s="10"/>
      <c r="E19" s="11"/>
      <c r="F19" s="12"/>
      <c r="G19" s="13"/>
    </row>
    <row r="20" spans="1:9" s="9" customFormat="1" ht="15" customHeight="1" x14ac:dyDescent="0.25">
      <c r="A20" s="9" t="s">
        <v>14</v>
      </c>
      <c r="B20" s="14"/>
      <c r="D20" s="10"/>
      <c r="E20" s="11"/>
      <c r="F20" s="12"/>
      <c r="G20" s="13"/>
    </row>
    <row r="21" spans="1:9" s="9" customFormat="1" ht="15" customHeight="1" x14ac:dyDescent="0.25">
      <c r="A21" s="9" t="s">
        <v>15</v>
      </c>
      <c r="B21" s="14"/>
      <c r="D21" s="10"/>
      <c r="E21" s="11"/>
      <c r="F21" s="12"/>
      <c r="G21" s="13"/>
    </row>
    <row r="22" spans="1:9" s="9" customFormat="1" ht="15" customHeight="1" x14ac:dyDescent="0.25">
      <c r="D22" s="10"/>
      <c r="E22" s="11"/>
      <c r="F22" s="12"/>
      <c r="G22" s="13"/>
    </row>
    <row r="23" spans="1:9" s="9" customFormat="1" ht="15" customHeight="1" x14ac:dyDescent="0.25">
      <c r="A23" s="15" t="s">
        <v>16</v>
      </c>
      <c r="B23" s="16"/>
      <c r="C23" s="15"/>
      <c r="D23" s="10"/>
      <c r="E23" s="11" t="s">
        <v>17</v>
      </c>
      <c r="F23" s="11" t="s">
        <v>18</v>
      </c>
      <c r="G23" s="17" t="s">
        <v>19</v>
      </c>
      <c r="H23" s="18" t="s">
        <v>20</v>
      </c>
    </row>
    <row r="24" spans="1:9" s="9" customFormat="1" ht="15" customHeight="1" x14ac:dyDescent="0.25">
      <c r="A24" s="19" t="s">
        <v>21</v>
      </c>
      <c r="B24" s="19"/>
      <c r="C24" s="19"/>
      <c r="D24" s="20"/>
      <c r="E24" s="21" t="s">
        <v>22</v>
      </c>
      <c r="F24" s="21"/>
      <c r="G24" s="37" t="s">
        <v>23</v>
      </c>
      <c r="H24" s="23"/>
    </row>
    <row r="25" spans="1:9" s="9" customFormat="1" ht="15" customHeight="1" x14ac:dyDescent="0.25">
      <c r="A25" s="9">
        <v>25</v>
      </c>
      <c r="B25" s="9" t="s">
        <v>91</v>
      </c>
      <c r="E25" s="39">
        <v>65592.94</v>
      </c>
      <c r="F25" s="11" t="s">
        <v>25</v>
      </c>
      <c r="G25" s="13">
        <v>20</v>
      </c>
      <c r="H25" s="39">
        <f>G25/10*319</f>
        <v>638</v>
      </c>
      <c r="I25" s="12"/>
    </row>
    <row r="26" spans="1:9" s="9" customFormat="1" ht="15" customHeight="1" x14ac:dyDescent="0.25">
      <c r="E26" s="39"/>
      <c r="F26" s="11"/>
      <c r="G26" s="13"/>
      <c r="H26" s="39"/>
      <c r="I26" s="12"/>
    </row>
    <row r="27" spans="1:9" s="9" customFormat="1" ht="15" customHeight="1" x14ac:dyDescent="0.25">
      <c r="A27" s="9">
        <v>24</v>
      </c>
      <c r="B27" s="40" t="s">
        <v>92</v>
      </c>
      <c r="E27" s="39">
        <v>8000</v>
      </c>
      <c r="F27" s="11" t="s">
        <v>27</v>
      </c>
      <c r="G27" s="13">
        <v>6</v>
      </c>
      <c r="H27" s="39">
        <f>G27/10*485</f>
        <v>291</v>
      </c>
    </row>
    <row r="28" spans="1:9" s="9" customFormat="1" ht="15" customHeight="1" x14ac:dyDescent="0.25">
      <c r="B28" s="40"/>
      <c r="E28" s="39"/>
      <c r="F28" s="11"/>
      <c r="G28" s="13"/>
      <c r="H28" s="39"/>
    </row>
    <row r="29" spans="1:9" s="9" customFormat="1" ht="15" customHeight="1" x14ac:dyDescent="0.25">
      <c r="A29" s="9">
        <v>16</v>
      </c>
      <c r="B29" s="9" t="s">
        <v>28</v>
      </c>
      <c r="E29" s="39">
        <f>SUM(H25:H27)*0.2</f>
        <v>185.8</v>
      </c>
      <c r="F29" s="11"/>
      <c r="G29" s="13"/>
      <c r="H29" s="39">
        <v>20</v>
      </c>
    </row>
    <row r="30" spans="1:9" s="9" customFormat="1" ht="15" customHeight="1" x14ac:dyDescent="0.25">
      <c r="B30" s="9" t="s">
        <v>29</v>
      </c>
      <c r="E30" s="20"/>
      <c r="F30" s="21"/>
      <c r="G30" s="22"/>
      <c r="H30" s="41"/>
    </row>
    <row r="31" spans="1:9" s="9" customFormat="1" ht="15" customHeight="1" x14ac:dyDescent="0.25">
      <c r="A31" s="14"/>
      <c r="B31" s="14"/>
      <c r="E31" s="9" t="s">
        <v>30</v>
      </c>
      <c r="F31" s="14"/>
      <c r="G31" s="13"/>
      <c r="H31" s="39">
        <f>SUM(H25:H30)</f>
        <v>949</v>
      </c>
      <c r="I31" s="39"/>
    </row>
    <row r="32" spans="1:9" s="9" customFormat="1" ht="15" customHeight="1" x14ac:dyDescent="0.25">
      <c r="E32" s="42" t="s">
        <v>31</v>
      </c>
      <c r="F32" s="14"/>
      <c r="G32" s="13"/>
      <c r="H32" s="39">
        <f>+H31*0.19</f>
        <v>180.31</v>
      </c>
    </row>
    <row r="33" spans="1:8" s="9" customFormat="1" thickBot="1" x14ac:dyDescent="0.3">
      <c r="E33" s="43" t="s">
        <v>32</v>
      </c>
      <c r="F33" s="44"/>
      <c r="G33" s="45"/>
      <c r="H33" s="46">
        <f>SUM(H31:H32)</f>
        <v>1129.31</v>
      </c>
    </row>
    <row r="34" spans="1:8" s="9" customFormat="1" thickTop="1" x14ac:dyDescent="0.25">
      <c r="E34" s="35"/>
      <c r="F34" s="11"/>
      <c r="G34" s="13"/>
      <c r="H34" s="39"/>
    </row>
    <row r="35" spans="1:8" s="9" customFormat="1" ht="15.6" customHeight="1" x14ac:dyDescent="0.25">
      <c r="A35" s="9" t="s">
        <v>33</v>
      </c>
      <c r="D35" s="35"/>
      <c r="E35" s="11"/>
      <c r="F35" s="12"/>
      <c r="G35" s="13"/>
    </row>
    <row r="36" spans="1:8" s="9" customFormat="1" ht="15" customHeight="1" x14ac:dyDescent="0.25">
      <c r="A36" s="9" t="s">
        <v>34</v>
      </c>
      <c r="B36" s="14"/>
      <c r="D36" s="10"/>
      <c r="E36" s="11"/>
      <c r="F36" s="12"/>
      <c r="G36" s="13"/>
    </row>
    <row r="37" spans="1:8" s="9" customFormat="1" ht="15" customHeight="1" x14ac:dyDescent="0.25">
      <c r="D37" s="10"/>
      <c r="E37" s="11"/>
      <c r="F37" s="12"/>
      <c r="G37" s="13"/>
    </row>
    <row r="38" spans="1:8" s="9" customFormat="1" ht="15" customHeight="1" x14ac:dyDescent="0.25">
      <c r="D38" s="10"/>
      <c r="E38" s="11"/>
      <c r="F38" s="12"/>
      <c r="G38" s="13"/>
    </row>
    <row r="39" spans="1:8" s="9" customFormat="1" ht="15" customHeight="1" x14ac:dyDescent="0.25"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B42" s="19"/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s="9" customFormat="1" ht="11.25" customHeight="1" x14ac:dyDescent="0.25">
      <c r="D47" s="10"/>
      <c r="E47" s="11"/>
      <c r="F47" s="12"/>
      <c r="G47" s="13"/>
    </row>
    <row r="48" spans="1:8" x14ac:dyDescent="0.25">
      <c r="A48" s="78" t="s">
        <v>35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5:Q68"/>
  <sheetViews>
    <sheetView workbookViewId="0">
      <selection activeCell="H37" sqref="H37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44247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93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54">
        <v>179405</v>
      </c>
      <c r="F20" s="11" t="s">
        <v>27</v>
      </c>
      <c r="G20" s="13">
        <v>3.5</v>
      </c>
      <c r="H20" s="39">
        <f>+G20/10*2045</f>
        <v>715.75</v>
      </c>
    </row>
    <row r="21" spans="1:9" s="9" customFormat="1" ht="15" customHeight="1" x14ac:dyDescent="0.25">
      <c r="B21" s="9" t="s">
        <v>46</v>
      </c>
      <c r="C21" s="18">
        <v>2019</v>
      </c>
      <c r="E21" s="54"/>
      <c r="F21" s="11"/>
      <c r="G21" s="13"/>
      <c r="H21" s="39"/>
    </row>
    <row r="22" spans="1:9" s="9" customFormat="1" ht="8.25" customHeight="1" x14ac:dyDescent="0.25">
      <c r="C22" s="18"/>
      <c r="E22" s="54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54">
        <v>8000</v>
      </c>
      <c r="F23" s="11" t="s">
        <v>27</v>
      </c>
      <c r="G23" s="13">
        <v>8</v>
      </c>
      <c r="H23" s="39">
        <f>+G23/20*485</f>
        <v>194</v>
      </c>
    </row>
    <row r="24" spans="1:9" s="9" customFormat="1" ht="15" customHeight="1" x14ac:dyDescent="0.25">
      <c r="B24" s="9" t="s">
        <v>48</v>
      </c>
      <c r="C24" s="18"/>
      <c r="E24" s="54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2019</v>
      </c>
      <c r="E25" s="54"/>
      <c r="F25" s="11"/>
      <c r="G25" s="13"/>
      <c r="H25" s="39"/>
    </row>
    <row r="26" spans="1:9" s="9" customFormat="1" ht="8.25" customHeight="1" x14ac:dyDescent="0.25">
      <c r="C26" s="18"/>
      <c r="E26" s="54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54">
        <v>8000</v>
      </c>
      <c r="F27" s="11" t="s">
        <v>27</v>
      </c>
      <c r="G27" s="13">
        <v>2.5</v>
      </c>
      <c r="H27" s="39">
        <f>+G27/10*485</f>
        <v>121.25</v>
      </c>
    </row>
    <row r="28" spans="1:9" s="9" customFormat="1" ht="15" customHeight="1" x14ac:dyDescent="0.25">
      <c r="B28" s="9" t="s">
        <v>50</v>
      </c>
      <c r="C28" s="18"/>
      <c r="E28" s="54"/>
      <c r="F28" s="11"/>
      <c r="G28" s="13"/>
      <c r="H28" s="39"/>
    </row>
    <row r="29" spans="1:9" s="9" customFormat="1" ht="15" customHeight="1" x14ac:dyDescent="0.25">
      <c r="B29" s="9" t="s">
        <v>94</v>
      </c>
      <c r="C29" s="18">
        <f>+C25</f>
        <v>2019</v>
      </c>
      <c r="E29" s="54"/>
      <c r="F29" s="11"/>
      <c r="G29" s="13"/>
      <c r="H29" s="39"/>
    </row>
    <row r="30" spans="1:9" s="9" customFormat="1" ht="8.25" customHeight="1" x14ac:dyDescent="0.25">
      <c r="C30" s="18"/>
      <c r="E30" s="54"/>
      <c r="F30" s="11"/>
      <c r="G30" s="13"/>
      <c r="H30" s="39"/>
      <c r="I30" s="12"/>
    </row>
    <row r="31" spans="1:9" s="9" customFormat="1" ht="15" customHeight="1" x14ac:dyDescent="0.25">
      <c r="A31" s="9">
        <v>27</v>
      </c>
      <c r="B31" s="9" t="s">
        <v>47</v>
      </c>
      <c r="C31" s="18"/>
      <c r="E31" s="54">
        <v>8000</v>
      </c>
      <c r="F31" s="11" t="s">
        <v>27</v>
      </c>
      <c r="G31" s="13">
        <v>8</v>
      </c>
      <c r="H31" s="39">
        <f>+G31/20*485</f>
        <v>194</v>
      </c>
    </row>
    <row r="32" spans="1:9" s="9" customFormat="1" ht="15" customHeight="1" x14ac:dyDescent="0.25">
      <c r="B32" s="9" t="s">
        <v>48</v>
      </c>
      <c r="C32" s="18"/>
      <c r="E32" s="54"/>
      <c r="F32" s="11"/>
      <c r="G32" s="13"/>
      <c r="H32" s="39"/>
    </row>
    <row r="33" spans="1:11" s="9" customFormat="1" ht="15" customHeight="1" x14ac:dyDescent="0.25">
      <c r="B33" s="9" t="s">
        <v>80</v>
      </c>
      <c r="C33" s="18">
        <f>+C25</f>
        <v>2019</v>
      </c>
      <c r="E33" s="54"/>
      <c r="F33" s="11"/>
      <c r="G33" s="13"/>
      <c r="H33" s="39"/>
    </row>
    <row r="34" spans="1:11" s="9" customFormat="1" ht="8.25" customHeight="1" x14ac:dyDescent="0.25">
      <c r="C34" s="18"/>
      <c r="E34" s="54"/>
      <c r="F34" s="11"/>
      <c r="G34" s="13"/>
      <c r="H34" s="39"/>
      <c r="I34" s="12"/>
    </row>
    <row r="35" spans="1:11" s="9" customFormat="1" ht="15" customHeight="1" x14ac:dyDescent="0.25">
      <c r="A35" s="9">
        <v>16</v>
      </c>
      <c r="B35" s="9" t="s">
        <v>28</v>
      </c>
      <c r="E35" s="54">
        <f>SUM(H20:H34)*0.2</f>
        <v>245</v>
      </c>
      <c r="F35" s="11"/>
      <c r="G35" s="13"/>
      <c r="H35" s="39">
        <v>20</v>
      </c>
    </row>
    <row r="36" spans="1:11" s="9" customFormat="1" ht="15" customHeight="1" x14ac:dyDescent="0.25">
      <c r="B36" s="9" t="s">
        <v>29</v>
      </c>
      <c r="E36" s="20"/>
      <c r="F36" s="21"/>
      <c r="G36" s="22"/>
      <c r="H36" s="41"/>
    </row>
    <row r="37" spans="1:11" s="9" customFormat="1" ht="15" customHeight="1" x14ac:dyDescent="0.25">
      <c r="A37" s="14"/>
      <c r="B37" s="14"/>
      <c r="E37" s="9" t="s">
        <v>30</v>
      </c>
      <c r="F37" s="14"/>
      <c r="G37" s="13"/>
      <c r="H37" s="39">
        <f>SUM(H20:H36)</f>
        <v>1245</v>
      </c>
      <c r="I37" s="39"/>
      <c r="J37" s="39"/>
      <c r="K37" s="39"/>
    </row>
    <row r="38" spans="1:11" s="9" customFormat="1" ht="15" customHeight="1" x14ac:dyDescent="0.25">
      <c r="E38" s="42" t="s">
        <v>31</v>
      </c>
      <c r="F38" s="14"/>
      <c r="G38" s="13"/>
      <c r="H38" s="39">
        <f>+H37*0.19</f>
        <v>236.55</v>
      </c>
    </row>
    <row r="39" spans="1:11" s="9" customFormat="1" thickBot="1" x14ac:dyDescent="0.3">
      <c r="E39" s="43" t="s">
        <v>32</v>
      </c>
      <c r="F39" s="44"/>
      <c r="G39" s="45"/>
      <c r="H39" s="46">
        <f>SUM(H37:H38)</f>
        <v>1481.55</v>
      </c>
    </row>
    <row r="40" spans="1:11" s="9" customFormat="1" thickTop="1" x14ac:dyDescent="0.25">
      <c r="E40" s="35"/>
      <c r="F40" s="11"/>
      <c r="G40" s="13"/>
      <c r="H40" s="39"/>
    </row>
    <row r="41" spans="1:11" s="9" customFormat="1" ht="15" customHeight="1" x14ac:dyDescent="0.25">
      <c r="A41" s="9" t="s">
        <v>33</v>
      </c>
      <c r="D41" s="35"/>
      <c r="E41" s="11"/>
      <c r="F41" s="12"/>
      <c r="G41" s="13"/>
    </row>
    <row r="42" spans="1:11" s="9" customFormat="1" ht="15" customHeight="1" x14ac:dyDescent="0.25">
      <c r="A42" s="9" t="s">
        <v>34</v>
      </c>
      <c r="B42" s="14"/>
      <c r="D42" s="10"/>
      <c r="E42" s="11"/>
      <c r="F42" s="12"/>
      <c r="G42" s="13"/>
    </row>
    <row r="43" spans="1:11" s="9" customFormat="1" ht="15" customHeight="1" x14ac:dyDescent="0.25"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B46" s="19"/>
      <c r="D46" s="10"/>
      <c r="E46" s="11"/>
      <c r="F46" s="12"/>
      <c r="G46" s="13"/>
    </row>
    <row r="47" spans="1:11" s="9" customFormat="1" ht="8.25" customHeight="1" x14ac:dyDescent="0.25">
      <c r="D47" s="10"/>
      <c r="E47" s="11"/>
      <c r="F47" s="12"/>
      <c r="G47" s="13"/>
      <c r="I47" s="12"/>
    </row>
    <row r="48" spans="1:11" s="9" customFormat="1" ht="15" customHeight="1" x14ac:dyDescent="0.25">
      <c r="D48" s="10"/>
      <c r="E48" s="11"/>
      <c r="F48" s="12"/>
      <c r="G48" s="13"/>
      <c r="I48" s="12"/>
    </row>
    <row r="49" spans="1:8" s="9" customFormat="1" ht="15" customHeight="1" x14ac:dyDescent="0.25">
      <c r="D49" s="10"/>
      <c r="E49" s="11"/>
      <c r="F49" s="12"/>
      <c r="G49" s="13"/>
    </row>
    <row r="50" spans="1:8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8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8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8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8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8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4208.1000000000004</v>
      </c>
    </row>
    <row r="56" spans="1:8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8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8" x14ac:dyDescent="0.25">
      <c r="D58" s="7"/>
      <c r="E58" s="3"/>
      <c r="F58" s="4"/>
      <c r="H58" s="24"/>
    </row>
    <row r="59" spans="1:8" x14ac:dyDescent="0.25">
      <c r="D59" s="7"/>
      <c r="E59" s="3"/>
      <c r="F59" s="4"/>
      <c r="H59" s="24"/>
    </row>
    <row r="60" spans="1:8" x14ac:dyDescent="0.25">
      <c r="D60" s="7"/>
      <c r="E60" s="3"/>
      <c r="F60" s="4"/>
      <c r="H60" s="24"/>
    </row>
    <row r="61" spans="1:8" ht="11.25" customHeight="1" x14ac:dyDescent="0.25">
      <c r="D61" s="7"/>
      <c r="E61" s="3"/>
      <c r="F61" s="4"/>
      <c r="H61" s="24"/>
    </row>
    <row r="62" spans="1:8" x14ac:dyDescent="0.25">
      <c r="D62" s="7"/>
      <c r="E62" s="3"/>
      <c r="F62" s="4"/>
      <c r="H62" s="24"/>
    </row>
    <row r="63" spans="1:8" x14ac:dyDescent="0.25">
      <c r="D63" s="7"/>
      <c r="E63" s="3"/>
      <c r="F63" s="4"/>
      <c r="H63" s="24"/>
    </row>
    <row r="64" spans="1:8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4208.1000000000004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H2679"/>
  <sheetViews>
    <sheetView workbookViewId="0">
      <selection activeCell="G7" sqref="G7:H7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44449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95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 t="s">
        <v>58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10</v>
      </c>
      <c r="H24" s="56">
        <f>+G24/20*149*3</f>
        <v>223.5</v>
      </c>
    </row>
    <row r="25" spans="1:8" s="9" customFormat="1" ht="15" customHeight="1" x14ac:dyDescent="0.25">
      <c r="B25" s="9" t="s">
        <v>96</v>
      </c>
      <c r="C25" s="18"/>
      <c r="E25" s="54"/>
      <c r="F25" s="55"/>
      <c r="G25" s="11"/>
      <c r="H25" s="56"/>
    </row>
    <row r="26" spans="1:8" s="9" customFormat="1" ht="15" customHeight="1" x14ac:dyDescent="0.25">
      <c r="B26" s="9" t="s">
        <v>97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A28" s="9">
        <v>33</v>
      </c>
      <c r="B28" s="9" t="s">
        <v>60</v>
      </c>
      <c r="C28" s="18"/>
      <c r="E28" s="54">
        <v>65000</v>
      </c>
      <c r="F28" s="55" t="s">
        <v>61</v>
      </c>
      <c r="G28" s="11">
        <v>10</v>
      </c>
      <c r="H28" s="56">
        <f>+G28/20*149*3</f>
        <v>223.5</v>
      </c>
    </row>
    <row r="29" spans="1:8" s="9" customFormat="1" ht="15" customHeight="1" x14ac:dyDescent="0.25">
      <c r="B29" s="9" t="s">
        <v>96</v>
      </c>
      <c r="C29" s="18"/>
      <c r="E29" s="54"/>
      <c r="F29" s="55"/>
      <c r="G29" s="11"/>
      <c r="H29" s="56"/>
    </row>
    <row r="30" spans="1:8" s="9" customFormat="1" ht="15" customHeight="1" x14ac:dyDescent="0.25">
      <c r="B30" s="9" t="s">
        <v>98</v>
      </c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89.4</v>
      </c>
      <c r="F32" s="11"/>
      <c r="G32" s="13"/>
      <c r="H32" s="39">
        <v>40</v>
      </c>
    </row>
    <row r="33" spans="1:8" s="9" customFormat="1" ht="15" customHeight="1" x14ac:dyDescent="0.25">
      <c r="B33" s="9" t="s">
        <v>99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487</v>
      </c>
    </row>
    <row r="35" spans="1:8" s="9" customFormat="1" ht="15" customHeight="1" x14ac:dyDescent="0.25">
      <c r="E35" s="57" t="s">
        <v>31</v>
      </c>
      <c r="F35" s="58"/>
      <c r="G35" s="22"/>
      <c r="H35" s="41">
        <f>+H34*0.19</f>
        <v>92.53</v>
      </c>
    </row>
    <row r="36" spans="1:8" s="9" customFormat="1" ht="15" customHeight="1" x14ac:dyDescent="0.25">
      <c r="E36" s="35" t="s">
        <v>32</v>
      </c>
      <c r="F36" s="11"/>
      <c r="G36" s="13"/>
      <c r="H36" s="39">
        <f>SUM(H34:H35)</f>
        <v>579.53</v>
      </c>
    </row>
    <row r="37" spans="1:8" s="9" customFormat="1" ht="15" customHeight="1" x14ac:dyDescent="0.25">
      <c r="E37" s="35" t="s">
        <v>100</v>
      </c>
      <c r="F37" s="11"/>
      <c r="G37" s="13"/>
      <c r="H37" s="39">
        <v>-228.76</v>
      </c>
    </row>
    <row r="38" spans="1:8" s="9" customFormat="1" thickBot="1" x14ac:dyDescent="0.3">
      <c r="E38" s="43" t="s">
        <v>101</v>
      </c>
      <c r="F38" s="44"/>
      <c r="G38" s="45"/>
      <c r="H38" s="46">
        <f>SUM(H36:H37)</f>
        <v>350.77</v>
      </c>
    </row>
    <row r="39" spans="1:8" s="9" customFormat="1" ht="15.6" customHeight="1" thickTop="1" x14ac:dyDescent="0.25">
      <c r="A39" s="9" t="s">
        <v>34</v>
      </c>
      <c r="D39" s="35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B43" s="19"/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7" spans="1:8" ht="9.75" customHeight="1" x14ac:dyDescent="0.25"/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5:H2679"/>
  <sheetViews>
    <sheetView workbookViewId="0">
      <selection activeCell="H36" sqref="H3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44585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102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44510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68000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103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53.64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288.2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54.757999999999996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342.95799999999997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H2679"/>
  <sheetViews>
    <sheetView workbookViewId="0">
      <selection activeCell="G9" sqref="G9:H9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44635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104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44600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77000</v>
      </c>
      <c r="F24" s="55" t="s">
        <v>61</v>
      </c>
      <c r="G24" s="11">
        <v>12</v>
      </c>
      <c r="H24" s="56">
        <f>+G24/20*164*3</f>
        <v>295.2</v>
      </c>
    </row>
    <row r="25" spans="1:8" s="9" customFormat="1" ht="15" customHeight="1" x14ac:dyDescent="0.25">
      <c r="B25" s="9" t="s">
        <v>105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59.04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315.2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59.887999999999998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375.08799999999997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5:I48"/>
  <sheetViews>
    <sheetView workbookViewId="0">
      <selection activeCell="G26" sqref="G2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3.855468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8.2851562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44635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1" t="s">
        <v>106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9" customFormat="1" ht="15" customHeight="1" x14ac:dyDescent="0.25">
      <c r="D18" s="10"/>
      <c r="E18" s="11"/>
      <c r="F18" s="12"/>
      <c r="G18" s="13"/>
    </row>
    <row r="19" spans="1:9" s="9" customFormat="1" ht="15" customHeight="1" x14ac:dyDescent="0.25">
      <c r="A19" s="9" t="s">
        <v>14</v>
      </c>
      <c r="B19" s="14"/>
      <c r="D19" s="10"/>
      <c r="E19" s="11"/>
      <c r="F19" s="12"/>
      <c r="G19" s="13"/>
    </row>
    <row r="20" spans="1:9" s="9" customFormat="1" ht="15" customHeight="1" x14ac:dyDescent="0.25">
      <c r="A20" s="9" t="s">
        <v>15</v>
      </c>
      <c r="B20" s="14"/>
      <c r="D20" s="10"/>
      <c r="E20" s="11"/>
      <c r="F20" s="12"/>
      <c r="G20" s="13"/>
    </row>
    <row r="21" spans="1:9" s="9" customFormat="1" ht="15" customHeight="1" x14ac:dyDescent="0.25">
      <c r="D21" s="10"/>
      <c r="E21" s="11"/>
      <c r="F21" s="12"/>
      <c r="G21" s="13"/>
    </row>
    <row r="22" spans="1:9" s="9" customFormat="1" ht="15" customHeight="1" x14ac:dyDescent="0.25">
      <c r="A22" s="15" t="s">
        <v>16</v>
      </c>
      <c r="B22" s="16"/>
      <c r="C22" s="15"/>
      <c r="D22" s="10"/>
      <c r="E22" s="11" t="s">
        <v>17</v>
      </c>
      <c r="F22" s="11" t="s">
        <v>18</v>
      </c>
      <c r="G22" s="17" t="s">
        <v>19</v>
      </c>
      <c r="H22" s="18" t="s">
        <v>20</v>
      </c>
    </row>
    <row r="23" spans="1:9" s="9" customFormat="1" ht="15" customHeight="1" x14ac:dyDescent="0.25">
      <c r="A23" s="19" t="s">
        <v>21</v>
      </c>
      <c r="B23" s="19"/>
      <c r="C23" s="19"/>
      <c r="D23" s="20"/>
      <c r="E23" s="21" t="s">
        <v>22</v>
      </c>
      <c r="F23" s="21"/>
      <c r="G23" s="37" t="s">
        <v>23</v>
      </c>
      <c r="H23" s="23"/>
    </row>
    <row r="24" spans="1:9" s="9" customFormat="1" ht="15" customHeight="1" x14ac:dyDescent="0.25">
      <c r="A24" s="9">
        <v>25</v>
      </c>
      <c r="B24" s="9" t="s">
        <v>107</v>
      </c>
      <c r="E24" s="39">
        <v>65283.34</v>
      </c>
      <c r="F24" s="11" t="s">
        <v>25</v>
      </c>
      <c r="G24" s="13">
        <v>20</v>
      </c>
      <c r="H24" s="39">
        <f>G24/10*319</f>
        <v>638</v>
      </c>
      <c r="I24" s="12"/>
    </row>
    <row r="25" spans="1:9" s="9" customFormat="1" ht="15" customHeight="1" x14ac:dyDescent="0.25">
      <c r="E25" s="39"/>
      <c r="F25" s="11"/>
      <c r="G25" s="13"/>
      <c r="H25" s="39"/>
      <c r="I25" s="12"/>
    </row>
    <row r="26" spans="1:9" s="9" customFormat="1" ht="15" customHeight="1" x14ac:dyDescent="0.25">
      <c r="A26" s="9">
        <v>25</v>
      </c>
      <c r="B26" s="9" t="s">
        <v>108</v>
      </c>
      <c r="E26" s="59">
        <v>95</v>
      </c>
      <c r="F26" s="11"/>
      <c r="G26" s="60">
        <v>3</v>
      </c>
      <c r="H26" s="39">
        <f>+G26*E26</f>
        <v>285</v>
      </c>
      <c r="I26" s="12"/>
    </row>
    <row r="27" spans="1:9" s="9" customFormat="1" ht="15" customHeight="1" x14ac:dyDescent="0.25">
      <c r="B27" s="9" t="s">
        <v>109</v>
      </c>
      <c r="E27" s="39"/>
      <c r="F27" s="11"/>
      <c r="G27" s="13"/>
      <c r="H27" s="39"/>
      <c r="I27" s="12"/>
    </row>
    <row r="28" spans="1:9" s="9" customFormat="1" ht="14.25" customHeight="1" x14ac:dyDescent="0.25">
      <c r="B28" s="9" t="s">
        <v>110</v>
      </c>
      <c r="E28" s="39"/>
      <c r="F28" s="11"/>
      <c r="G28" s="13"/>
      <c r="H28" s="39"/>
      <c r="I28" s="12"/>
    </row>
    <row r="29" spans="1:9" s="9" customFormat="1" ht="15" customHeight="1" x14ac:dyDescent="0.25">
      <c r="E29" s="39"/>
      <c r="F29" s="11"/>
      <c r="G29" s="13"/>
      <c r="H29" s="39"/>
      <c r="I29" s="12"/>
    </row>
    <row r="30" spans="1:9" s="9" customFormat="1" ht="15" customHeight="1" x14ac:dyDescent="0.25">
      <c r="A30" s="9">
        <v>24</v>
      </c>
      <c r="B30" s="40" t="s">
        <v>111</v>
      </c>
      <c r="E30" s="39">
        <v>8000</v>
      </c>
      <c r="F30" s="11" t="s">
        <v>27</v>
      </c>
      <c r="G30" s="13">
        <v>6</v>
      </c>
      <c r="H30" s="39">
        <f>G30/10*485</f>
        <v>291</v>
      </c>
    </row>
    <row r="31" spans="1:9" s="9" customFormat="1" ht="15" customHeight="1" x14ac:dyDescent="0.25">
      <c r="B31" s="40"/>
      <c r="E31" s="39"/>
      <c r="F31" s="11"/>
      <c r="G31" s="13"/>
      <c r="H31" s="39"/>
    </row>
    <row r="32" spans="1:9" s="9" customFormat="1" ht="15" customHeight="1" x14ac:dyDescent="0.25">
      <c r="A32" s="9">
        <v>16</v>
      </c>
      <c r="B32" s="9" t="s">
        <v>28</v>
      </c>
      <c r="E32" s="39">
        <f>SUM(H24:H30)*0.2</f>
        <v>242.8</v>
      </c>
      <c r="F32" s="11"/>
      <c r="G32" s="13"/>
      <c r="H32" s="39">
        <v>20</v>
      </c>
    </row>
    <row r="33" spans="1:9" s="9" customFormat="1" ht="15" customHeight="1" x14ac:dyDescent="0.25">
      <c r="B33" s="9" t="s">
        <v>29</v>
      </c>
      <c r="E33" s="20"/>
      <c r="F33" s="21"/>
      <c r="G33" s="22"/>
      <c r="H33" s="41"/>
    </row>
    <row r="34" spans="1:9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1234</v>
      </c>
      <c r="I34" s="39"/>
    </row>
    <row r="35" spans="1:9" s="9" customFormat="1" ht="15" customHeight="1" x14ac:dyDescent="0.25">
      <c r="E35" s="42" t="s">
        <v>31</v>
      </c>
      <c r="F35" s="14"/>
      <c r="G35" s="13"/>
      <c r="H35" s="39">
        <f>+H34*0.19</f>
        <v>234.46</v>
      </c>
    </row>
    <row r="36" spans="1:9" s="9" customFormat="1" thickBot="1" x14ac:dyDescent="0.3">
      <c r="E36" s="43" t="s">
        <v>32</v>
      </c>
      <c r="F36" s="44"/>
      <c r="G36" s="45"/>
      <c r="H36" s="46">
        <f>SUM(H34:H35)</f>
        <v>1468.46</v>
      </c>
    </row>
    <row r="37" spans="1:9" s="9" customFormat="1" thickTop="1" x14ac:dyDescent="0.25">
      <c r="E37" s="35"/>
      <c r="F37" s="11"/>
      <c r="G37" s="13"/>
      <c r="H37" s="39"/>
    </row>
    <row r="38" spans="1:9" s="9" customFormat="1" ht="15.6" customHeight="1" x14ac:dyDescent="0.25">
      <c r="A38" s="9" t="s">
        <v>33</v>
      </c>
      <c r="D38" s="35"/>
      <c r="E38" s="11"/>
      <c r="F38" s="12"/>
      <c r="G38" s="13"/>
    </row>
    <row r="39" spans="1:9" s="9" customFormat="1" ht="15" customHeight="1" x14ac:dyDescent="0.25">
      <c r="A39" s="9" t="s">
        <v>34</v>
      </c>
      <c r="B39" s="14"/>
      <c r="D39" s="10"/>
      <c r="E39" s="11"/>
      <c r="F39" s="12"/>
      <c r="G39" s="13"/>
    </row>
    <row r="40" spans="1:9" s="9" customFormat="1" ht="15" customHeight="1" x14ac:dyDescent="0.25">
      <c r="D40" s="10"/>
      <c r="E40" s="11"/>
      <c r="F40" s="12"/>
      <c r="G40" s="13"/>
    </row>
    <row r="41" spans="1:9" s="9" customFormat="1" ht="15" customHeight="1" x14ac:dyDescent="0.25">
      <c r="D41" s="10"/>
      <c r="E41" s="11"/>
      <c r="F41" s="12"/>
      <c r="G41" s="13"/>
    </row>
    <row r="42" spans="1:9" s="9" customFormat="1" ht="15" customHeight="1" x14ac:dyDescent="0.25">
      <c r="D42" s="10"/>
      <c r="E42" s="11"/>
      <c r="F42" s="12"/>
      <c r="G42" s="13"/>
    </row>
    <row r="43" spans="1:9" s="9" customFormat="1" ht="15" customHeight="1" x14ac:dyDescent="0.25">
      <c r="D43" s="10"/>
      <c r="E43" s="11"/>
      <c r="F43" s="12"/>
      <c r="G43" s="13"/>
    </row>
    <row r="44" spans="1:9" s="9" customFormat="1" ht="15" customHeight="1" x14ac:dyDescent="0.25">
      <c r="B44" s="19"/>
      <c r="D44" s="10"/>
      <c r="E44" s="11"/>
      <c r="F44" s="12"/>
      <c r="G44" s="13"/>
    </row>
    <row r="45" spans="1:9" s="9" customFormat="1" ht="15" customHeight="1" x14ac:dyDescent="0.25">
      <c r="D45" s="10"/>
      <c r="E45" s="11"/>
      <c r="F45" s="12"/>
      <c r="G45" s="13"/>
    </row>
    <row r="46" spans="1:9" s="9" customFormat="1" ht="15" customHeight="1" x14ac:dyDescent="0.25">
      <c r="D46" s="10"/>
      <c r="E46" s="11"/>
      <c r="F46" s="12"/>
      <c r="G46" s="13"/>
    </row>
    <row r="47" spans="1:9" s="9" customFormat="1" ht="11.25" customHeight="1" x14ac:dyDescent="0.25">
      <c r="D47" s="10"/>
      <c r="E47" s="11"/>
      <c r="F47" s="12"/>
      <c r="G47" s="13"/>
    </row>
    <row r="48" spans="1:9" x14ac:dyDescent="0.25">
      <c r="A48" s="78" t="s">
        <v>35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5:H2679"/>
  <sheetViews>
    <sheetView workbookViewId="0">
      <selection activeCell="A15" sqref="A15:IV15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44726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112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44691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65000</v>
      </c>
      <c r="F25" s="55" t="s">
        <v>61</v>
      </c>
      <c r="G25" s="11">
        <v>10</v>
      </c>
      <c r="H25" s="56">
        <f>+G25/20*149*3</f>
        <v>223.5</v>
      </c>
    </row>
    <row r="26" spans="1:8" s="9" customFormat="1" ht="15" customHeight="1" x14ac:dyDescent="0.25">
      <c r="B26" s="9" t="s">
        <v>113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8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8" s="9" customFormat="1" ht="15" customHeight="1" x14ac:dyDescent="0.25">
      <c r="B34" s="9" t="s">
        <v>114</v>
      </c>
      <c r="E34" s="20"/>
      <c r="F34" s="21"/>
      <c r="G34" s="22"/>
      <c r="H34" s="41"/>
    </row>
    <row r="35" spans="1:8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243.5</v>
      </c>
    </row>
    <row r="36" spans="1:8" s="9" customFormat="1" ht="15" customHeight="1" x14ac:dyDescent="0.25">
      <c r="E36" s="57" t="s">
        <v>31</v>
      </c>
      <c r="F36" s="58"/>
      <c r="G36" s="22"/>
      <c r="H36" s="41">
        <f>+H35*0.19</f>
        <v>46.265000000000001</v>
      </c>
    </row>
    <row r="37" spans="1:8" s="9" customFormat="1" thickBot="1" x14ac:dyDescent="0.3">
      <c r="E37" s="43" t="s">
        <v>32</v>
      </c>
      <c r="F37" s="44"/>
      <c r="G37" s="45"/>
      <c r="H37" s="46">
        <f>SUM(H35:H36)</f>
        <v>289.76499999999999</v>
      </c>
    </row>
    <row r="38" spans="1:8" s="9" customFormat="1" thickTop="1" x14ac:dyDescent="0.25">
      <c r="E38" s="35"/>
      <c r="F38" s="11"/>
      <c r="G38" s="13"/>
      <c r="H38" s="39"/>
    </row>
    <row r="39" spans="1:8" s="9" customFormat="1" ht="15.6" customHeight="1" x14ac:dyDescent="0.25">
      <c r="A39" s="9" t="s">
        <v>34</v>
      </c>
      <c r="D39" s="35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B43" s="19"/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5:Q68"/>
  <sheetViews>
    <sheetView topLeftCell="A10" workbookViewId="0">
      <selection activeCell="B55" sqref="B55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44777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115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54">
        <v>173070</v>
      </c>
      <c r="F20" s="11" t="s">
        <v>27</v>
      </c>
      <c r="G20" s="13">
        <v>4.75</v>
      </c>
      <c r="H20" s="39">
        <f>+G20/10*2045</f>
        <v>971.375</v>
      </c>
    </row>
    <row r="21" spans="1:9" s="9" customFormat="1" ht="15" customHeight="1" x14ac:dyDescent="0.25">
      <c r="B21" s="9" t="s">
        <v>46</v>
      </c>
      <c r="C21" s="18">
        <v>2020</v>
      </c>
      <c r="E21" s="54"/>
      <c r="F21" s="11"/>
      <c r="G21" s="13"/>
      <c r="H21" s="39"/>
    </row>
    <row r="22" spans="1:9" s="9" customFormat="1" ht="8.25" customHeight="1" x14ac:dyDescent="0.25">
      <c r="C22" s="18"/>
      <c r="E22" s="54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54">
        <v>8000</v>
      </c>
      <c r="F23" s="11" t="s">
        <v>27</v>
      </c>
      <c r="G23" s="13">
        <v>8</v>
      </c>
      <c r="H23" s="39">
        <f>+G23/20*485</f>
        <v>194</v>
      </c>
    </row>
    <row r="24" spans="1:9" s="9" customFormat="1" ht="15" customHeight="1" x14ac:dyDescent="0.25">
      <c r="B24" s="9" t="s">
        <v>48</v>
      </c>
      <c r="C24" s="18"/>
      <c r="E24" s="54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2020</v>
      </c>
      <c r="E25" s="54"/>
      <c r="F25" s="11"/>
      <c r="G25" s="13"/>
      <c r="H25" s="39"/>
    </row>
    <row r="26" spans="1:9" s="9" customFormat="1" ht="8.25" customHeight="1" x14ac:dyDescent="0.25">
      <c r="C26" s="18"/>
      <c r="E26" s="54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54">
        <v>8000</v>
      </c>
      <c r="F27" s="11" t="s">
        <v>27</v>
      </c>
      <c r="G27" s="13">
        <v>2.5</v>
      </c>
      <c r="H27" s="39">
        <f>+G27/10*485</f>
        <v>121.25</v>
      </c>
    </row>
    <row r="28" spans="1:9" s="9" customFormat="1" ht="15" customHeight="1" x14ac:dyDescent="0.25">
      <c r="B28" s="9" t="s">
        <v>50</v>
      </c>
      <c r="C28" s="18"/>
      <c r="E28" s="54"/>
      <c r="F28" s="11"/>
      <c r="G28" s="13"/>
      <c r="H28" s="39"/>
    </row>
    <row r="29" spans="1:9" s="9" customFormat="1" ht="15" customHeight="1" x14ac:dyDescent="0.25">
      <c r="B29" s="9" t="s">
        <v>94</v>
      </c>
      <c r="C29" s="18">
        <f>+C25</f>
        <v>2020</v>
      </c>
      <c r="E29" s="54"/>
      <c r="F29" s="11"/>
      <c r="G29" s="13"/>
      <c r="H29" s="39"/>
    </row>
    <row r="30" spans="1:9" s="9" customFormat="1" ht="8.25" customHeight="1" x14ac:dyDescent="0.25">
      <c r="C30" s="18"/>
      <c r="E30" s="54"/>
      <c r="F30" s="11"/>
      <c r="G30" s="13"/>
      <c r="H30" s="39"/>
      <c r="I30" s="12"/>
    </row>
    <row r="31" spans="1:9" s="9" customFormat="1" ht="15" customHeight="1" x14ac:dyDescent="0.25">
      <c r="A31" s="9">
        <v>21</v>
      </c>
      <c r="B31" s="9" t="s">
        <v>116</v>
      </c>
      <c r="C31" s="18"/>
      <c r="E31" s="54">
        <v>650000</v>
      </c>
      <c r="F31" s="11" t="s">
        <v>27</v>
      </c>
      <c r="G31" s="13">
        <v>1.75</v>
      </c>
      <c r="H31" s="39">
        <f>+G31/10*3352</f>
        <v>586.59999999999991</v>
      </c>
    </row>
    <row r="32" spans="1:9" s="9" customFormat="1" ht="15" customHeight="1" x14ac:dyDescent="0.25">
      <c r="B32" s="9" t="s">
        <v>117</v>
      </c>
      <c r="C32" s="18"/>
      <c r="E32" s="54"/>
      <c r="F32" s="11"/>
      <c r="G32" s="13"/>
      <c r="H32" s="39"/>
    </row>
    <row r="33" spans="1:11" s="9" customFormat="1" ht="15" customHeight="1" x14ac:dyDescent="0.25">
      <c r="B33" s="9" t="s">
        <v>118</v>
      </c>
      <c r="C33" s="18"/>
      <c r="E33" s="54"/>
      <c r="F33" s="11"/>
      <c r="G33" s="13"/>
      <c r="H33" s="39"/>
    </row>
    <row r="34" spans="1:11" s="9" customFormat="1" ht="15" customHeight="1" x14ac:dyDescent="0.25">
      <c r="B34" s="9" t="s">
        <v>119</v>
      </c>
      <c r="C34" s="18"/>
      <c r="E34" s="54"/>
      <c r="F34" s="11"/>
      <c r="G34" s="13"/>
      <c r="H34" s="39"/>
    </row>
    <row r="35" spans="1:11" s="9" customFormat="1" ht="8.25" customHeight="1" x14ac:dyDescent="0.25">
      <c r="C35" s="18"/>
      <c r="E35" s="54"/>
      <c r="F35" s="11"/>
      <c r="G35" s="13"/>
      <c r="H35" s="39"/>
      <c r="I35" s="12"/>
    </row>
    <row r="36" spans="1:11" s="9" customFormat="1" ht="15" customHeight="1" x14ac:dyDescent="0.25">
      <c r="A36" s="9">
        <v>16</v>
      </c>
      <c r="B36" s="9" t="s">
        <v>28</v>
      </c>
      <c r="E36" s="54">
        <f>SUM(H20:H35)*0.2</f>
        <v>374.64499999999998</v>
      </c>
      <c r="F36" s="11"/>
      <c r="G36" s="13"/>
      <c r="H36" s="39">
        <v>20</v>
      </c>
    </row>
    <row r="37" spans="1:11" s="9" customFormat="1" ht="15" customHeight="1" x14ac:dyDescent="0.25">
      <c r="B37" s="9" t="s">
        <v>29</v>
      </c>
      <c r="E37" s="20"/>
      <c r="F37" s="21"/>
      <c r="G37" s="22"/>
      <c r="H37" s="41"/>
    </row>
    <row r="38" spans="1:11" s="9" customFormat="1" ht="15" customHeight="1" x14ac:dyDescent="0.25">
      <c r="A38" s="14"/>
      <c r="B38" s="14"/>
      <c r="E38" s="9" t="s">
        <v>30</v>
      </c>
      <c r="F38" s="14"/>
      <c r="G38" s="13"/>
      <c r="H38" s="39">
        <f>SUM(H20:H37)</f>
        <v>1893.2249999999999</v>
      </c>
      <c r="I38" s="39"/>
      <c r="J38" s="39"/>
      <c r="K38" s="39"/>
    </row>
    <row r="39" spans="1:11" s="9" customFormat="1" ht="15" customHeight="1" x14ac:dyDescent="0.25">
      <c r="E39" s="42" t="s">
        <v>31</v>
      </c>
      <c r="F39" s="14"/>
      <c r="G39" s="13"/>
      <c r="H39" s="39">
        <f>+H38*0.19</f>
        <v>359.71274999999997</v>
      </c>
    </row>
    <row r="40" spans="1:11" s="9" customFormat="1" thickBot="1" x14ac:dyDescent="0.3">
      <c r="E40" s="43" t="s">
        <v>32</v>
      </c>
      <c r="F40" s="44"/>
      <c r="G40" s="45"/>
      <c r="H40" s="46">
        <f>SUM(H38:H39)</f>
        <v>2252.9377500000001</v>
      </c>
    </row>
    <row r="41" spans="1:11" s="9" customFormat="1" thickTop="1" x14ac:dyDescent="0.25">
      <c r="E41" s="35"/>
      <c r="F41" s="11"/>
      <c r="G41" s="13"/>
      <c r="H41" s="39"/>
    </row>
    <row r="42" spans="1:11" s="9" customFormat="1" ht="15" customHeight="1" x14ac:dyDescent="0.25">
      <c r="A42" s="9" t="s">
        <v>33</v>
      </c>
      <c r="D42" s="35"/>
      <c r="E42" s="11"/>
      <c r="F42" s="12"/>
      <c r="G42" s="13"/>
    </row>
    <row r="43" spans="1:11" s="9" customFormat="1" ht="15" customHeight="1" x14ac:dyDescent="0.25">
      <c r="A43" s="9" t="s">
        <v>34</v>
      </c>
      <c r="B43" s="14"/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D46" s="10"/>
      <c r="E46" s="11"/>
      <c r="F46" s="12"/>
      <c r="G46" s="13"/>
    </row>
    <row r="47" spans="1:11" s="9" customFormat="1" ht="15" customHeight="1" x14ac:dyDescent="0.25">
      <c r="B47" s="19"/>
      <c r="D47" s="10"/>
      <c r="E47" s="11"/>
      <c r="F47" s="12"/>
      <c r="G47" s="13"/>
    </row>
    <row r="48" spans="1:11" s="9" customFormat="1" ht="8.25" customHeight="1" x14ac:dyDescent="0.25">
      <c r="D48" s="10"/>
      <c r="E48" s="11"/>
      <c r="F48" s="12"/>
      <c r="G48" s="13"/>
      <c r="I48" s="12"/>
    </row>
    <row r="49" spans="1:9" s="9" customFormat="1" ht="15" customHeight="1" x14ac:dyDescent="0.25">
      <c r="D49" s="10"/>
      <c r="E49" s="11"/>
      <c r="F49" s="12"/>
      <c r="G49" s="13"/>
      <c r="I49" s="12"/>
    </row>
    <row r="50" spans="1:9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9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9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9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9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9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6399.1004999999996</v>
      </c>
    </row>
    <row r="56" spans="1:9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9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9" x14ac:dyDescent="0.25">
      <c r="D58" s="7"/>
      <c r="E58" s="3"/>
      <c r="F58" s="4"/>
      <c r="H58" s="24"/>
    </row>
    <row r="59" spans="1:9" x14ac:dyDescent="0.25">
      <c r="D59" s="7"/>
      <c r="E59" s="3"/>
      <c r="F59" s="4"/>
      <c r="H59" s="24"/>
    </row>
    <row r="60" spans="1:9" x14ac:dyDescent="0.25">
      <c r="D60" s="7"/>
      <c r="E60" s="3"/>
      <c r="F60" s="4"/>
      <c r="H60" s="24"/>
    </row>
    <row r="61" spans="1:9" ht="11.25" customHeight="1" x14ac:dyDescent="0.25">
      <c r="D61" s="7"/>
      <c r="E61" s="3"/>
      <c r="F61" s="4"/>
      <c r="H61" s="24"/>
    </row>
    <row r="62" spans="1:9" x14ac:dyDescent="0.25">
      <c r="D62" s="7"/>
      <c r="E62" s="3"/>
      <c r="F62" s="4"/>
      <c r="H62" s="24"/>
    </row>
    <row r="63" spans="1:9" x14ac:dyDescent="0.25">
      <c r="D63" s="7"/>
      <c r="E63" s="3"/>
      <c r="F63" s="4"/>
      <c r="H63" s="24"/>
    </row>
    <row r="64" spans="1:9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6399.1004999999996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5:H2679"/>
  <sheetViews>
    <sheetView workbookViewId="0">
      <selection activeCell="A28" sqref="A28:H29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44795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120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44784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65000</v>
      </c>
      <c r="F25" s="55" t="s">
        <v>61</v>
      </c>
      <c r="G25" s="11">
        <v>10</v>
      </c>
      <c r="H25" s="56">
        <f>+G25/20*149*3</f>
        <v>223.5</v>
      </c>
    </row>
    <row r="26" spans="1:8" s="9" customFormat="1" ht="15" customHeight="1" x14ac:dyDescent="0.25">
      <c r="B26" s="9" t="s">
        <v>121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/>
    <row r="29" spans="1:8" s="9" customFormat="1" ht="15" customHeight="1" x14ac:dyDescent="0.25"/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8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8" s="9" customFormat="1" ht="15" customHeight="1" x14ac:dyDescent="0.25">
      <c r="B34" s="9" t="s">
        <v>114</v>
      </c>
      <c r="E34" s="20"/>
      <c r="F34" s="21"/>
      <c r="G34" s="22"/>
      <c r="H34" s="41"/>
    </row>
    <row r="35" spans="1:8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243.5</v>
      </c>
    </row>
    <row r="36" spans="1:8" s="9" customFormat="1" ht="15" customHeight="1" x14ac:dyDescent="0.25">
      <c r="E36" s="57" t="s">
        <v>31</v>
      </c>
      <c r="F36" s="58"/>
      <c r="G36" s="22"/>
      <c r="H36" s="41">
        <f>+H35*0.19</f>
        <v>46.265000000000001</v>
      </c>
    </row>
    <row r="37" spans="1:8" s="9" customFormat="1" thickBot="1" x14ac:dyDescent="0.3">
      <c r="E37" s="43" t="s">
        <v>32</v>
      </c>
      <c r="F37" s="44"/>
      <c r="G37" s="45"/>
      <c r="H37" s="46">
        <f>SUM(H35:H36)</f>
        <v>289.76499999999999</v>
      </c>
    </row>
    <row r="38" spans="1:8" s="9" customFormat="1" thickTop="1" x14ac:dyDescent="0.25">
      <c r="E38" s="35"/>
      <c r="F38" s="11"/>
      <c r="G38" s="13"/>
      <c r="H38" s="39"/>
    </row>
    <row r="39" spans="1:8" s="9" customFormat="1" ht="15.6" customHeight="1" x14ac:dyDescent="0.25">
      <c r="A39" s="9" t="s">
        <v>34</v>
      </c>
      <c r="D39" s="35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B43" s="19"/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5:H2679"/>
  <sheetViews>
    <sheetView workbookViewId="0">
      <selection activeCell="B33" sqref="B33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44894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122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44876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123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A27" s="9">
        <v>33</v>
      </c>
      <c r="B27" s="9" t="s">
        <v>60</v>
      </c>
      <c r="C27" s="18"/>
      <c r="E27" s="54">
        <v>65000</v>
      </c>
      <c r="F27" s="55" t="s">
        <v>61</v>
      </c>
      <c r="G27" s="11">
        <v>6</v>
      </c>
      <c r="H27" s="56">
        <f>+G27/20*149*3</f>
        <v>134.1</v>
      </c>
    </row>
    <row r="28" spans="1:8" s="9" customFormat="1" ht="15" customHeight="1" x14ac:dyDescent="0.25">
      <c r="B28" s="9" t="s">
        <v>121</v>
      </c>
      <c r="C28" s="18"/>
      <c r="E28" s="54"/>
      <c r="F28" s="55"/>
      <c r="G28" s="11"/>
      <c r="H28" s="56"/>
    </row>
    <row r="29" spans="1:8" s="9" customFormat="1" ht="15" customHeight="1" x14ac:dyDescent="0.25">
      <c r="B29" s="9" t="s">
        <v>124</v>
      </c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80.459999999999994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422.29999999999995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80.236999999999995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502.53699999999992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5:I48"/>
  <sheetViews>
    <sheetView topLeftCell="A19" workbookViewId="0">
      <selection activeCell="A39" sqref="A39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3.855468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8.2851562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44894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1" t="s">
        <v>125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9" customFormat="1" ht="15" customHeight="1" x14ac:dyDescent="0.25">
      <c r="D18" s="10"/>
      <c r="E18" s="11"/>
      <c r="F18" s="12"/>
      <c r="G18" s="13"/>
    </row>
    <row r="19" spans="1:9" s="9" customFormat="1" ht="15" customHeight="1" x14ac:dyDescent="0.25">
      <c r="A19" s="9" t="s">
        <v>14</v>
      </c>
      <c r="B19" s="14"/>
      <c r="D19" s="10"/>
      <c r="E19" s="11"/>
      <c r="F19" s="12"/>
      <c r="G19" s="13"/>
    </row>
    <row r="20" spans="1:9" s="9" customFormat="1" ht="15" customHeight="1" x14ac:dyDescent="0.25">
      <c r="A20" s="9" t="s">
        <v>15</v>
      </c>
      <c r="B20" s="14"/>
      <c r="D20" s="10"/>
      <c r="E20" s="11"/>
      <c r="F20" s="12"/>
      <c r="G20" s="13"/>
    </row>
    <row r="21" spans="1:9" s="9" customFormat="1" ht="15" customHeight="1" x14ac:dyDescent="0.25">
      <c r="D21" s="10"/>
      <c r="E21" s="11"/>
      <c r="F21" s="12"/>
      <c r="G21" s="13"/>
    </row>
    <row r="22" spans="1:9" s="9" customFormat="1" ht="15" customHeight="1" x14ac:dyDescent="0.25">
      <c r="A22" s="15" t="s">
        <v>16</v>
      </c>
      <c r="B22" s="16"/>
      <c r="C22" s="15"/>
      <c r="D22" s="10"/>
      <c r="E22" s="11" t="s">
        <v>17</v>
      </c>
      <c r="F22" s="11" t="s">
        <v>18</v>
      </c>
      <c r="G22" s="17" t="s">
        <v>19</v>
      </c>
      <c r="H22" s="18" t="s">
        <v>20</v>
      </c>
    </row>
    <row r="23" spans="1:9" s="9" customFormat="1" ht="15" customHeight="1" x14ac:dyDescent="0.25">
      <c r="A23" s="19" t="s">
        <v>21</v>
      </c>
      <c r="B23" s="19"/>
      <c r="C23" s="19"/>
      <c r="D23" s="20"/>
      <c r="E23" s="21" t="s">
        <v>22</v>
      </c>
      <c r="F23" s="21"/>
      <c r="G23" s="37" t="s">
        <v>23</v>
      </c>
      <c r="H23" s="23"/>
    </row>
    <row r="24" spans="1:9" s="9" customFormat="1" ht="15" customHeight="1" x14ac:dyDescent="0.25">
      <c r="A24" s="9">
        <v>25</v>
      </c>
      <c r="B24" s="9" t="s">
        <v>126</v>
      </c>
      <c r="E24" s="39">
        <v>45152.71</v>
      </c>
      <c r="F24" s="11" t="s">
        <v>25</v>
      </c>
      <c r="G24" s="13">
        <v>20</v>
      </c>
      <c r="H24" s="39">
        <f>G24/10*248</f>
        <v>496</v>
      </c>
      <c r="I24" s="12"/>
    </row>
    <row r="25" spans="1:9" s="9" customFormat="1" ht="15" customHeight="1" x14ac:dyDescent="0.25">
      <c r="E25" s="39"/>
      <c r="F25" s="11"/>
      <c r="G25" s="13"/>
      <c r="H25" s="39"/>
      <c r="I25" s="12"/>
    </row>
    <row r="26" spans="1:9" s="9" customFormat="1" ht="15" customHeight="1" x14ac:dyDescent="0.25">
      <c r="A26" s="9">
        <v>25</v>
      </c>
      <c r="B26" s="9" t="s">
        <v>108</v>
      </c>
      <c r="E26" s="59">
        <v>95</v>
      </c>
      <c r="F26" s="11"/>
      <c r="G26" s="60">
        <v>2.5</v>
      </c>
      <c r="H26" s="39">
        <f>+G26*E26</f>
        <v>237.5</v>
      </c>
      <c r="I26" s="12"/>
    </row>
    <row r="27" spans="1:9" s="9" customFormat="1" ht="15" customHeight="1" x14ac:dyDescent="0.25">
      <c r="B27" s="9" t="s">
        <v>127</v>
      </c>
      <c r="E27" s="39"/>
      <c r="F27" s="11"/>
      <c r="G27" s="13"/>
      <c r="H27" s="39"/>
      <c r="I27" s="12"/>
    </row>
    <row r="28" spans="1:9" s="9" customFormat="1" ht="14.25" customHeight="1" x14ac:dyDescent="0.25">
      <c r="B28" s="9" t="s">
        <v>128</v>
      </c>
      <c r="E28" s="39"/>
      <c r="F28" s="11"/>
      <c r="G28" s="13"/>
      <c r="H28" s="39"/>
      <c r="I28" s="12"/>
    </row>
    <row r="29" spans="1:9" s="9" customFormat="1" ht="15" customHeight="1" x14ac:dyDescent="0.25">
      <c r="B29" s="9" t="s">
        <v>129</v>
      </c>
      <c r="E29" s="39"/>
      <c r="F29" s="11"/>
      <c r="G29" s="13"/>
      <c r="H29" s="39"/>
      <c r="I29" s="12"/>
    </row>
    <row r="30" spans="1:9" s="9" customFormat="1" ht="15" customHeight="1" x14ac:dyDescent="0.25">
      <c r="E30" s="39"/>
      <c r="F30" s="11"/>
      <c r="G30" s="13"/>
      <c r="H30" s="39"/>
      <c r="I30" s="12"/>
    </row>
    <row r="31" spans="1:9" s="9" customFormat="1" ht="15" customHeight="1" x14ac:dyDescent="0.25">
      <c r="A31" s="9">
        <v>24</v>
      </c>
      <c r="B31" s="40" t="s">
        <v>130</v>
      </c>
      <c r="E31" s="39">
        <v>8000</v>
      </c>
      <c r="F31" s="11" t="s">
        <v>27</v>
      </c>
      <c r="G31" s="13">
        <v>6</v>
      </c>
      <c r="H31" s="39">
        <f>G31/10*485</f>
        <v>291</v>
      </c>
    </row>
    <row r="32" spans="1:9" s="9" customFormat="1" ht="15" customHeight="1" x14ac:dyDescent="0.25">
      <c r="B32" s="40"/>
      <c r="E32" s="39"/>
      <c r="F32" s="11"/>
      <c r="G32" s="13"/>
      <c r="H32" s="39"/>
    </row>
    <row r="33" spans="1:9" s="9" customFormat="1" ht="15" customHeight="1" x14ac:dyDescent="0.25">
      <c r="A33" s="9">
        <v>16</v>
      </c>
      <c r="B33" s="9" t="s">
        <v>28</v>
      </c>
      <c r="E33" s="39">
        <f>SUM(H24:H31)*0.2</f>
        <v>204.9</v>
      </c>
      <c r="F33" s="11"/>
      <c r="G33" s="13"/>
      <c r="H33" s="39">
        <v>20</v>
      </c>
    </row>
    <row r="34" spans="1:9" s="9" customFormat="1" ht="15" customHeight="1" x14ac:dyDescent="0.25">
      <c r="B34" s="9" t="s">
        <v>29</v>
      </c>
      <c r="E34" s="20"/>
      <c r="F34" s="21"/>
      <c r="G34" s="22"/>
      <c r="H34" s="41"/>
    </row>
    <row r="35" spans="1:9" s="9" customFormat="1" ht="15" customHeight="1" x14ac:dyDescent="0.25">
      <c r="A35" s="14"/>
      <c r="B35" s="14"/>
      <c r="E35" s="9" t="s">
        <v>30</v>
      </c>
      <c r="F35" s="14"/>
      <c r="G35" s="13"/>
      <c r="H35" s="39">
        <f>SUM(H24:H34)</f>
        <v>1044.5</v>
      </c>
      <c r="I35" s="39"/>
    </row>
    <row r="36" spans="1:9" s="9" customFormat="1" ht="15" customHeight="1" x14ac:dyDescent="0.25">
      <c r="E36" s="42" t="s">
        <v>31</v>
      </c>
      <c r="F36" s="14"/>
      <c r="G36" s="13"/>
      <c r="H36" s="39">
        <f>+H35*0.19</f>
        <v>198.45500000000001</v>
      </c>
    </row>
    <row r="37" spans="1:9" s="9" customFormat="1" thickBot="1" x14ac:dyDescent="0.3">
      <c r="E37" s="43" t="s">
        <v>32</v>
      </c>
      <c r="F37" s="44"/>
      <c r="G37" s="45"/>
      <c r="H37" s="46">
        <f>SUM(H35:H36)</f>
        <v>1242.9549999999999</v>
      </c>
    </row>
    <row r="38" spans="1:9" s="9" customFormat="1" thickTop="1" x14ac:dyDescent="0.25">
      <c r="E38" s="35"/>
      <c r="F38" s="11"/>
      <c r="G38" s="13"/>
      <c r="H38" s="39"/>
    </row>
    <row r="39" spans="1:9" s="9" customFormat="1" ht="15.6" customHeight="1" x14ac:dyDescent="0.25">
      <c r="A39" s="9" t="s">
        <v>131</v>
      </c>
      <c r="D39" s="35"/>
      <c r="E39" s="11"/>
      <c r="F39" s="12"/>
      <c r="G39" s="13"/>
    </row>
    <row r="40" spans="1:9" s="9" customFormat="1" ht="15" customHeight="1" x14ac:dyDescent="0.25">
      <c r="A40" s="9" t="s">
        <v>34</v>
      </c>
      <c r="B40" s="14"/>
      <c r="D40" s="10"/>
      <c r="E40" s="11"/>
      <c r="F40" s="12"/>
      <c r="G40" s="13"/>
    </row>
    <row r="41" spans="1:9" s="9" customFormat="1" ht="15" customHeight="1" x14ac:dyDescent="0.25">
      <c r="D41" s="10"/>
      <c r="E41" s="11"/>
      <c r="F41" s="12"/>
      <c r="G41" s="13"/>
    </row>
    <row r="42" spans="1:9" s="9" customFormat="1" ht="15" customHeight="1" x14ac:dyDescent="0.25">
      <c r="D42" s="10"/>
      <c r="E42" s="11"/>
      <c r="F42" s="12"/>
      <c r="G42" s="13"/>
    </row>
    <row r="43" spans="1:9" s="9" customFormat="1" ht="15" customHeight="1" x14ac:dyDescent="0.25">
      <c r="D43" s="10"/>
      <c r="E43" s="11"/>
      <c r="F43" s="12"/>
      <c r="G43" s="13"/>
    </row>
    <row r="44" spans="1:9" s="9" customFormat="1" ht="15" customHeight="1" x14ac:dyDescent="0.25">
      <c r="B44" s="19"/>
      <c r="D44" s="10"/>
      <c r="E44" s="11"/>
      <c r="F44" s="12"/>
      <c r="G44" s="13"/>
    </row>
    <row r="45" spans="1:9" s="9" customFormat="1" ht="15" customHeight="1" x14ac:dyDescent="0.25">
      <c r="D45" s="10"/>
      <c r="E45" s="11"/>
      <c r="F45" s="12"/>
      <c r="G45" s="13"/>
    </row>
    <row r="46" spans="1:9" s="9" customFormat="1" ht="15" customHeight="1" x14ac:dyDescent="0.25">
      <c r="D46" s="10"/>
      <c r="E46" s="11"/>
      <c r="F46" s="12"/>
      <c r="G46" s="13"/>
    </row>
    <row r="47" spans="1:9" s="9" customFormat="1" ht="11.25" customHeight="1" x14ac:dyDescent="0.25">
      <c r="D47" s="10"/>
      <c r="E47" s="11"/>
      <c r="F47" s="12"/>
      <c r="G47" s="13"/>
    </row>
    <row r="48" spans="1:9" x14ac:dyDescent="0.25">
      <c r="A48" s="78" t="s">
        <v>35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5:Q68"/>
  <sheetViews>
    <sheetView topLeftCell="A28" workbookViewId="0">
      <selection activeCell="A42" sqref="A42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44894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132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54">
        <v>174740</v>
      </c>
      <c r="F20" s="11" t="s">
        <v>27</v>
      </c>
      <c r="G20" s="13">
        <v>4</v>
      </c>
      <c r="H20" s="39">
        <f>+G20/10*2045</f>
        <v>818</v>
      </c>
    </row>
    <row r="21" spans="1:9" s="9" customFormat="1" ht="15" customHeight="1" x14ac:dyDescent="0.25">
      <c r="B21" s="9" t="s">
        <v>46</v>
      </c>
      <c r="C21" s="18">
        <v>2021</v>
      </c>
      <c r="E21" s="54"/>
      <c r="F21" s="11"/>
      <c r="G21" s="13"/>
      <c r="H21" s="39"/>
    </row>
    <row r="22" spans="1:9" s="9" customFormat="1" ht="8.25" customHeight="1" x14ac:dyDescent="0.25">
      <c r="C22" s="18"/>
      <c r="E22" s="54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54">
        <v>8000</v>
      </c>
      <c r="F23" s="11" t="s">
        <v>27</v>
      </c>
      <c r="G23" s="13">
        <v>8</v>
      </c>
      <c r="H23" s="39">
        <f>+G23/20*485</f>
        <v>194</v>
      </c>
    </row>
    <row r="24" spans="1:9" s="9" customFormat="1" ht="15" customHeight="1" x14ac:dyDescent="0.25">
      <c r="B24" s="9" t="s">
        <v>48</v>
      </c>
      <c r="C24" s="18"/>
      <c r="E24" s="54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2021</v>
      </c>
      <c r="E25" s="54"/>
      <c r="F25" s="11"/>
      <c r="G25" s="13"/>
      <c r="H25" s="39"/>
    </row>
    <row r="26" spans="1:9" s="9" customFormat="1" ht="8.25" customHeight="1" x14ac:dyDescent="0.25">
      <c r="C26" s="18"/>
      <c r="E26" s="54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54">
        <v>42873</v>
      </c>
      <c r="F27" s="11" t="s">
        <v>27</v>
      </c>
      <c r="G27" s="13">
        <v>3.5</v>
      </c>
      <c r="H27" s="39">
        <f>+G27/20*1146</f>
        <v>200.54999999999998</v>
      </c>
    </row>
    <row r="28" spans="1:9" s="9" customFormat="1" ht="15" customHeight="1" x14ac:dyDescent="0.25">
      <c r="B28" s="9" t="s">
        <v>50</v>
      </c>
      <c r="C28" s="18"/>
      <c r="E28" s="54"/>
      <c r="F28" s="11"/>
      <c r="G28" s="13"/>
      <c r="H28" s="39"/>
    </row>
    <row r="29" spans="1:9" s="9" customFormat="1" ht="15" customHeight="1" x14ac:dyDescent="0.25">
      <c r="B29" s="9" t="s">
        <v>133</v>
      </c>
      <c r="C29" s="18">
        <f>+C25</f>
        <v>2021</v>
      </c>
      <c r="E29" s="54"/>
      <c r="F29" s="11"/>
      <c r="G29" s="13"/>
      <c r="H29" s="39"/>
    </row>
    <row r="30" spans="1:9" s="9" customFormat="1" ht="8.25" customHeight="1" x14ac:dyDescent="0.25">
      <c r="C30" s="18"/>
      <c r="E30" s="54"/>
      <c r="F30" s="11"/>
      <c r="G30" s="13"/>
      <c r="H30" s="39"/>
      <c r="I30" s="12"/>
    </row>
    <row r="31" spans="1:9" s="9" customFormat="1" ht="15" customHeight="1" x14ac:dyDescent="0.25">
      <c r="A31" s="9">
        <v>27</v>
      </c>
      <c r="B31" s="9" t="s">
        <v>47</v>
      </c>
      <c r="C31" s="18"/>
      <c r="E31" s="54">
        <v>8000</v>
      </c>
      <c r="F31" s="11" t="s">
        <v>27</v>
      </c>
      <c r="G31" s="13">
        <v>2</v>
      </c>
      <c r="H31" s="39">
        <f>+G31/20*485</f>
        <v>48.5</v>
      </c>
    </row>
    <row r="32" spans="1:9" s="9" customFormat="1" ht="15" customHeight="1" x14ac:dyDescent="0.25">
      <c r="B32" s="9" t="s">
        <v>50</v>
      </c>
      <c r="C32" s="18"/>
      <c r="E32" s="54"/>
      <c r="F32" s="11"/>
      <c r="G32" s="13"/>
      <c r="H32" s="39"/>
    </row>
    <row r="33" spans="1:11" s="9" customFormat="1" ht="15" customHeight="1" x14ac:dyDescent="0.25">
      <c r="B33" s="9" t="s">
        <v>134</v>
      </c>
      <c r="C33" s="18">
        <f>+C29</f>
        <v>2021</v>
      </c>
      <c r="E33" s="54"/>
      <c r="F33" s="11"/>
      <c r="G33" s="13"/>
      <c r="H33" s="39"/>
    </row>
    <row r="34" spans="1:11" s="9" customFormat="1" ht="15" customHeight="1" x14ac:dyDescent="0.25">
      <c r="C34" s="18"/>
      <c r="E34" s="54"/>
      <c r="F34" s="11"/>
      <c r="G34" s="13"/>
      <c r="H34" s="39"/>
    </row>
    <row r="35" spans="1:11" s="9" customFormat="1" ht="8.25" customHeight="1" x14ac:dyDescent="0.25">
      <c r="C35" s="18"/>
      <c r="E35" s="54"/>
      <c r="F35" s="11"/>
      <c r="G35" s="13"/>
      <c r="H35" s="39"/>
      <c r="I35" s="12"/>
    </row>
    <row r="36" spans="1:11" s="9" customFormat="1" ht="15" customHeight="1" x14ac:dyDescent="0.25">
      <c r="A36" s="9">
        <v>16</v>
      </c>
      <c r="B36" s="9" t="s">
        <v>28</v>
      </c>
      <c r="E36" s="54">
        <f>SUM(H20:H35)*0.2</f>
        <v>252.21</v>
      </c>
      <c r="F36" s="11"/>
      <c r="G36" s="13"/>
      <c r="H36" s="39">
        <v>20</v>
      </c>
    </row>
    <row r="37" spans="1:11" s="9" customFormat="1" ht="15" customHeight="1" x14ac:dyDescent="0.25">
      <c r="B37" s="9" t="s">
        <v>29</v>
      </c>
      <c r="E37" s="20"/>
      <c r="F37" s="21"/>
      <c r="G37" s="22"/>
      <c r="H37" s="41"/>
    </row>
    <row r="38" spans="1:11" s="9" customFormat="1" ht="15" customHeight="1" x14ac:dyDescent="0.25">
      <c r="A38" s="14"/>
      <c r="B38" s="14"/>
      <c r="E38" s="9" t="s">
        <v>30</v>
      </c>
      <c r="F38" s="14"/>
      <c r="G38" s="13"/>
      <c r="H38" s="39">
        <f>SUM(H20:H37)</f>
        <v>1281.05</v>
      </c>
      <c r="I38" s="39"/>
      <c r="J38" s="39"/>
      <c r="K38" s="39"/>
    </row>
    <row r="39" spans="1:11" s="9" customFormat="1" ht="15" customHeight="1" x14ac:dyDescent="0.25">
      <c r="E39" s="42" t="s">
        <v>31</v>
      </c>
      <c r="F39" s="14"/>
      <c r="G39" s="13"/>
      <c r="H39" s="39">
        <f>+H38*0.19</f>
        <v>243.39949999999999</v>
      </c>
    </row>
    <row r="40" spans="1:11" s="9" customFormat="1" thickBot="1" x14ac:dyDescent="0.3">
      <c r="E40" s="43" t="s">
        <v>32</v>
      </c>
      <c r="F40" s="44"/>
      <c r="G40" s="45"/>
      <c r="H40" s="46">
        <f>SUM(H38:H39)</f>
        <v>1524.4494999999999</v>
      </c>
    </row>
    <row r="41" spans="1:11" s="9" customFormat="1" thickTop="1" x14ac:dyDescent="0.25">
      <c r="E41" s="35"/>
      <c r="F41" s="11"/>
      <c r="G41" s="13"/>
      <c r="H41" s="39"/>
    </row>
    <row r="42" spans="1:11" s="9" customFormat="1" ht="15" customHeight="1" x14ac:dyDescent="0.25">
      <c r="A42" s="9" t="s">
        <v>131</v>
      </c>
      <c r="D42" s="35"/>
      <c r="E42" s="11"/>
      <c r="F42" s="12"/>
      <c r="G42" s="13"/>
    </row>
    <row r="43" spans="1:11" s="9" customFormat="1" ht="15" customHeight="1" x14ac:dyDescent="0.25">
      <c r="A43" s="9" t="s">
        <v>34</v>
      </c>
      <c r="B43" s="14"/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D46" s="10"/>
      <c r="E46" s="11"/>
      <c r="F46" s="12"/>
      <c r="G46" s="13"/>
    </row>
    <row r="47" spans="1:11" s="9" customFormat="1" ht="15" customHeight="1" x14ac:dyDescent="0.25">
      <c r="B47" s="19"/>
      <c r="D47" s="10"/>
      <c r="E47" s="11"/>
      <c r="F47" s="12"/>
      <c r="G47" s="13"/>
    </row>
    <row r="48" spans="1:11" s="9" customFormat="1" ht="8.25" customHeight="1" x14ac:dyDescent="0.25">
      <c r="D48" s="10"/>
      <c r="E48" s="11"/>
      <c r="F48" s="12"/>
      <c r="G48" s="13"/>
      <c r="I48" s="12"/>
    </row>
    <row r="49" spans="1:9" s="9" customFormat="1" ht="15" customHeight="1" x14ac:dyDescent="0.25">
      <c r="D49" s="10"/>
      <c r="E49" s="11"/>
      <c r="F49" s="12"/>
      <c r="G49" s="13"/>
      <c r="I49" s="12"/>
    </row>
    <row r="50" spans="1:9" s="9" customFormat="1" ht="15" customHeight="1" x14ac:dyDescent="0.25">
      <c r="A50" s="78" t="s">
        <v>52</v>
      </c>
      <c r="B50" s="96"/>
      <c r="C50" s="96"/>
      <c r="D50" s="96"/>
      <c r="E50" s="96"/>
      <c r="F50" s="96"/>
      <c r="G50" s="96"/>
      <c r="H50" s="96"/>
    </row>
    <row r="51" spans="1:9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9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9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9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9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4329.9489999999996</v>
      </c>
    </row>
    <row r="56" spans="1:9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9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9" x14ac:dyDescent="0.25">
      <c r="D58" s="7"/>
      <c r="E58" s="3"/>
      <c r="F58" s="4"/>
      <c r="H58" s="24"/>
    </row>
    <row r="59" spans="1:9" x14ac:dyDescent="0.25">
      <c r="D59" s="7"/>
      <c r="E59" s="3"/>
      <c r="F59" s="4"/>
      <c r="H59" s="24"/>
    </row>
    <row r="60" spans="1:9" x14ac:dyDescent="0.25">
      <c r="D60" s="7"/>
      <c r="E60" s="3"/>
      <c r="F60" s="4"/>
      <c r="H60" s="24"/>
    </row>
    <row r="61" spans="1:9" ht="11.25" customHeight="1" x14ac:dyDescent="0.25">
      <c r="D61" s="7"/>
      <c r="E61" s="3"/>
      <c r="F61" s="4"/>
      <c r="H61" s="24"/>
    </row>
    <row r="62" spans="1:9" x14ac:dyDescent="0.25">
      <c r="D62" s="7"/>
      <c r="E62" s="3"/>
      <c r="F62" s="4"/>
      <c r="H62" s="24"/>
    </row>
    <row r="63" spans="1:9" x14ac:dyDescent="0.25">
      <c r="D63" s="7"/>
      <c r="E63" s="3"/>
      <c r="F63" s="4"/>
      <c r="H63" s="24"/>
    </row>
    <row r="64" spans="1:9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4329.9489999999996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5:H2679"/>
  <sheetViews>
    <sheetView workbookViewId="0">
      <selection activeCell="A27" sqref="A27:H3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44974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135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44965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8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8" s="9" customFormat="1" ht="15" customHeight="1" x14ac:dyDescent="0.25">
      <c r="D18" s="10"/>
      <c r="E18" s="11"/>
      <c r="F18" s="10"/>
      <c r="G18" s="12"/>
    </row>
    <row r="19" spans="1:8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8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8" s="9" customFormat="1" ht="15" customHeight="1" x14ac:dyDescent="0.25">
      <c r="D21" s="10"/>
      <c r="E21" s="11"/>
      <c r="F21" s="10"/>
      <c r="G21" s="12"/>
    </row>
    <row r="22" spans="1:8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8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8" s="9" customFormat="1" ht="15" customHeight="1" x14ac:dyDescent="0.25">
      <c r="A24" s="9">
        <v>33</v>
      </c>
      <c r="B24" s="9" t="s">
        <v>60</v>
      </c>
      <c r="C24" s="18"/>
      <c r="E24" s="54">
        <v>65000</v>
      </c>
      <c r="F24" s="55" t="s">
        <v>61</v>
      </c>
      <c r="G24" s="11">
        <v>12</v>
      </c>
      <c r="H24" s="56">
        <f>+G24/20*149*3</f>
        <v>268.2</v>
      </c>
    </row>
    <row r="25" spans="1:8" s="9" customFormat="1" ht="15" customHeight="1" x14ac:dyDescent="0.25">
      <c r="B25" s="9" t="s">
        <v>136</v>
      </c>
      <c r="C25" s="18"/>
      <c r="E25" s="54"/>
      <c r="F25" s="55"/>
      <c r="G25" s="11"/>
      <c r="H25" s="56"/>
    </row>
    <row r="26" spans="1:8" s="9" customFormat="1" ht="15" customHeight="1" x14ac:dyDescent="0.25">
      <c r="C26" s="18"/>
      <c r="E26" s="54"/>
      <c r="F26" s="55"/>
      <c r="G26" s="11"/>
      <c r="H26" s="56"/>
    </row>
    <row r="27" spans="1:8" s="9" customFormat="1" ht="15" customHeight="1" x14ac:dyDescent="0.25">
      <c r="A27" s="9">
        <v>33</v>
      </c>
      <c r="B27" s="9" t="s">
        <v>60</v>
      </c>
      <c r="C27" s="18"/>
      <c r="E27" s="54">
        <v>65000</v>
      </c>
      <c r="F27" s="55" t="s">
        <v>61</v>
      </c>
      <c r="G27" s="11">
        <v>4</v>
      </c>
      <c r="H27" s="56">
        <f>+G27/20*149*3</f>
        <v>89.4</v>
      </c>
    </row>
    <row r="28" spans="1:8" s="9" customFormat="1" ht="15" customHeight="1" x14ac:dyDescent="0.25">
      <c r="B28" s="9" t="s">
        <v>123</v>
      </c>
      <c r="C28" s="18"/>
      <c r="E28" s="54"/>
      <c r="F28" s="55"/>
      <c r="G28" s="11"/>
      <c r="H28" s="56"/>
    </row>
    <row r="29" spans="1:8" s="9" customFormat="1" ht="15" customHeight="1" x14ac:dyDescent="0.25">
      <c r="B29" s="9" t="s">
        <v>124</v>
      </c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A32" s="9">
        <v>16</v>
      </c>
      <c r="B32" s="9" t="s">
        <v>28</v>
      </c>
      <c r="E32" s="10">
        <f>SUM(H24:H28)*0.2</f>
        <v>71.52000000000001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377.6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71.744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449.34400000000005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A16:H16"/>
    <mergeCell ref="G10:H10"/>
    <mergeCell ref="F12:H12"/>
    <mergeCell ref="G9:H9"/>
    <mergeCell ref="E9:F9"/>
    <mergeCell ref="E8:F8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5:I2679"/>
  <sheetViews>
    <sheetView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45027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137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45001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5" customHeight="1" x14ac:dyDescent="0.25">
      <c r="A17" s="50"/>
      <c r="B17" s="16"/>
      <c r="C17" s="50"/>
      <c r="D17" s="51"/>
      <c r="E17" s="52"/>
      <c r="F17" s="53"/>
      <c r="G17" s="52"/>
    </row>
    <row r="18" spans="1:9" s="9" customFormat="1" ht="15" customHeight="1" x14ac:dyDescent="0.25">
      <c r="D18" s="10"/>
      <c r="E18" s="11"/>
      <c r="F18" s="10"/>
      <c r="G18" s="12"/>
    </row>
    <row r="19" spans="1:9" s="9" customFormat="1" ht="15" customHeight="1" x14ac:dyDescent="0.25">
      <c r="A19" s="9" t="s">
        <v>39</v>
      </c>
      <c r="B19" s="14"/>
      <c r="D19" s="10"/>
      <c r="E19" s="11"/>
      <c r="F19" s="10"/>
      <c r="G19" s="12"/>
    </row>
    <row r="20" spans="1:9" s="9" customFormat="1" ht="15" customHeight="1" x14ac:dyDescent="0.25">
      <c r="A20" s="9" t="s">
        <v>40</v>
      </c>
      <c r="B20" s="14"/>
      <c r="D20" s="10"/>
      <c r="E20" s="11"/>
      <c r="F20" s="10"/>
      <c r="G20" s="12"/>
    </row>
    <row r="21" spans="1:9" s="9" customFormat="1" ht="15" customHeight="1" x14ac:dyDescent="0.25">
      <c r="D21" s="10"/>
      <c r="E21" s="11"/>
      <c r="F21" s="10"/>
      <c r="G21" s="12"/>
    </row>
    <row r="22" spans="1:9" s="9" customFormat="1" ht="15" customHeight="1" x14ac:dyDescent="0.25">
      <c r="A22" s="15" t="s">
        <v>16</v>
      </c>
      <c r="B22" s="16"/>
      <c r="C22" s="15"/>
      <c r="E22" s="10" t="s">
        <v>17</v>
      </c>
      <c r="F22" s="11" t="s">
        <v>18</v>
      </c>
      <c r="G22" s="10" t="s">
        <v>41</v>
      </c>
      <c r="H22" s="11" t="s">
        <v>42</v>
      </c>
    </row>
    <row r="23" spans="1:9" s="9" customFormat="1" ht="15" customHeight="1" x14ac:dyDescent="0.25">
      <c r="A23" s="19"/>
      <c r="B23" s="19"/>
      <c r="C23" s="19"/>
      <c r="D23" s="19"/>
      <c r="E23" s="20" t="s">
        <v>43</v>
      </c>
      <c r="F23" s="21"/>
      <c r="G23" s="20" t="s">
        <v>44</v>
      </c>
      <c r="H23" s="38"/>
    </row>
    <row r="24" spans="1:9" s="61" customFormat="1" ht="15" customHeight="1" x14ac:dyDescent="0.25">
      <c r="A24" s="61">
        <v>24</v>
      </c>
      <c r="B24" s="62" t="s">
        <v>138</v>
      </c>
      <c r="C24" s="62"/>
      <c r="D24" s="62"/>
      <c r="E24" s="62"/>
      <c r="F24" s="62"/>
      <c r="G24" s="62"/>
      <c r="I24" s="62"/>
    </row>
    <row r="25" spans="1:9" s="61" customFormat="1" ht="15" customHeight="1" x14ac:dyDescent="0.25">
      <c r="B25" s="62" t="s">
        <v>139</v>
      </c>
      <c r="C25" s="63"/>
      <c r="D25" s="62"/>
      <c r="E25" s="64"/>
      <c r="F25" s="65"/>
      <c r="G25" s="66"/>
      <c r="I25" s="67"/>
    </row>
    <row r="26" spans="1:9" s="61" customFormat="1" ht="6" customHeight="1" x14ac:dyDescent="0.25">
      <c r="B26" s="62"/>
      <c r="C26" s="63"/>
      <c r="D26" s="62"/>
      <c r="E26" s="65"/>
      <c r="F26" s="65"/>
      <c r="G26" s="68"/>
      <c r="I26" s="67"/>
    </row>
    <row r="27" spans="1:9" s="61" customFormat="1" ht="15" customHeight="1" x14ac:dyDescent="0.25">
      <c r="A27" s="69" t="s">
        <v>140</v>
      </c>
      <c r="B27" s="62" t="s">
        <v>141</v>
      </c>
      <c r="C27" s="63"/>
      <c r="D27" s="62"/>
      <c r="E27" s="65">
        <v>341935.48</v>
      </c>
      <c r="F27" s="65" t="s">
        <v>27</v>
      </c>
      <c r="G27" s="70">
        <f>0.4/2</f>
        <v>0.2</v>
      </c>
      <c r="H27" s="39">
        <f>G27*2760</f>
        <v>552</v>
      </c>
    </row>
    <row r="28" spans="1:9" s="9" customFormat="1" ht="15" customHeight="1" x14ac:dyDescent="0.25">
      <c r="B28" s="71"/>
      <c r="C28" s="101"/>
      <c r="D28" s="96"/>
      <c r="F28" s="55"/>
      <c r="G28" s="63"/>
      <c r="H28" s="11"/>
      <c r="I28" s="39"/>
    </row>
    <row r="29" spans="1:9" s="9" customFormat="1" ht="15" customHeight="1" x14ac:dyDescent="0.25">
      <c r="B29" s="9" t="s">
        <v>124</v>
      </c>
      <c r="C29" s="18"/>
      <c r="E29" s="54"/>
      <c r="F29" s="55"/>
      <c r="G29" s="11"/>
      <c r="H29" s="56"/>
    </row>
    <row r="30" spans="1:9" s="9" customFormat="1" ht="15" customHeight="1" x14ac:dyDescent="0.25">
      <c r="C30" s="18"/>
      <c r="E30" s="54"/>
      <c r="F30" s="55"/>
      <c r="G30" s="11"/>
      <c r="H30" s="56"/>
    </row>
    <row r="31" spans="1:9" s="9" customFormat="1" ht="15" customHeight="1" x14ac:dyDescent="0.25">
      <c r="C31" s="18"/>
      <c r="E31" s="54"/>
      <c r="F31" s="55"/>
      <c r="G31" s="11"/>
      <c r="H31" s="56"/>
    </row>
    <row r="32" spans="1:9" s="9" customFormat="1" ht="15" customHeight="1" x14ac:dyDescent="0.25">
      <c r="A32" s="9">
        <v>16</v>
      </c>
      <c r="B32" s="9" t="s">
        <v>28</v>
      </c>
      <c r="E32" s="10">
        <f>SUM(H24:H28)*0.2</f>
        <v>110.4</v>
      </c>
      <c r="F32" s="11"/>
      <c r="G32" s="13"/>
      <c r="H32" s="39">
        <v>20</v>
      </c>
    </row>
    <row r="33" spans="1:8" s="9" customFormat="1" ht="15" customHeight="1" x14ac:dyDescent="0.25">
      <c r="B33" s="9" t="s">
        <v>29</v>
      </c>
      <c r="E33" s="20"/>
      <c r="F33" s="21"/>
      <c r="G33" s="22"/>
      <c r="H33" s="41"/>
    </row>
    <row r="34" spans="1:8" s="9" customFormat="1" ht="15" customHeight="1" x14ac:dyDescent="0.25">
      <c r="A34" s="14"/>
      <c r="B34" s="14"/>
      <c r="E34" s="9" t="s">
        <v>30</v>
      </c>
      <c r="F34" s="14"/>
      <c r="G34" s="13"/>
      <c r="H34" s="39">
        <f>SUM(H24:H33)</f>
        <v>572</v>
      </c>
    </row>
    <row r="35" spans="1:8" s="9" customFormat="1" ht="15" customHeight="1" x14ac:dyDescent="0.25">
      <c r="E35" s="42" t="s">
        <v>31</v>
      </c>
      <c r="F35" s="14"/>
      <c r="G35" s="13"/>
      <c r="H35" s="39">
        <f>+H34*0.19</f>
        <v>108.68</v>
      </c>
    </row>
    <row r="36" spans="1:8" s="9" customFormat="1" thickBot="1" x14ac:dyDescent="0.3">
      <c r="E36" s="43" t="s">
        <v>32</v>
      </c>
      <c r="F36" s="44"/>
      <c r="G36" s="45"/>
      <c r="H36" s="46">
        <f>SUM(H34:H35)</f>
        <v>680.68000000000006</v>
      </c>
    </row>
    <row r="37" spans="1:8" s="9" customFormat="1" ht="8.25" customHeight="1" thickTop="1" x14ac:dyDescent="0.25">
      <c r="E37" s="35"/>
      <c r="F37" s="11"/>
      <c r="G37" s="13"/>
      <c r="H37" s="39"/>
    </row>
    <row r="38" spans="1:8" s="9" customFormat="1" ht="15.6" customHeight="1" x14ac:dyDescent="0.25">
      <c r="A38" s="9" t="s">
        <v>34</v>
      </c>
      <c r="D38" s="35"/>
      <c r="E38" s="11"/>
      <c r="F38" s="12"/>
      <c r="G38" s="13"/>
    </row>
    <row r="39" spans="1:8" s="9" customFormat="1" ht="15" customHeight="1" x14ac:dyDescent="0.25">
      <c r="B39" s="14"/>
      <c r="D39" s="10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D43" s="10"/>
      <c r="E43" s="11"/>
      <c r="F43" s="12"/>
      <c r="G43" s="13"/>
    </row>
    <row r="44" spans="1:8" s="9" customFormat="1" ht="15" customHeight="1" x14ac:dyDescent="0.25">
      <c r="B44" s="19"/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1">
    <mergeCell ref="A48:H48"/>
    <mergeCell ref="G7:H7"/>
    <mergeCell ref="E7:F7"/>
    <mergeCell ref="G10:H10"/>
    <mergeCell ref="A16:H16"/>
    <mergeCell ref="E8:F8"/>
    <mergeCell ref="C28:D28"/>
    <mergeCell ref="F12:H12"/>
    <mergeCell ref="G9:H9"/>
    <mergeCell ref="E9:F9"/>
    <mergeCell ref="F11:H11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5:H2679"/>
  <sheetViews>
    <sheetView workbookViewId="0">
      <selection activeCell="G26" sqref="G26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45147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142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45132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65000</v>
      </c>
      <c r="F25" s="55" t="s">
        <v>61</v>
      </c>
      <c r="G25" s="11">
        <v>11</v>
      </c>
      <c r="H25" s="56">
        <f>+G25/20*149*3</f>
        <v>245.85000000000002</v>
      </c>
    </row>
    <row r="26" spans="1:8" s="9" customFormat="1" ht="15" customHeight="1" x14ac:dyDescent="0.25">
      <c r="B26" s="9" t="s">
        <v>143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A28" s="9">
        <v>33</v>
      </c>
      <c r="B28" s="9" t="s">
        <v>60</v>
      </c>
      <c r="C28" s="18"/>
      <c r="E28" s="54">
        <v>65000</v>
      </c>
      <c r="F28" s="55" t="s">
        <v>61</v>
      </c>
      <c r="G28" s="11">
        <v>6</v>
      </c>
      <c r="H28" s="56">
        <f>+G28/20*149*3</f>
        <v>134.1</v>
      </c>
    </row>
    <row r="29" spans="1:8" s="9" customFormat="1" ht="15" customHeight="1" x14ac:dyDescent="0.25">
      <c r="B29" s="9" t="s">
        <v>143</v>
      </c>
      <c r="C29" s="18"/>
      <c r="E29" s="54"/>
      <c r="F29" s="55"/>
      <c r="G29" s="11"/>
      <c r="H29" s="56"/>
    </row>
    <row r="30" spans="1:8" s="9" customFormat="1" ht="15" customHeight="1" x14ac:dyDescent="0.25">
      <c r="B30" s="9" t="s">
        <v>144</v>
      </c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8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8" s="9" customFormat="1" ht="15" customHeight="1" x14ac:dyDescent="0.25">
      <c r="B34" s="9" t="s">
        <v>114</v>
      </c>
      <c r="E34" s="20"/>
      <c r="F34" s="21"/>
      <c r="G34" s="22"/>
      <c r="H34" s="41"/>
    </row>
    <row r="35" spans="1:8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399.95000000000005</v>
      </c>
    </row>
    <row r="36" spans="1:8" s="9" customFormat="1" ht="15" customHeight="1" x14ac:dyDescent="0.25">
      <c r="E36" s="57" t="s">
        <v>31</v>
      </c>
      <c r="F36" s="58"/>
      <c r="G36" s="22"/>
      <c r="H36" s="41">
        <f>+H35*0.19</f>
        <v>75.990500000000011</v>
      </c>
    </row>
    <row r="37" spans="1:8" s="9" customFormat="1" thickBot="1" x14ac:dyDescent="0.3">
      <c r="E37" s="43" t="s">
        <v>32</v>
      </c>
      <c r="F37" s="44"/>
      <c r="G37" s="45"/>
      <c r="H37" s="46">
        <f>SUM(H35:H36)</f>
        <v>475.94050000000004</v>
      </c>
    </row>
    <row r="38" spans="1:8" s="9" customFormat="1" thickTop="1" x14ac:dyDescent="0.25">
      <c r="E38" s="35"/>
      <c r="F38" s="11"/>
      <c r="G38" s="13"/>
      <c r="H38" s="39"/>
    </row>
    <row r="39" spans="1:8" s="9" customFormat="1" ht="15.6" customHeight="1" x14ac:dyDescent="0.25">
      <c r="A39" s="9" t="s">
        <v>34</v>
      </c>
      <c r="D39" s="35"/>
      <c r="E39" s="11"/>
      <c r="F39" s="12"/>
      <c r="G39" s="13"/>
    </row>
    <row r="40" spans="1:8" s="9" customFormat="1" ht="15" customHeight="1" x14ac:dyDescent="0.25">
      <c r="D40" s="10"/>
      <c r="E40" s="11"/>
      <c r="F40" s="12"/>
      <c r="G40" s="13"/>
    </row>
    <row r="41" spans="1:8" s="9" customFormat="1" ht="15" customHeight="1" x14ac:dyDescent="0.25">
      <c r="D41" s="10"/>
      <c r="E41" s="11"/>
      <c r="F41" s="12"/>
      <c r="G41" s="13"/>
    </row>
    <row r="42" spans="1:8" s="9" customFormat="1" ht="15" customHeight="1" x14ac:dyDescent="0.25">
      <c r="D42" s="10"/>
      <c r="E42" s="11"/>
      <c r="F42" s="12"/>
      <c r="G42" s="13"/>
    </row>
    <row r="43" spans="1:8" s="9" customFormat="1" ht="15" customHeight="1" x14ac:dyDescent="0.25">
      <c r="B43" s="19"/>
      <c r="D43" s="10"/>
      <c r="E43" s="11"/>
      <c r="F43" s="12"/>
      <c r="G43" s="13"/>
    </row>
    <row r="44" spans="1:8" s="9" customFormat="1" ht="15" customHeight="1" x14ac:dyDescent="0.25">
      <c r="D44" s="10"/>
      <c r="E44" s="11"/>
      <c r="F44" s="12"/>
      <c r="G44" s="13"/>
    </row>
    <row r="45" spans="1:8" s="9" customFormat="1" ht="15" customHeight="1" x14ac:dyDescent="0.25">
      <c r="D45" s="10"/>
      <c r="E45" s="11"/>
      <c r="F45" s="12"/>
      <c r="G45" s="13"/>
    </row>
    <row r="46" spans="1:8" s="9" customFormat="1" ht="15" customHeight="1" x14ac:dyDescent="0.25">
      <c r="D46" s="10"/>
      <c r="E46" s="11"/>
      <c r="F46" s="12"/>
      <c r="G46" s="13"/>
    </row>
    <row r="48" spans="1:8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5:J2679"/>
  <sheetViews>
    <sheetView workbookViewId="0">
      <selection activeCell="E25" sqref="E25:H25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45147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145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45142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65000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146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>
        <f>+H35+'Fibu I-2023'!H35</f>
        <v>688.15000000000009</v>
      </c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5:J2679"/>
  <sheetViews>
    <sheetView workbookViewId="0">
      <selection activeCell="E25" sqref="E25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45313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147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45240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65000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148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64</v>
      </c>
      <c r="B48" s="79"/>
      <c r="C48" s="79"/>
      <c r="D48" s="80"/>
      <c r="E48" s="81"/>
      <c r="F48" s="82"/>
      <c r="G48" s="79"/>
      <c r="H48" s="79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5:J2679"/>
  <sheetViews>
    <sheetView workbookViewId="0">
      <selection activeCell="A49" sqref="A49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45471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149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45327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150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151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5:J2679"/>
  <sheetViews>
    <sheetView topLeftCell="A19" workbookViewId="0">
      <selection activeCell="A48" sqref="A48:H48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45471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152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45415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153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154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5:I48"/>
  <sheetViews>
    <sheetView topLeftCell="A4" workbookViewId="0">
      <selection activeCell="A48" sqref="A48:H48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3.85546875" style="7" customWidth="1"/>
    <col min="4" max="4" width="5.140625" style="3" customWidth="1"/>
    <col min="5" max="5" width="15.42578125" style="4" customWidth="1"/>
    <col min="6" max="6" width="8" style="5" bestFit="1" customWidth="1"/>
    <col min="7" max="7" width="8.2851562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45471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1" t="s">
        <v>155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9" customFormat="1" ht="15" customHeight="1" x14ac:dyDescent="0.25">
      <c r="D18" s="10"/>
      <c r="E18" s="11"/>
      <c r="F18" s="12"/>
      <c r="G18" s="13"/>
    </row>
    <row r="19" spans="1:9" s="9" customFormat="1" ht="15" customHeight="1" x14ac:dyDescent="0.25">
      <c r="A19" s="9" t="s">
        <v>14</v>
      </c>
      <c r="B19" s="14"/>
      <c r="D19" s="10"/>
      <c r="E19" s="11"/>
      <c r="F19" s="12"/>
      <c r="G19" s="13"/>
    </row>
    <row r="20" spans="1:9" s="9" customFormat="1" ht="15" customHeight="1" x14ac:dyDescent="0.25">
      <c r="A20" s="9" t="s">
        <v>15</v>
      </c>
      <c r="B20" s="14"/>
      <c r="D20" s="10"/>
      <c r="E20" s="11"/>
      <c r="F20" s="12"/>
      <c r="G20" s="13"/>
    </row>
    <row r="21" spans="1:9" s="9" customFormat="1" ht="15" customHeight="1" x14ac:dyDescent="0.25">
      <c r="D21" s="10"/>
      <c r="E21" s="11"/>
      <c r="F21" s="12"/>
      <c r="G21" s="13"/>
    </row>
    <row r="22" spans="1:9" s="9" customFormat="1" ht="15" customHeight="1" x14ac:dyDescent="0.25">
      <c r="A22" s="15" t="s">
        <v>16</v>
      </c>
      <c r="B22" s="16"/>
      <c r="C22" s="15"/>
      <c r="D22" s="10"/>
      <c r="E22" s="11" t="s">
        <v>17</v>
      </c>
      <c r="F22" s="11" t="s">
        <v>18</v>
      </c>
      <c r="G22" s="17" t="s">
        <v>19</v>
      </c>
      <c r="H22" s="18" t="s">
        <v>20</v>
      </c>
    </row>
    <row r="23" spans="1:9" s="9" customFormat="1" ht="15" customHeight="1" x14ac:dyDescent="0.25">
      <c r="A23" s="19" t="s">
        <v>21</v>
      </c>
      <c r="B23" s="19"/>
      <c r="C23" s="19"/>
      <c r="D23" s="20"/>
      <c r="E23" s="21" t="s">
        <v>22</v>
      </c>
      <c r="F23" s="21"/>
      <c r="G23" s="37" t="s">
        <v>23</v>
      </c>
      <c r="H23" s="23"/>
    </row>
    <row r="24" spans="1:9" s="9" customFormat="1" ht="15" customHeight="1" x14ac:dyDescent="0.25">
      <c r="A24" s="9">
        <v>25</v>
      </c>
      <c r="B24" s="9" t="s">
        <v>156</v>
      </c>
      <c r="E24" s="39">
        <v>39808.879999999997</v>
      </c>
      <c r="F24" s="11" t="s">
        <v>25</v>
      </c>
      <c r="G24" s="13">
        <v>25</v>
      </c>
      <c r="H24" s="39">
        <f>G24/10*248</f>
        <v>620</v>
      </c>
      <c r="I24" s="12"/>
    </row>
    <row r="25" spans="1:9" s="9" customFormat="1" ht="15" customHeight="1" x14ac:dyDescent="0.25">
      <c r="E25" s="39"/>
      <c r="F25" s="11"/>
      <c r="G25" s="13"/>
      <c r="H25" s="39"/>
      <c r="I25" s="12"/>
    </row>
    <row r="26" spans="1:9" s="9" customFormat="1" ht="15" customHeight="1" x14ac:dyDescent="0.25">
      <c r="A26" s="9">
        <v>25</v>
      </c>
      <c r="B26" s="9" t="s">
        <v>108</v>
      </c>
      <c r="E26" s="59">
        <v>95</v>
      </c>
      <c r="F26" s="11"/>
      <c r="G26" s="60">
        <v>4</v>
      </c>
      <c r="H26" s="39">
        <f>+G26*E26</f>
        <v>380</v>
      </c>
      <c r="I26" s="12"/>
    </row>
    <row r="27" spans="1:9" s="9" customFormat="1" ht="15" customHeight="1" x14ac:dyDescent="0.25">
      <c r="B27" s="9" t="s">
        <v>157</v>
      </c>
      <c r="E27" s="39"/>
      <c r="F27" s="11"/>
      <c r="G27" s="13"/>
      <c r="H27" s="39"/>
      <c r="I27" s="12"/>
    </row>
    <row r="28" spans="1:9" s="9" customFormat="1" ht="14.25" customHeight="1" x14ac:dyDescent="0.25">
      <c r="B28" s="9" t="s">
        <v>128</v>
      </c>
      <c r="E28" s="39"/>
      <c r="F28" s="11"/>
      <c r="G28" s="13"/>
      <c r="H28" s="39"/>
      <c r="I28" s="12"/>
    </row>
    <row r="29" spans="1:9" s="9" customFormat="1" ht="15" customHeight="1" x14ac:dyDescent="0.25">
      <c r="B29" s="9" t="s">
        <v>129</v>
      </c>
      <c r="E29" s="39"/>
      <c r="F29" s="11"/>
      <c r="G29" s="13"/>
      <c r="H29" s="39"/>
      <c r="I29" s="12"/>
    </row>
    <row r="30" spans="1:9" s="9" customFormat="1" ht="15" customHeight="1" x14ac:dyDescent="0.25">
      <c r="E30" s="39"/>
      <c r="F30" s="11"/>
      <c r="G30" s="13"/>
      <c r="H30" s="39"/>
      <c r="I30" s="12"/>
    </row>
    <row r="31" spans="1:9" s="9" customFormat="1" ht="15" customHeight="1" x14ac:dyDescent="0.25">
      <c r="A31" s="9">
        <v>24</v>
      </c>
      <c r="B31" s="40" t="s">
        <v>158</v>
      </c>
      <c r="E31" s="39">
        <v>8000</v>
      </c>
      <c r="F31" s="11" t="s">
        <v>27</v>
      </c>
      <c r="G31" s="13">
        <v>6</v>
      </c>
      <c r="H31" s="39">
        <f>G31/10*485</f>
        <v>291</v>
      </c>
    </row>
    <row r="32" spans="1:9" s="9" customFormat="1" ht="15" customHeight="1" x14ac:dyDescent="0.25">
      <c r="B32" s="40"/>
      <c r="E32" s="39"/>
      <c r="F32" s="11"/>
      <c r="G32" s="13"/>
      <c r="H32" s="39"/>
    </row>
    <row r="33" spans="1:9" s="9" customFormat="1" ht="15" customHeight="1" x14ac:dyDescent="0.25">
      <c r="A33" s="9">
        <v>16</v>
      </c>
      <c r="B33" s="9" t="s">
        <v>28</v>
      </c>
      <c r="E33" s="39">
        <f>SUM(H24:H31)*0.2</f>
        <v>258.2</v>
      </c>
      <c r="F33" s="11"/>
      <c r="G33" s="13"/>
      <c r="H33" s="39">
        <v>20</v>
      </c>
    </row>
    <row r="34" spans="1:9" s="9" customFormat="1" ht="15" customHeight="1" x14ac:dyDescent="0.25">
      <c r="B34" s="9" t="s">
        <v>29</v>
      </c>
      <c r="E34" s="20"/>
      <c r="F34" s="21"/>
      <c r="G34" s="22"/>
      <c r="H34" s="41"/>
    </row>
    <row r="35" spans="1:9" s="9" customFormat="1" ht="15" customHeight="1" x14ac:dyDescent="0.25">
      <c r="A35" s="14"/>
      <c r="B35" s="14"/>
      <c r="E35" s="9" t="s">
        <v>30</v>
      </c>
      <c r="F35" s="14"/>
      <c r="G35" s="13"/>
      <c r="H35" s="39">
        <f>SUM(H24:H34)</f>
        <v>1311</v>
      </c>
      <c r="I35" s="39"/>
    </row>
    <row r="36" spans="1:9" s="9" customFormat="1" ht="15" customHeight="1" x14ac:dyDescent="0.25">
      <c r="E36" s="42" t="s">
        <v>31</v>
      </c>
      <c r="F36" s="14"/>
      <c r="G36" s="13"/>
      <c r="H36" s="39">
        <f>+H35*0.19</f>
        <v>249.09</v>
      </c>
    </row>
    <row r="37" spans="1:9" s="9" customFormat="1" thickBot="1" x14ac:dyDescent="0.3">
      <c r="E37" s="43" t="s">
        <v>32</v>
      </c>
      <c r="F37" s="44"/>
      <c r="G37" s="45"/>
      <c r="H37" s="46">
        <f>SUM(H35:H36)</f>
        <v>1560.09</v>
      </c>
    </row>
    <row r="38" spans="1:9" s="9" customFormat="1" thickTop="1" x14ac:dyDescent="0.25">
      <c r="E38" s="35"/>
      <c r="F38" s="11"/>
      <c r="G38" s="13"/>
      <c r="H38" s="39"/>
    </row>
    <row r="39" spans="1:9" s="9" customFormat="1" ht="15.6" customHeight="1" x14ac:dyDescent="0.25">
      <c r="A39" s="9" t="s">
        <v>131</v>
      </c>
      <c r="D39" s="35"/>
      <c r="E39" s="11"/>
      <c r="F39" s="12"/>
      <c r="G39" s="13"/>
    </row>
    <row r="40" spans="1:9" s="9" customFormat="1" ht="15" customHeight="1" x14ac:dyDescent="0.25">
      <c r="A40" s="9" t="s">
        <v>34</v>
      </c>
      <c r="B40" s="14"/>
      <c r="D40" s="10"/>
      <c r="E40" s="11"/>
      <c r="F40" s="12"/>
      <c r="G40" s="13"/>
    </row>
    <row r="41" spans="1:9" s="9" customFormat="1" ht="15" customHeight="1" x14ac:dyDescent="0.25">
      <c r="D41" s="10"/>
      <c r="E41" s="11"/>
      <c r="F41" s="12"/>
      <c r="G41" s="13"/>
    </row>
    <row r="42" spans="1:9" s="9" customFormat="1" ht="15" customHeight="1" x14ac:dyDescent="0.25">
      <c r="D42" s="10"/>
      <c r="E42" s="11"/>
      <c r="F42" s="12"/>
      <c r="G42" s="13"/>
    </row>
    <row r="43" spans="1:9" s="9" customFormat="1" ht="15" customHeight="1" x14ac:dyDescent="0.25">
      <c r="D43" s="10"/>
      <c r="E43" s="11"/>
      <c r="F43" s="12"/>
      <c r="G43" s="13"/>
    </row>
    <row r="44" spans="1:9" s="9" customFormat="1" ht="15" customHeight="1" x14ac:dyDescent="0.25">
      <c r="B44" s="19"/>
      <c r="D44" s="10"/>
      <c r="E44" s="11"/>
      <c r="F44" s="12"/>
      <c r="G44" s="13"/>
    </row>
    <row r="45" spans="1:9" s="9" customFormat="1" ht="15" customHeight="1" x14ac:dyDescent="0.25">
      <c r="D45" s="10"/>
      <c r="E45" s="11"/>
      <c r="F45" s="12"/>
      <c r="G45" s="13"/>
    </row>
    <row r="46" spans="1:9" s="9" customFormat="1" ht="15" customHeight="1" x14ac:dyDescent="0.25">
      <c r="D46" s="10"/>
      <c r="E46" s="11"/>
      <c r="F46" s="12"/>
      <c r="G46" s="13"/>
    </row>
    <row r="47" spans="1:9" s="9" customFormat="1" ht="11.25" customHeight="1" x14ac:dyDescent="0.25">
      <c r="D47" s="10"/>
      <c r="E47" s="11"/>
      <c r="F47" s="12"/>
      <c r="G47" s="13"/>
    </row>
    <row r="48" spans="1:9" x14ac:dyDescent="0.25">
      <c r="A48" s="78" t="s">
        <v>154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5:Q68"/>
  <sheetViews>
    <sheetView topLeftCell="A19" workbookViewId="0">
      <selection activeCell="L32" sqref="L32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45471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159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54">
        <v>172921</v>
      </c>
      <c r="F20" s="11" t="s">
        <v>27</v>
      </c>
      <c r="G20" s="13">
        <v>4</v>
      </c>
      <c r="H20" s="39">
        <f>+G20/10*2045</f>
        <v>818</v>
      </c>
    </row>
    <row r="21" spans="1:9" s="9" customFormat="1" ht="15" customHeight="1" x14ac:dyDescent="0.25">
      <c r="B21" s="9" t="s">
        <v>46</v>
      </c>
      <c r="C21" s="18">
        <v>2022</v>
      </c>
      <c r="E21" s="54"/>
      <c r="F21" s="11"/>
      <c r="G21" s="13"/>
      <c r="H21" s="39"/>
    </row>
    <row r="22" spans="1:9" s="9" customFormat="1" ht="8.25" customHeight="1" x14ac:dyDescent="0.25">
      <c r="C22" s="18"/>
      <c r="E22" s="54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54">
        <v>8000</v>
      </c>
      <c r="F23" s="11" t="s">
        <v>27</v>
      </c>
      <c r="G23" s="13">
        <v>8</v>
      </c>
      <c r="H23" s="39">
        <f>+G23/20*485</f>
        <v>194</v>
      </c>
    </row>
    <row r="24" spans="1:9" s="9" customFormat="1" ht="15" customHeight="1" x14ac:dyDescent="0.25">
      <c r="B24" s="9" t="s">
        <v>48</v>
      </c>
      <c r="C24" s="18"/>
      <c r="E24" s="54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2022</v>
      </c>
      <c r="E25" s="54"/>
      <c r="F25" s="11"/>
      <c r="G25" s="13"/>
      <c r="H25" s="39"/>
    </row>
    <row r="26" spans="1:9" s="9" customFormat="1" ht="8.25" customHeight="1" x14ac:dyDescent="0.25">
      <c r="C26" s="18"/>
      <c r="E26" s="54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54">
        <v>42873</v>
      </c>
      <c r="F27" s="11" t="s">
        <v>27</v>
      </c>
      <c r="G27" s="13">
        <v>3.5</v>
      </c>
      <c r="H27" s="39">
        <f>+G27/20*1146</f>
        <v>200.54999999999998</v>
      </c>
    </row>
    <row r="28" spans="1:9" s="9" customFormat="1" ht="15" customHeight="1" x14ac:dyDescent="0.25">
      <c r="B28" s="9" t="s">
        <v>50</v>
      </c>
      <c r="C28" s="18"/>
      <c r="E28" s="54"/>
      <c r="F28" s="11"/>
      <c r="G28" s="13"/>
      <c r="H28" s="39"/>
    </row>
    <row r="29" spans="1:9" s="9" customFormat="1" ht="15" customHeight="1" x14ac:dyDescent="0.25">
      <c r="B29" s="9" t="s">
        <v>133</v>
      </c>
      <c r="C29" s="18">
        <f>+C25</f>
        <v>2022</v>
      </c>
      <c r="E29" s="54"/>
      <c r="F29" s="11"/>
      <c r="G29" s="13"/>
      <c r="H29" s="39"/>
    </row>
    <row r="30" spans="1:9" s="9" customFormat="1" ht="8.25" customHeight="1" x14ac:dyDescent="0.25">
      <c r="C30" s="18"/>
      <c r="E30" s="54"/>
      <c r="F30" s="11"/>
      <c r="G30" s="13"/>
      <c r="H30" s="39"/>
      <c r="I30" s="12"/>
    </row>
    <row r="31" spans="1:9" s="9" customFormat="1" ht="15" customHeight="1" x14ac:dyDescent="0.25">
      <c r="A31" s="9">
        <v>27</v>
      </c>
      <c r="B31" s="9" t="s">
        <v>47</v>
      </c>
      <c r="C31" s="18"/>
      <c r="E31" s="54">
        <v>8000</v>
      </c>
      <c r="F31" s="11" t="s">
        <v>27</v>
      </c>
      <c r="G31" s="13">
        <v>2</v>
      </c>
      <c r="H31" s="39">
        <f>+G31/20*485</f>
        <v>48.5</v>
      </c>
    </row>
    <row r="32" spans="1:9" s="9" customFormat="1" ht="15" customHeight="1" x14ac:dyDescent="0.25">
      <c r="B32" s="9" t="s">
        <v>50</v>
      </c>
      <c r="C32" s="18"/>
      <c r="E32" s="54"/>
      <c r="F32" s="11"/>
      <c r="G32" s="13"/>
      <c r="H32" s="39"/>
    </row>
    <row r="33" spans="1:11" s="9" customFormat="1" ht="15" customHeight="1" x14ac:dyDescent="0.25">
      <c r="B33" s="9" t="s">
        <v>134</v>
      </c>
      <c r="C33" s="18">
        <f>+C29</f>
        <v>2022</v>
      </c>
      <c r="E33" s="54"/>
      <c r="F33" s="11"/>
      <c r="G33" s="13"/>
      <c r="H33" s="39"/>
    </row>
    <row r="34" spans="1:11" s="9" customFormat="1" ht="15" customHeight="1" x14ac:dyDescent="0.25">
      <c r="C34" s="18"/>
      <c r="E34" s="54"/>
      <c r="F34" s="11"/>
      <c r="G34" s="13"/>
      <c r="H34" s="39"/>
    </row>
    <row r="35" spans="1:11" s="9" customFormat="1" ht="8.25" customHeight="1" x14ac:dyDescent="0.25">
      <c r="C35" s="18"/>
      <c r="E35" s="54"/>
      <c r="F35" s="11"/>
      <c r="G35" s="13"/>
      <c r="H35" s="39"/>
      <c r="I35" s="12"/>
    </row>
    <row r="36" spans="1:11" s="9" customFormat="1" ht="15" customHeight="1" x14ac:dyDescent="0.25">
      <c r="A36" s="9">
        <v>16</v>
      </c>
      <c r="B36" s="9" t="s">
        <v>28</v>
      </c>
      <c r="E36" s="54">
        <f>SUM(H20:H35)*0.2</f>
        <v>252.21</v>
      </c>
      <c r="F36" s="11"/>
      <c r="G36" s="13"/>
      <c r="H36" s="39">
        <v>20</v>
      </c>
    </row>
    <row r="37" spans="1:11" s="9" customFormat="1" ht="15" customHeight="1" x14ac:dyDescent="0.25">
      <c r="B37" s="9" t="s">
        <v>29</v>
      </c>
      <c r="E37" s="20"/>
      <c r="F37" s="21"/>
      <c r="G37" s="22"/>
      <c r="H37" s="41"/>
    </row>
    <row r="38" spans="1:11" s="9" customFormat="1" ht="15" customHeight="1" x14ac:dyDescent="0.25">
      <c r="A38" s="14"/>
      <c r="B38" s="14"/>
      <c r="E38" s="9" t="s">
        <v>30</v>
      </c>
      <c r="F38" s="14"/>
      <c r="G38" s="13"/>
      <c r="H38" s="39">
        <f>SUM(H20:H37)</f>
        <v>1281.05</v>
      </c>
      <c r="I38" s="39"/>
      <c r="J38" s="39"/>
      <c r="K38" s="39"/>
    </row>
    <row r="39" spans="1:11" s="9" customFormat="1" ht="15" customHeight="1" x14ac:dyDescent="0.25">
      <c r="E39" s="42" t="s">
        <v>31</v>
      </c>
      <c r="F39" s="14"/>
      <c r="G39" s="13"/>
      <c r="H39" s="39">
        <f>+H38*0.19</f>
        <v>243.39949999999999</v>
      </c>
    </row>
    <row r="40" spans="1:11" s="9" customFormat="1" thickBot="1" x14ac:dyDescent="0.3">
      <c r="E40" s="43" t="s">
        <v>32</v>
      </c>
      <c r="F40" s="44"/>
      <c r="G40" s="45"/>
      <c r="H40" s="46">
        <f>SUM(H38:H39)</f>
        <v>1524.4494999999999</v>
      </c>
    </row>
    <row r="41" spans="1:11" s="9" customFormat="1" thickTop="1" x14ac:dyDescent="0.25">
      <c r="E41" s="35"/>
      <c r="F41" s="11"/>
      <c r="G41" s="13"/>
      <c r="H41" s="39"/>
    </row>
    <row r="42" spans="1:11" s="9" customFormat="1" ht="15" customHeight="1" x14ac:dyDescent="0.25">
      <c r="A42" s="9" t="s">
        <v>131</v>
      </c>
      <c r="D42" s="35"/>
      <c r="E42" s="11"/>
      <c r="F42" s="12"/>
      <c r="G42" s="13"/>
    </row>
    <row r="43" spans="1:11" s="9" customFormat="1" ht="15" customHeight="1" x14ac:dyDescent="0.25">
      <c r="A43" s="9" t="s">
        <v>34</v>
      </c>
      <c r="B43" s="14"/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D46" s="10"/>
      <c r="E46" s="11"/>
      <c r="F46" s="12"/>
      <c r="G46" s="13"/>
    </row>
    <row r="47" spans="1:11" s="9" customFormat="1" ht="15" customHeight="1" x14ac:dyDescent="0.25">
      <c r="B47" s="19"/>
      <c r="D47" s="10"/>
      <c r="E47" s="11"/>
      <c r="F47" s="12"/>
      <c r="G47" s="13"/>
    </row>
    <row r="48" spans="1:11" s="9" customFormat="1" ht="8.25" customHeight="1" x14ac:dyDescent="0.25">
      <c r="D48" s="10"/>
      <c r="E48" s="11"/>
      <c r="F48" s="12"/>
      <c r="G48" s="13"/>
      <c r="I48" s="12"/>
    </row>
    <row r="49" spans="1:9" s="9" customFormat="1" ht="15" customHeight="1" x14ac:dyDescent="0.25">
      <c r="D49" s="10"/>
      <c r="E49" s="11"/>
      <c r="F49" s="12"/>
      <c r="G49" s="13"/>
      <c r="I49" s="12"/>
    </row>
    <row r="50" spans="1:9" s="9" customFormat="1" ht="15" customHeight="1" x14ac:dyDescent="0.25">
      <c r="A50" s="78" t="s">
        <v>154</v>
      </c>
      <c r="B50" s="96"/>
      <c r="C50" s="96"/>
      <c r="D50" s="96"/>
      <c r="E50" s="96"/>
      <c r="F50" s="96"/>
      <c r="G50" s="96"/>
      <c r="H50" s="96"/>
    </row>
    <row r="51" spans="1:9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9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9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9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9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4329.9489999999996</v>
      </c>
    </row>
    <row r="56" spans="1:9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9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9" x14ac:dyDescent="0.25">
      <c r="D58" s="7"/>
      <c r="E58" s="3"/>
      <c r="F58" s="4"/>
      <c r="H58" s="24"/>
    </row>
    <row r="59" spans="1:9" x14ac:dyDescent="0.25">
      <c r="D59" s="7"/>
      <c r="E59" s="3"/>
      <c r="F59" s="4"/>
      <c r="H59" s="24"/>
    </row>
    <row r="60" spans="1:9" x14ac:dyDescent="0.25">
      <c r="D60" s="7"/>
      <c r="E60" s="3"/>
      <c r="F60" s="4"/>
      <c r="H60" s="24"/>
    </row>
    <row r="61" spans="1:9" ht="11.25" customHeight="1" x14ac:dyDescent="0.25">
      <c r="D61" s="7"/>
      <c r="E61" s="3"/>
      <c r="F61" s="4"/>
      <c r="H61" s="24"/>
    </row>
    <row r="62" spans="1:9" x14ac:dyDescent="0.25">
      <c r="D62" s="7"/>
      <c r="E62" s="3"/>
      <c r="F62" s="4"/>
      <c r="H62" s="24"/>
    </row>
    <row r="63" spans="1:9" x14ac:dyDescent="0.25">
      <c r="D63" s="7"/>
      <c r="E63" s="3"/>
      <c r="F63" s="4"/>
      <c r="H63" s="24"/>
    </row>
    <row r="64" spans="1:9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4329.9489999999996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5:J2679"/>
  <sheetViews>
    <sheetView workbookViewId="0">
      <selection activeCell="F11" sqref="F11:H11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45540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160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45510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161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151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5:J2679"/>
  <sheetViews>
    <sheetView workbookViewId="0">
      <selection activeCell="H31" sqref="H31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45722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162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45600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163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151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5:J2679"/>
  <sheetViews>
    <sheetView workbookViewId="0">
      <selection activeCell="G10" sqref="G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45722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164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45692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165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151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5:J2679"/>
  <sheetViews>
    <sheetView topLeftCell="A4" workbookViewId="0">
      <selection activeCell="A48" sqref="A48:H48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45789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166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57</v>
      </c>
      <c r="F10" s="38"/>
      <c r="G10" s="99">
        <v>45415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43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60000</v>
      </c>
      <c r="F25" s="55" t="s">
        <v>61</v>
      </c>
      <c r="G25" s="11">
        <v>12</v>
      </c>
      <c r="H25" s="56">
        <f>+G25/20*149*3</f>
        <v>268.2</v>
      </c>
    </row>
    <row r="26" spans="1:8" s="9" customFormat="1" ht="15" customHeight="1" x14ac:dyDescent="0.25">
      <c r="B26" s="9" t="s">
        <v>167</v>
      </c>
      <c r="C26" s="18"/>
      <c r="E26" s="54"/>
      <c r="F26" s="55"/>
      <c r="G26" s="11"/>
      <c r="H26" s="56"/>
    </row>
    <row r="27" spans="1:8" s="9" customFormat="1" ht="15" customHeight="1" x14ac:dyDescent="0.25">
      <c r="C27" s="18"/>
      <c r="E27" s="54"/>
      <c r="F27" s="55"/>
      <c r="G27" s="11"/>
      <c r="H27" s="56"/>
    </row>
    <row r="28" spans="1:8" s="9" customFormat="1" ht="15" customHeight="1" x14ac:dyDescent="0.25">
      <c r="C28" s="18"/>
      <c r="E28" s="54"/>
      <c r="F28" s="55"/>
      <c r="G28" s="11"/>
      <c r="H28" s="56"/>
    </row>
    <row r="29" spans="1:8" s="9" customFormat="1" ht="15" customHeight="1" x14ac:dyDescent="0.25">
      <c r="C29" s="18"/>
      <c r="E29" s="54"/>
      <c r="F29" s="55"/>
      <c r="G29" s="11"/>
      <c r="H29" s="56"/>
    </row>
    <row r="30" spans="1:8" s="9" customFormat="1" ht="15" customHeight="1" x14ac:dyDescent="0.25">
      <c r="C30" s="18"/>
      <c r="E30" s="54"/>
      <c r="F30" s="55"/>
      <c r="G30" s="11"/>
      <c r="H30" s="56"/>
    </row>
    <row r="31" spans="1:8" s="9" customFormat="1" ht="15" customHeight="1" x14ac:dyDescent="0.25">
      <c r="C31" s="18"/>
      <c r="E31" s="54"/>
      <c r="F31" s="55"/>
      <c r="G31" s="11"/>
      <c r="H31" s="56"/>
    </row>
    <row r="32" spans="1:8" s="9" customFormat="1" ht="15" customHeight="1" x14ac:dyDescent="0.25">
      <c r="C32" s="18"/>
      <c r="E32" s="54"/>
      <c r="F32" s="55"/>
      <c r="G32" s="11"/>
      <c r="H32" s="56"/>
    </row>
    <row r="33" spans="1:10" s="9" customFormat="1" ht="15" customHeight="1" x14ac:dyDescent="0.25">
      <c r="A33" s="9">
        <v>16</v>
      </c>
      <c r="B33" s="9" t="s">
        <v>28</v>
      </c>
      <c r="E33" s="10"/>
      <c r="F33" s="11"/>
      <c r="G33" s="13"/>
      <c r="H33" s="39">
        <v>20</v>
      </c>
    </row>
    <row r="34" spans="1:10" s="9" customFormat="1" ht="15" customHeight="1" x14ac:dyDescent="0.25">
      <c r="B34" s="9" t="s">
        <v>114</v>
      </c>
      <c r="E34" s="20"/>
      <c r="F34" s="21"/>
      <c r="G34" s="22"/>
      <c r="H34" s="41"/>
    </row>
    <row r="35" spans="1:10" s="9" customFormat="1" ht="15" customHeight="1" x14ac:dyDescent="0.25">
      <c r="A35" s="14"/>
      <c r="B35" s="14"/>
      <c r="E35" s="9" t="s">
        <v>30</v>
      </c>
      <c r="F35" s="14"/>
      <c r="G35" s="13"/>
      <c r="H35" s="39">
        <f>SUM(H25:H34)</f>
        <v>288.2</v>
      </c>
      <c r="J35" s="39"/>
    </row>
    <row r="36" spans="1:10" s="9" customFormat="1" ht="15" customHeight="1" x14ac:dyDescent="0.25">
      <c r="E36" s="57" t="s">
        <v>31</v>
      </c>
      <c r="F36" s="58"/>
      <c r="G36" s="22"/>
      <c r="H36" s="41">
        <f>+H35*0.19</f>
        <v>54.757999999999996</v>
      </c>
    </row>
    <row r="37" spans="1:10" s="9" customFormat="1" thickBot="1" x14ac:dyDescent="0.3">
      <c r="E37" s="43" t="s">
        <v>32</v>
      </c>
      <c r="F37" s="44"/>
      <c r="G37" s="45"/>
      <c r="H37" s="46">
        <f>SUM(H35:H36)</f>
        <v>342.95799999999997</v>
      </c>
    </row>
    <row r="38" spans="1:10" s="9" customFormat="1" thickTop="1" x14ac:dyDescent="0.25">
      <c r="E38" s="35"/>
      <c r="F38" s="11"/>
      <c r="G38" s="13"/>
      <c r="H38" s="39"/>
    </row>
    <row r="39" spans="1:10" s="9" customFormat="1" ht="15.6" customHeight="1" x14ac:dyDescent="0.25">
      <c r="A39" s="9" t="s">
        <v>34</v>
      </c>
      <c r="D39" s="35"/>
      <c r="E39" s="11"/>
      <c r="F39" s="12"/>
      <c r="G39" s="13"/>
    </row>
    <row r="40" spans="1:10" s="9" customFormat="1" ht="15" customHeight="1" x14ac:dyDescent="0.25">
      <c r="D40" s="10"/>
      <c r="E40" s="11"/>
      <c r="F40" s="12"/>
      <c r="G40" s="13"/>
    </row>
    <row r="41" spans="1:10" s="9" customFormat="1" ht="15" customHeight="1" x14ac:dyDescent="0.25">
      <c r="D41" s="10"/>
      <c r="E41" s="11"/>
      <c r="F41" s="12"/>
      <c r="G41" s="13"/>
    </row>
    <row r="42" spans="1:10" s="9" customFormat="1" ht="15" customHeight="1" x14ac:dyDescent="0.25">
      <c r="D42" s="10"/>
      <c r="E42" s="11"/>
      <c r="F42" s="12"/>
      <c r="G42" s="13"/>
    </row>
    <row r="43" spans="1:10" s="9" customFormat="1" ht="15" customHeight="1" x14ac:dyDescent="0.25">
      <c r="B43" s="19"/>
      <c r="D43" s="10"/>
      <c r="E43" s="11"/>
      <c r="F43" s="12"/>
      <c r="G43" s="13"/>
    </row>
    <row r="44" spans="1:10" s="9" customFormat="1" ht="15" customHeight="1" x14ac:dyDescent="0.25">
      <c r="D44" s="10"/>
      <c r="E44" s="11"/>
      <c r="F44" s="12"/>
      <c r="G44" s="13"/>
    </row>
    <row r="45" spans="1:10" s="9" customFormat="1" ht="15" customHeight="1" x14ac:dyDescent="0.25">
      <c r="D45" s="10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8" spans="1:10" x14ac:dyDescent="0.25">
      <c r="A48" s="78" t="s">
        <v>154</v>
      </c>
      <c r="B48" s="79"/>
      <c r="C48" s="79"/>
      <c r="D48" s="80"/>
      <c r="E48" s="81"/>
      <c r="F48" s="82"/>
      <c r="G48" s="79"/>
      <c r="H48" s="79"/>
      <c r="I48" s="72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</sheetData>
  <mergeCells count="10">
    <mergeCell ref="A48:H48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5:I48"/>
  <sheetViews>
    <sheetView workbookViewId="0">
      <selection activeCell="F10" sqref="F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85546875" style="7" customWidth="1"/>
    <col min="4" max="4" width="5.140625" style="3" customWidth="1"/>
    <col min="5" max="5" width="13.28515625" style="4" customWidth="1"/>
    <col min="6" max="6" width="8" style="5" bestFit="1" customWidth="1"/>
    <col min="7" max="7" width="8.2851562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45807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</row>
    <row r="9" spans="1:8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1" t="s">
        <v>168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8" s="9" customFormat="1" ht="15" customHeight="1" x14ac:dyDescent="0.25">
      <c r="B11" s="14"/>
      <c r="D11" s="10"/>
      <c r="E11" s="48" t="s">
        <v>11</v>
      </c>
      <c r="F11" s="84" t="s">
        <v>12</v>
      </c>
      <c r="G11" s="85"/>
      <c r="H11" s="86"/>
    </row>
    <row r="12" spans="1:8" s="9" customFormat="1" ht="15" customHeight="1" x14ac:dyDescent="0.25">
      <c r="D12" s="10"/>
      <c r="E12" s="11"/>
      <c r="F12" s="12"/>
      <c r="G12" s="13"/>
    </row>
    <row r="13" spans="1:8" s="9" customFormat="1" ht="15" customHeight="1" x14ac:dyDescent="0.25">
      <c r="D13" s="10"/>
      <c r="E13" s="11"/>
      <c r="F13" s="12"/>
      <c r="G13" s="13"/>
    </row>
    <row r="14" spans="1:8" s="9" customFormat="1" ht="15" customHeight="1" x14ac:dyDescent="0.25">
      <c r="D14" s="10"/>
      <c r="E14" s="11"/>
      <c r="F14" s="12"/>
      <c r="G14" s="13"/>
    </row>
    <row r="15" spans="1:8" s="9" customFormat="1" ht="15" customHeight="1" x14ac:dyDescent="0.25">
      <c r="D15" s="10"/>
      <c r="E15" s="11"/>
      <c r="F15" s="12"/>
      <c r="G15" s="13"/>
    </row>
    <row r="16" spans="1:8" s="8" customFormat="1" ht="14.25" customHeight="1" x14ac:dyDescent="0.2">
      <c r="A16" s="89" t="s">
        <v>13</v>
      </c>
      <c r="B16" s="90"/>
      <c r="C16" s="90"/>
      <c r="D16" s="90"/>
      <c r="E16" s="90"/>
      <c r="F16" s="90"/>
      <c r="G16" s="90"/>
      <c r="H16" s="90"/>
    </row>
    <row r="17" spans="1:9" s="8" customFormat="1" ht="14.25" customHeight="1" x14ac:dyDescent="0.2">
      <c r="A17" s="36"/>
      <c r="B17" s="36"/>
      <c r="C17" s="36"/>
      <c r="D17" s="36"/>
      <c r="E17" s="36"/>
      <c r="F17" s="36"/>
      <c r="G17" s="36"/>
      <c r="H17" s="36"/>
    </row>
    <row r="18" spans="1:9" s="9" customFormat="1" ht="15" customHeight="1" x14ac:dyDescent="0.25">
      <c r="D18" s="10"/>
      <c r="E18" s="11"/>
      <c r="F18" s="12"/>
      <c r="G18" s="13"/>
    </row>
    <row r="19" spans="1:9" s="9" customFormat="1" ht="15" customHeight="1" x14ac:dyDescent="0.25">
      <c r="A19" s="9" t="s">
        <v>14</v>
      </c>
      <c r="B19" s="14"/>
      <c r="D19" s="10"/>
      <c r="E19" s="11"/>
      <c r="F19" s="12"/>
      <c r="G19" s="13"/>
    </row>
    <row r="20" spans="1:9" s="9" customFormat="1" ht="15" customHeight="1" x14ac:dyDescent="0.25">
      <c r="A20" s="9" t="s">
        <v>15</v>
      </c>
      <c r="B20" s="14"/>
      <c r="D20" s="10"/>
      <c r="E20" s="11"/>
      <c r="F20" s="12"/>
      <c r="G20" s="13"/>
    </row>
    <row r="21" spans="1:9" s="9" customFormat="1" ht="15" customHeight="1" x14ac:dyDescent="0.25">
      <c r="D21" s="10"/>
      <c r="E21" s="11"/>
      <c r="F21" s="12"/>
      <c r="G21" s="13"/>
    </row>
    <row r="22" spans="1:9" s="9" customFormat="1" ht="15" customHeight="1" x14ac:dyDescent="0.25">
      <c r="A22" s="15" t="s">
        <v>16</v>
      </c>
      <c r="B22" s="16"/>
      <c r="C22" s="15"/>
      <c r="D22" s="10"/>
      <c r="E22" s="11" t="s">
        <v>17</v>
      </c>
      <c r="F22" s="11" t="s">
        <v>18</v>
      </c>
      <c r="G22" s="17" t="s">
        <v>19</v>
      </c>
      <c r="H22" s="18" t="s">
        <v>20</v>
      </c>
    </row>
    <row r="23" spans="1:9" s="9" customFormat="1" ht="15" customHeight="1" x14ac:dyDescent="0.25">
      <c r="A23" s="19" t="s">
        <v>21</v>
      </c>
      <c r="B23" s="19"/>
      <c r="C23" s="19"/>
      <c r="D23" s="20"/>
      <c r="E23" s="21" t="s">
        <v>22</v>
      </c>
      <c r="F23" s="21"/>
      <c r="G23" s="37" t="s">
        <v>23</v>
      </c>
      <c r="H23" s="23"/>
    </row>
    <row r="24" spans="1:9" s="9" customFormat="1" ht="15" customHeight="1" x14ac:dyDescent="0.25">
      <c r="A24" s="9">
        <v>25</v>
      </c>
      <c r="B24" s="9" t="s">
        <v>169</v>
      </c>
      <c r="E24" s="39">
        <v>39848.19</v>
      </c>
      <c r="F24" s="11" t="s">
        <v>25</v>
      </c>
      <c r="G24" s="13">
        <v>28</v>
      </c>
      <c r="H24" s="39">
        <f>G24/10*248</f>
        <v>694.4</v>
      </c>
      <c r="I24" s="12"/>
    </row>
    <row r="25" spans="1:9" s="9" customFormat="1" ht="15" customHeight="1" x14ac:dyDescent="0.25">
      <c r="E25" s="39"/>
      <c r="F25" s="11"/>
      <c r="G25" s="13"/>
      <c r="H25" s="39"/>
      <c r="I25" s="12"/>
    </row>
    <row r="26" spans="1:9" s="9" customFormat="1" ht="15" customHeight="1" x14ac:dyDescent="0.25">
      <c r="A26" s="9">
        <v>25</v>
      </c>
      <c r="B26" s="9" t="s">
        <v>108</v>
      </c>
      <c r="E26" s="59">
        <v>95</v>
      </c>
      <c r="F26" s="11"/>
      <c r="G26" s="60">
        <v>4</v>
      </c>
      <c r="H26" s="39">
        <f>+G26*E26</f>
        <v>380</v>
      </c>
      <c r="I26" s="12"/>
    </row>
    <row r="27" spans="1:9" s="9" customFormat="1" ht="15" customHeight="1" x14ac:dyDescent="0.25">
      <c r="B27" s="9" t="s">
        <v>170</v>
      </c>
      <c r="E27" s="39"/>
      <c r="F27" s="11"/>
      <c r="G27" s="13"/>
      <c r="H27" s="39"/>
      <c r="I27" s="12"/>
    </row>
    <row r="28" spans="1:9" s="9" customFormat="1" ht="14.25" customHeight="1" x14ac:dyDescent="0.25">
      <c r="B28" s="9" t="s">
        <v>128</v>
      </c>
      <c r="E28" s="39"/>
      <c r="F28" s="11"/>
      <c r="G28" s="13"/>
      <c r="H28" s="39"/>
      <c r="I28" s="12"/>
    </row>
    <row r="29" spans="1:9" s="9" customFormat="1" ht="15" customHeight="1" x14ac:dyDescent="0.25">
      <c r="B29" s="9" t="s">
        <v>129</v>
      </c>
      <c r="E29" s="39"/>
      <c r="F29" s="11"/>
      <c r="G29" s="13"/>
      <c r="H29" s="39"/>
      <c r="I29" s="12"/>
    </row>
    <row r="30" spans="1:9" s="9" customFormat="1" ht="15" customHeight="1" x14ac:dyDescent="0.25">
      <c r="E30" s="39"/>
      <c r="F30" s="11"/>
      <c r="G30" s="13"/>
      <c r="H30" s="39"/>
      <c r="I30" s="12"/>
    </row>
    <row r="31" spans="1:9" s="9" customFormat="1" ht="15" customHeight="1" x14ac:dyDescent="0.25">
      <c r="A31" s="9">
        <v>24</v>
      </c>
      <c r="B31" s="40" t="s">
        <v>171</v>
      </c>
      <c r="E31" s="39">
        <v>8000</v>
      </c>
      <c r="F31" s="11" t="s">
        <v>27</v>
      </c>
      <c r="G31" s="13">
        <v>6</v>
      </c>
      <c r="H31" s="39">
        <f>G31/10*485</f>
        <v>291</v>
      </c>
    </row>
    <row r="32" spans="1:9" s="9" customFormat="1" ht="15" customHeight="1" x14ac:dyDescent="0.25">
      <c r="B32" s="40"/>
      <c r="E32" s="39"/>
      <c r="F32" s="11"/>
      <c r="G32" s="13"/>
      <c r="H32" s="39"/>
    </row>
    <row r="33" spans="1:9" s="9" customFormat="1" ht="15" customHeight="1" x14ac:dyDescent="0.25">
      <c r="A33" s="9">
        <v>16</v>
      </c>
      <c r="B33" s="9" t="s">
        <v>28</v>
      </c>
      <c r="E33" s="39">
        <f>SUM(H24:H31)*0.2</f>
        <v>273.08000000000004</v>
      </c>
      <c r="F33" s="11"/>
      <c r="G33" s="13"/>
      <c r="H33" s="39">
        <v>20</v>
      </c>
    </row>
    <row r="34" spans="1:9" s="9" customFormat="1" ht="15" customHeight="1" x14ac:dyDescent="0.25">
      <c r="B34" s="9" t="s">
        <v>29</v>
      </c>
      <c r="E34" s="20"/>
      <c r="F34" s="21"/>
      <c r="G34" s="22"/>
      <c r="H34" s="41"/>
    </row>
    <row r="35" spans="1:9" s="9" customFormat="1" ht="15" customHeight="1" x14ac:dyDescent="0.25">
      <c r="A35" s="14"/>
      <c r="B35" s="14"/>
      <c r="E35" s="9" t="s">
        <v>30</v>
      </c>
      <c r="F35" s="14"/>
      <c r="G35" s="13"/>
      <c r="H35" s="39">
        <f>SUM(H24:H34)</f>
        <v>1385.4</v>
      </c>
      <c r="I35" s="39"/>
    </row>
    <row r="36" spans="1:9" s="9" customFormat="1" ht="15" customHeight="1" x14ac:dyDescent="0.25">
      <c r="E36" s="42" t="s">
        <v>31</v>
      </c>
      <c r="F36" s="14"/>
      <c r="G36" s="13"/>
      <c r="H36" s="39">
        <f>+H35*0.19</f>
        <v>263.226</v>
      </c>
    </row>
    <row r="37" spans="1:9" s="9" customFormat="1" thickBot="1" x14ac:dyDescent="0.3">
      <c r="E37" s="43" t="s">
        <v>32</v>
      </c>
      <c r="F37" s="44"/>
      <c r="G37" s="45"/>
      <c r="H37" s="46">
        <f>SUM(H35:H36)</f>
        <v>1648.6260000000002</v>
      </c>
    </row>
    <row r="38" spans="1:9" s="9" customFormat="1" thickTop="1" x14ac:dyDescent="0.25">
      <c r="E38" s="35"/>
      <c r="F38" s="11"/>
      <c r="G38" s="13"/>
      <c r="H38" s="39"/>
    </row>
    <row r="39" spans="1:9" s="9" customFormat="1" ht="15.6" customHeight="1" x14ac:dyDescent="0.25">
      <c r="A39" s="9" t="s">
        <v>131</v>
      </c>
      <c r="D39" s="35"/>
      <c r="E39" s="11"/>
      <c r="F39" s="12"/>
      <c r="G39" s="13"/>
    </row>
    <row r="40" spans="1:9" s="9" customFormat="1" ht="15" customHeight="1" x14ac:dyDescent="0.25">
      <c r="A40" s="9" t="s">
        <v>34</v>
      </c>
      <c r="B40" s="14"/>
      <c r="D40" s="10"/>
      <c r="E40" s="11"/>
      <c r="F40" s="12"/>
      <c r="G40" s="13"/>
    </row>
    <row r="41" spans="1:9" s="9" customFormat="1" ht="15" customHeight="1" x14ac:dyDescent="0.25">
      <c r="D41" s="10"/>
      <c r="E41" s="11"/>
      <c r="F41" s="12"/>
      <c r="G41" s="13"/>
    </row>
    <row r="42" spans="1:9" s="9" customFormat="1" ht="15" customHeight="1" x14ac:dyDescent="0.25">
      <c r="D42" s="10"/>
      <c r="E42" s="11"/>
      <c r="F42" s="12"/>
      <c r="G42" s="13"/>
    </row>
    <row r="43" spans="1:9" s="9" customFormat="1" ht="15" customHeight="1" x14ac:dyDescent="0.25">
      <c r="D43" s="10"/>
      <c r="E43" s="11"/>
      <c r="F43" s="12"/>
      <c r="G43" s="13"/>
    </row>
    <row r="44" spans="1:9" s="9" customFormat="1" ht="15" customHeight="1" x14ac:dyDescent="0.25">
      <c r="B44" s="19"/>
      <c r="D44" s="10"/>
      <c r="E44" s="11"/>
      <c r="F44" s="12"/>
      <c r="G44" s="13"/>
    </row>
    <row r="45" spans="1:9" s="9" customFormat="1" ht="15" customHeight="1" x14ac:dyDescent="0.25">
      <c r="D45" s="10"/>
      <c r="E45" s="11"/>
      <c r="F45" s="12"/>
      <c r="G45" s="13"/>
    </row>
    <row r="46" spans="1:9" s="9" customFormat="1" ht="15" customHeight="1" x14ac:dyDescent="0.25">
      <c r="D46" s="10"/>
      <c r="E46" s="11"/>
      <c r="F46" s="12"/>
      <c r="G46" s="13"/>
    </row>
    <row r="47" spans="1:9" s="9" customFormat="1" ht="11.25" customHeight="1" x14ac:dyDescent="0.25">
      <c r="D47" s="10"/>
      <c r="E47" s="11"/>
      <c r="F47" s="12"/>
      <c r="G47" s="13"/>
    </row>
    <row r="48" spans="1:9" x14ac:dyDescent="0.25">
      <c r="A48" s="78" t="s">
        <v>154</v>
      </c>
      <c r="B48" s="79"/>
      <c r="C48" s="79"/>
      <c r="D48" s="80"/>
      <c r="E48" s="81"/>
      <c r="F48" s="82"/>
      <c r="G48" s="83"/>
      <c r="H48" s="79"/>
    </row>
  </sheetData>
  <mergeCells count="10">
    <mergeCell ref="F10:H10"/>
    <mergeCell ref="A48:H48"/>
    <mergeCell ref="F11:H11"/>
    <mergeCell ref="G7:H7"/>
    <mergeCell ref="E7:F7"/>
    <mergeCell ref="A16:H16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5:Q68"/>
  <sheetViews>
    <sheetView topLeftCell="A22" workbookViewId="0">
      <selection activeCell="F10" sqref="F10:H1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7.7109375" style="7" customWidth="1"/>
    <col min="4" max="4" width="5.140625" style="3" customWidth="1"/>
    <col min="5" max="5" width="13" style="4" customWidth="1"/>
    <col min="6" max="6" width="8" style="5" bestFit="1" customWidth="1"/>
    <col min="7" max="7" width="7.85546875" style="6" bestFit="1" customWidth="1"/>
    <col min="8" max="8" width="10.7109375" style="7" bestFit="1" customWidth="1"/>
    <col min="9" max="9" width="11.5703125" style="7" customWidth="1"/>
    <col min="10" max="16384" width="11.5703125" style="7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45807</v>
      </c>
      <c r="H7" s="77"/>
      <c r="L7" s="18"/>
      <c r="N7" s="10"/>
      <c r="O7" s="11"/>
      <c r="P7" s="13"/>
      <c r="Q7" s="39"/>
    </row>
    <row r="8" spans="1:17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91">
        <v>10117</v>
      </c>
      <c r="H8" s="92"/>
      <c r="N8" s="10"/>
      <c r="O8" s="11"/>
      <c r="P8" s="13"/>
      <c r="Q8" s="39"/>
    </row>
    <row r="9" spans="1:17" s="9" customFormat="1" ht="15" customHeight="1" x14ac:dyDescent="0.25">
      <c r="A9" s="9" t="s">
        <v>5</v>
      </c>
      <c r="B9" s="14"/>
      <c r="D9" s="10"/>
      <c r="E9" s="94" t="s">
        <v>6</v>
      </c>
      <c r="F9" s="85"/>
      <c r="G9" s="93" t="s">
        <v>172</v>
      </c>
      <c r="H9" s="86"/>
      <c r="N9" s="10"/>
      <c r="O9" s="11"/>
      <c r="P9" s="13"/>
      <c r="Q9" s="39"/>
    </row>
    <row r="10" spans="1:17" s="9" customFormat="1" ht="15" customHeight="1" x14ac:dyDescent="0.25">
      <c r="A10" s="9" t="s">
        <v>8</v>
      </c>
      <c r="B10" s="14"/>
      <c r="D10" s="10"/>
      <c r="E10" s="47" t="s">
        <v>9</v>
      </c>
      <c r="F10" s="75" t="s">
        <v>10</v>
      </c>
      <c r="G10" s="76"/>
      <c r="H10" s="77"/>
    </row>
    <row r="11" spans="1:17" s="9" customFormat="1" ht="15" customHeight="1" x14ac:dyDescent="0.25">
      <c r="D11" s="10"/>
      <c r="E11" s="48" t="s">
        <v>11</v>
      </c>
      <c r="F11" s="84" t="s">
        <v>12</v>
      </c>
      <c r="G11" s="85"/>
      <c r="H11" s="86"/>
    </row>
    <row r="12" spans="1:17" s="9" customFormat="1" ht="15" customHeight="1" x14ac:dyDescent="0.25">
      <c r="D12" s="10"/>
      <c r="E12" s="11"/>
      <c r="F12" s="12"/>
    </row>
    <row r="13" spans="1:17" s="8" customFormat="1" ht="14.25" customHeight="1" x14ac:dyDescent="0.2">
      <c r="A13" s="89" t="s">
        <v>13</v>
      </c>
      <c r="B13" s="90"/>
      <c r="C13" s="90"/>
      <c r="D13" s="90"/>
      <c r="E13" s="90"/>
      <c r="F13" s="90"/>
      <c r="G13" s="90"/>
      <c r="H13" s="90"/>
    </row>
    <row r="14" spans="1:17" s="9" customFormat="1" ht="15" customHeight="1" x14ac:dyDescent="0.25">
      <c r="D14" s="10"/>
      <c r="E14" s="11"/>
      <c r="F14" s="10"/>
      <c r="G14" s="12"/>
    </row>
    <row r="15" spans="1:17" s="9" customFormat="1" ht="15" customHeight="1" x14ac:dyDescent="0.25">
      <c r="A15" s="9" t="s">
        <v>39</v>
      </c>
      <c r="B15" s="14"/>
      <c r="D15" s="10"/>
      <c r="E15" s="11"/>
      <c r="F15" s="10"/>
      <c r="G15" s="12"/>
    </row>
    <row r="16" spans="1:17" s="9" customFormat="1" ht="15" customHeight="1" x14ac:dyDescent="0.25">
      <c r="A16" s="9" t="s">
        <v>40</v>
      </c>
      <c r="B16" s="14"/>
      <c r="D16" s="10"/>
      <c r="E16" s="11"/>
      <c r="F16" s="10"/>
      <c r="G16" s="12"/>
    </row>
    <row r="17" spans="1:9" s="9" customFormat="1" ht="8.25" customHeight="1" x14ac:dyDescent="0.25">
      <c r="D17" s="10"/>
      <c r="E17" s="11"/>
      <c r="F17" s="10"/>
      <c r="G17" s="12"/>
    </row>
    <row r="18" spans="1:9" s="9" customFormat="1" ht="15" customHeight="1" x14ac:dyDescent="0.25">
      <c r="A18" s="15" t="s">
        <v>16</v>
      </c>
      <c r="B18" s="16"/>
      <c r="C18" s="15"/>
      <c r="E18" s="10" t="s">
        <v>17</v>
      </c>
      <c r="F18" s="11" t="s">
        <v>18</v>
      </c>
      <c r="G18" s="10" t="s">
        <v>41</v>
      </c>
      <c r="H18" s="11" t="s">
        <v>42</v>
      </c>
    </row>
    <row r="19" spans="1:9" s="9" customFormat="1" ht="15" customHeight="1" x14ac:dyDescent="0.25">
      <c r="A19" s="19" t="s">
        <v>21</v>
      </c>
      <c r="B19" s="19"/>
      <c r="C19" s="19"/>
      <c r="D19" s="19"/>
      <c r="E19" s="20" t="s">
        <v>43</v>
      </c>
      <c r="F19" s="21"/>
      <c r="G19" s="20" t="s">
        <v>44</v>
      </c>
      <c r="H19" s="38"/>
    </row>
    <row r="20" spans="1:9" s="9" customFormat="1" ht="15" customHeight="1" x14ac:dyDescent="0.25">
      <c r="A20" s="9">
        <v>24</v>
      </c>
      <c r="B20" s="9" t="s">
        <v>45</v>
      </c>
      <c r="E20" s="54">
        <v>136485</v>
      </c>
      <c r="F20" s="11" t="s">
        <v>27</v>
      </c>
      <c r="G20" s="13">
        <v>5</v>
      </c>
      <c r="H20" s="39">
        <f>+G20/10*1773</f>
        <v>886.5</v>
      </c>
    </row>
    <row r="21" spans="1:9" s="9" customFormat="1" ht="15" customHeight="1" x14ac:dyDescent="0.25">
      <c r="B21" s="9" t="s">
        <v>46</v>
      </c>
      <c r="C21" s="18">
        <v>2023</v>
      </c>
      <c r="E21" s="54"/>
      <c r="F21" s="11"/>
      <c r="G21" s="13"/>
      <c r="H21" s="39"/>
    </row>
    <row r="22" spans="1:9" s="9" customFormat="1" ht="8.25" customHeight="1" x14ac:dyDescent="0.25">
      <c r="C22" s="18"/>
      <c r="E22" s="54"/>
      <c r="F22" s="11"/>
      <c r="G22" s="13"/>
      <c r="H22" s="39"/>
      <c r="I22" s="12"/>
    </row>
    <row r="23" spans="1:9" s="9" customFormat="1" ht="15" customHeight="1" x14ac:dyDescent="0.25">
      <c r="A23" s="9">
        <v>27</v>
      </c>
      <c r="B23" s="9" t="s">
        <v>47</v>
      </c>
      <c r="C23" s="18"/>
      <c r="E23" s="54">
        <v>8000</v>
      </c>
      <c r="F23" s="11" t="s">
        <v>27</v>
      </c>
      <c r="G23" s="13">
        <v>9</v>
      </c>
      <c r="H23" s="39">
        <f>+G23/20*485</f>
        <v>218.25</v>
      </c>
    </row>
    <row r="24" spans="1:9" s="9" customFormat="1" ht="15" customHeight="1" x14ac:dyDescent="0.25">
      <c r="B24" s="9" t="s">
        <v>48</v>
      </c>
      <c r="C24" s="18"/>
      <c r="E24" s="54"/>
      <c r="F24" s="11"/>
      <c r="G24" s="13"/>
      <c r="H24" s="39"/>
    </row>
    <row r="25" spans="1:9" s="9" customFormat="1" ht="15" customHeight="1" x14ac:dyDescent="0.25">
      <c r="B25" s="9" t="s">
        <v>49</v>
      </c>
      <c r="C25" s="18">
        <f>+C21</f>
        <v>2023</v>
      </c>
      <c r="E25" s="54"/>
      <c r="F25" s="11"/>
      <c r="G25" s="13"/>
      <c r="H25" s="39"/>
    </row>
    <row r="26" spans="1:9" s="9" customFormat="1" ht="8.25" customHeight="1" x14ac:dyDescent="0.25">
      <c r="C26" s="18"/>
      <c r="E26" s="54"/>
      <c r="F26" s="11"/>
      <c r="G26" s="13"/>
      <c r="H26" s="39"/>
      <c r="I26" s="12"/>
    </row>
    <row r="27" spans="1:9" s="9" customFormat="1" ht="15" customHeight="1" x14ac:dyDescent="0.25">
      <c r="A27" s="9">
        <v>27</v>
      </c>
      <c r="B27" s="9" t="s">
        <v>47</v>
      </c>
      <c r="C27" s="18"/>
      <c r="E27" s="54">
        <v>8000</v>
      </c>
      <c r="F27" s="11" t="s">
        <v>27</v>
      </c>
      <c r="G27" s="13">
        <v>2</v>
      </c>
      <c r="H27" s="39">
        <f>+G27/20*485</f>
        <v>48.5</v>
      </c>
    </row>
    <row r="28" spans="1:9" s="9" customFormat="1" ht="15" customHeight="1" x14ac:dyDescent="0.25">
      <c r="B28" s="9" t="s">
        <v>50</v>
      </c>
      <c r="C28" s="18"/>
      <c r="E28" s="54"/>
      <c r="F28" s="11"/>
      <c r="G28" s="13"/>
      <c r="H28" s="39"/>
    </row>
    <row r="29" spans="1:9" s="9" customFormat="1" ht="15" customHeight="1" x14ac:dyDescent="0.25">
      <c r="B29" s="9" t="s">
        <v>133</v>
      </c>
      <c r="C29" s="18">
        <f>+C25</f>
        <v>2023</v>
      </c>
      <c r="E29" s="54"/>
      <c r="F29" s="11"/>
      <c r="G29" s="13"/>
      <c r="H29" s="39"/>
    </row>
    <row r="30" spans="1:9" s="9" customFormat="1" ht="8.25" customHeight="1" x14ac:dyDescent="0.25">
      <c r="C30" s="18"/>
      <c r="E30" s="54"/>
      <c r="F30" s="11"/>
      <c r="G30" s="13"/>
      <c r="H30" s="39"/>
      <c r="I30" s="12"/>
    </row>
    <row r="31" spans="1:9" s="9" customFormat="1" ht="15" customHeight="1" x14ac:dyDescent="0.25">
      <c r="A31" s="9">
        <v>27</v>
      </c>
      <c r="B31" s="9" t="s">
        <v>47</v>
      </c>
      <c r="C31" s="18"/>
      <c r="E31" s="54">
        <v>8000</v>
      </c>
      <c r="F31" s="11" t="s">
        <v>27</v>
      </c>
      <c r="G31" s="13">
        <v>2</v>
      </c>
      <c r="H31" s="39">
        <f>+G31/20*485</f>
        <v>48.5</v>
      </c>
    </row>
    <row r="32" spans="1:9" s="9" customFormat="1" ht="15" customHeight="1" x14ac:dyDescent="0.25">
      <c r="B32" s="9" t="s">
        <v>50</v>
      </c>
      <c r="C32" s="18"/>
      <c r="E32" s="54"/>
      <c r="F32" s="11"/>
      <c r="G32" s="13"/>
      <c r="H32" s="39"/>
    </row>
    <row r="33" spans="1:11" s="9" customFormat="1" ht="15" customHeight="1" x14ac:dyDescent="0.25">
      <c r="B33" s="9" t="s">
        <v>134</v>
      </c>
      <c r="C33" s="18">
        <f>+C29</f>
        <v>2023</v>
      </c>
      <c r="E33" s="54"/>
      <c r="F33" s="11"/>
      <c r="G33" s="13"/>
      <c r="H33" s="39"/>
    </row>
    <row r="34" spans="1:11" s="9" customFormat="1" ht="15" customHeight="1" x14ac:dyDescent="0.25">
      <c r="C34" s="18"/>
      <c r="E34" s="54"/>
      <c r="F34" s="11"/>
      <c r="G34" s="13"/>
      <c r="H34" s="39"/>
    </row>
    <row r="35" spans="1:11" s="9" customFormat="1" ht="8.25" customHeight="1" x14ac:dyDescent="0.25">
      <c r="C35" s="18"/>
      <c r="E35" s="54"/>
      <c r="F35" s="11"/>
      <c r="G35" s="13"/>
      <c r="H35" s="39"/>
      <c r="I35" s="12"/>
    </row>
    <row r="36" spans="1:11" s="9" customFormat="1" ht="15" customHeight="1" x14ac:dyDescent="0.25">
      <c r="A36" s="9">
        <v>16</v>
      </c>
      <c r="B36" s="9" t="s">
        <v>28</v>
      </c>
      <c r="E36" s="54">
        <f>SUM(H20:H35)*0.2</f>
        <v>240.35000000000002</v>
      </c>
      <c r="F36" s="11"/>
      <c r="G36" s="13"/>
      <c r="H36" s="39">
        <v>20</v>
      </c>
    </row>
    <row r="37" spans="1:11" s="9" customFormat="1" ht="15" customHeight="1" x14ac:dyDescent="0.25">
      <c r="B37" s="9" t="s">
        <v>29</v>
      </c>
      <c r="E37" s="20"/>
      <c r="F37" s="21"/>
      <c r="G37" s="22"/>
      <c r="H37" s="41"/>
    </row>
    <row r="38" spans="1:11" s="9" customFormat="1" ht="15" customHeight="1" x14ac:dyDescent="0.25">
      <c r="A38" s="14"/>
      <c r="B38" s="14"/>
      <c r="E38" s="9" t="s">
        <v>30</v>
      </c>
      <c r="F38" s="14"/>
      <c r="G38" s="13"/>
      <c r="H38" s="39">
        <f>SUM(H20:H37)</f>
        <v>1221.75</v>
      </c>
      <c r="I38" s="39"/>
      <c r="J38" s="39"/>
      <c r="K38" s="39"/>
    </row>
    <row r="39" spans="1:11" s="9" customFormat="1" ht="15" customHeight="1" x14ac:dyDescent="0.25">
      <c r="E39" s="42" t="s">
        <v>31</v>
      </c>
      <c r="F39" s="14"/>
      <c r="G39" s="13"/>
      <c r="H39" s="39">
        <f>+H38*0.19</f>
        <v>232.13249999999999</v>
      </c>
    </row>
    <row r="40" spans="1:11" s="9" customFormat="1" thickBot="1" x14ac:dyDescent="0.3">
      <c r="E40" s="43" t="s">
        <v>32</v>
      </c>
      <c r="F40" s="44"/>
      <c r="G40" s="45"/>
      <c r="H40" s="46">
        <f>SUM(H38:H39)</f>
        <v>1453.8824999999999</v>
      </c>
    </row>
    <row r="41" spans="1:11" s="9" customFormat="1" thickTop="1" x14ac:dyDescent="0.25">
      <c r="E41" s="35"/>
      <c r="F41" s="11"/>
      <c r="G41" s="13"/>
      <c r="H41" s="39"/>
    </row>
    <row r="42" spans="1:11" s="9" customFormat="1" ht="15" customHeight="1" x14ac:dyDescent="0.25">
      <c r="A42" s="9" t="s">
        <v>131</v>
      </c>
      <c r="D42" s="35"/>
      <c r="E42" s="11"/>
      <c r="F42" s="12"/>
      <c r="G42" s="13"/>
    </row>
    <row r="43" spans="1:11" s="9" customFormat="1" ht="15" customHeight="1" x14ac:dyDescent="0.25">
      <c r="A43" s="9" t="s">
        <v>34</v>
      </c>
      <c r="B43" s="14"/>
      <c r="D43" s="10"/>
      <c r="E43" s="11"/>
      <c r="F43" s="12"/>
      <c r="G43" s="13"/>
    </row>
    <row r="44" spans="1:11" s="9" customFormat="1" ht="15" customHeight="1" x14ac:dyDescent="0.25">
      <c r="D44" s="10"/>
      <c r="E44" s="11"/>
      <c r="F44" s="12"/>
      <c r="G44" s="13"/>
    </row>
    <row r="45" spans="1:11" s="9" customFormat="1" ht="15" customHeight="1" x14ac:dyDescent="0.25">
      <c r="D45" s="10"/>
      <c r="E45" s="11"/>
      <c r="F45" s="12"/>
      <c r="G45" s="13"/>
    </row>
    <row r="46" spans="1:11" s="9" customFormat="1" ht="15" customHeight="1" x14ac:dyDescent="0.25">
      <c r="D46" s="10"/>
      <c r="E46" s="11"/>
      <c r="F46" s="12"/>
      <c r="G46" s="13"/>
    </row>
    <row r="47" spans="1:11" s="9" customFormat="1" ht="15" customHeight="1" x14ac:dyDescent="0.25">
      <c r="B47" s="19"/>
      <c r="D47" s="10"/>
      <c r="E47" s="11"/>
      <c r="F47" s="12"/>
      <c r="G47" s="13"/>
    </row>
    <row r="48" spans="1:11" s="9" customFormat="1" ht="8.25" customHeight="1" x14ac:dyDescent="0.25">
      <c r="D48" s="10"/>
      <c r="E48" s="11"/>
      <c r="F48" s="12"/>
      <c r="G48" s="13"/>
      <c r="I48" s="12"/>
    </row>
    <row r="49" spans="1:9" s="9" customFormat="1" ht="15" customHeight="1" x14ac:dyDescent="0.25">
      <c r="D49" s="10"/>
      <c r="E49" s="11"/>
      <c r="F49" s="12"/>
      <c r="G49" s="13"/>
      <c r="I49" s="12"/>
    </row>
    <row r="50" spans="1:9" s="9" customFormat="1" ht="15" customHeight="1" x14ac:dyDescent="0.25">
      <c r="A50" s="78" t="s">
        <v>173</v>
      </c>
      <c r="B50" s="96"/>
      <c r="C50" s="96"/>
      <c r="D50" s="96"/>
      <c r="E50" s="96"/>
      <c r="F50" s="96"/>
      <c r="G50" s="96"/>
      <c r="H50" s="96"/>
    </row>
    <row r="51" spans="1:9" s="9" customFormat="1" x14ac:dyDescent="0.25">
      <c r="A51" s="7"/>
      <c r="B51" s="7"/>
      <c r="C51" s="7"/>
      <c r="D51" s="3"/>
      <c r="E51" s="4"/>
      <c r="F51" s="5"/>
      <c r="G51" s="6"/>
      <c r="H51" s="7"/>
    </row>
    <row r="52" spans="1:9" s="9" customFormat="1" x14ac:dyDescent="0.25">
      <c r="A52" s="7"/>
      <c r="B52" s="7"/>
      <c r="C52" s="7"/>
      <c r="D52" s="3"/>
      <c r="E52" s="4"/>
      <c r="F52" s="5"/>
      <c r="G52" s="6"/>
      <c r="H52" s="7"/>
    </row>
    <row r="53" spans="1:9" s="9" customFormat="1" x14ac:dyDescent="0.25">
      <c r="A53" s="7"/>
      <c r="B53" s="7"/>
      <c r="C53" s="7"/>
      <c r="D53" s="3"/>
      <c r="E53" s="4"/>
      <c r="F53" s="5"/>
      <c r="G53" s="6"/>
      <c r="H53" s="7"/>
    </row>
    <row r="54" spans="1:9" s="9" customFormat="1" x14ac:dyDescent="0.25">
      <c r="A54" s="25"/>
      <c r="B54" s="25"/>
      <c r="C54" s="25"/>
      <c r="D54" s="26"/>
      <c r="E54" s="26"/>
      <c r="F54" s="27"/>
      <c r="G54" s="28"/>
      <c r="H54" s="29"/>
    </row>
    <row r="55" spans="1:9" s="9" customFormat="1" x14ac:dyDescent="0.25">
      <c r="A55" s="30" t="s">
        <v>53</v>
      </c>
      <c r="B55" s="30"/>
      <c r="C55" s="30"/>
      <c r="D55" s="30"/>
      <c r="E55" s="31"/>
      <c r="F55" s="32"/>
      <c r="G55" s="33"/>
      <c r="H55" s="34">
        <f>SUM(H20:H54)</f>
        <v>4129.5150000000003</v>
      </c>
    </row>
    <row r="56" spans="1:9" s="9" customFormat="1" x14ac:dyDescent="0.25">
      <c r="A56" s="7"/>
      <c r="B56" s="7"/>
      <c r="C56" s="7"/>
      <c r="D56" s="7"/>
      <c r="E56" s="3"/>
      <c r="F56" s="4"/>
      <c r="G56" s="6"/>
      <c r="H56" s="24"/>
    </row>
    <row r="57" spans="1:9" s="9" customFormat="1" x14ac:dyDescent="0.25">
      <c r="A57" s="7"/>
      <c r="B57" s="7"/>
      <c r="C57" s="7"/>
      <c r="D57" s="7"/>
      <c r="E57" s="3"/>
      <c r="F57" s="4"/>
      <c r="G57" s="6"/>
      <c r="H57" s="24"/>
    </row>
    <row r="58" spans="1:9" x14ac:dyDescent="0.25">
      <c r="D58" s="7"/>
      <c r="E58" s="3"/>
      <c r="F58" s="4"/>
      <c r="H58" s="24"/>
    </row>
    <row r="59" spans="1:9" x14ac:dyDescent="0.25">
      <c r="D59" s="7"/>
      <c r="E59" s="3"/>
      <c r="F59" s="4"/>
      <c r="H59" s="24"/>
    </row>
    <row r="60" spans="1:9" x14ac:dyDescent="0.25">
      <c r="D60" s="7"/>
      <c r="E60" s="3"/>
      <c r="F60" s="4"/>
      <c r="H60" s="24"/>
    </row>
    <row r="61" spans="1:9" ht="11.25" customHeight="1" x14ac:dyDescent="0.25">
      <c r="D61" s="7"/>
      <c r="E61" s="3"/>
      <c r="F61" s="4"/>
      <c r="H61" s="24"/>
    </row>
    <row r="62" spans="1:9" x14ac:dyDescent="0.25">
      <c r="D62" s="7"/>
      <c r="E62" s="3"/>
      <c r="F62" s="4"/>
      <c r="H62" s="24"/>
    </row>
    <row r="63" spans="1:9" x14ac:dyDescent="0.25">
      <c r="D63" s="7"/>
      <c r="E63" s="3"/>
      <c r="F63" s="4"/>
      <c r="H63" s="24"/>
    </row>
    <row r="64" spans="1:9" x14ac:dyDescent="0.25">
      <c r="D64" s="7"/>
      <c r="E64" s="3"/>
      <c r="F64" s="4"/>
      <c r="H64" s="24"/>
    </row>
    <row r="65" spans="1:8" x14ac:dyDescent="0.25">
      <c r="A65" s="7" t="s">
        <v>54</v>
      </c>
      <c r="D65" s="7"/>
      <c r="E65" s="3"/>
      <c r="F65" s="4"/>
      <c r="H65" s="24"/>
    </row>
    <row r="66" spans="1:8" x14ac:dyDescent="0.25">
      <c r="A66" s="25"/>
      <c r="B66" s="25"/>
      <c r="C66" s="25"/>
      <c r="D66" s="26"/>
      <c r="E66" s="26"/>
      <c r="F66" s="27"/>
      <c r="G66" s="28"/>
      <c r="H66" s="29"/>
    </row>
    <row r="67" spans="1:8" x14ac:dyDescent="0.25">
      <c r="A67" s="30" t="s">
        <v>55</v>
      </c>
      <c r="B67" s="30"/>
      <c r="C67" s="30"/>
      <c r="D67" s="31"/>
      <c r="E67" s="31"/>
      <c r="F67" s="32"/>
      <c r="G67" s="33"/>
      <c r="H67" s="34">
        <f>+H55</f>
        <v>4129.5150000000003</v>
      </c>
    </row>
    <row r="68" spans="1:8" x14ac:dyDescent="0.25">
      <c r="D68" s="7"/>
      <c r="E68" s="3"/>
      <c r="F68" s="4"/>
      <c r="H68" s="24"/>
    </row>
  </sheetData>
  <mergeCells count="10">
    <mergeCell ref="A50:H50"/>
    <mergeCell ref="F10:H10"/>
    <mergeCell ref="F11:H11"/>
    <mergeCell ref="G7:H7"/>
    <mergeCell ref="E7:F7"/>
    <mergeCell ref="A13:H13"/>
    <mergeCell ref="G8:H8"/>
    <mergeCell ref="G9:H9"/>
    <mergeCell ref="E9:F9"/>
    <mergeCell ref="E8:F8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5:J2681"/>
  <sheetViews>
    <sheetView topLeftCell="A23" workbookViewId="0">
      <selection activeCell="A50" sqref="A50:H50"/>
    </sheetView>
  </sheetViews>
  <sheetFormatPr baseColWidth="10" defaultColWidth="11.5703125" defaultRowHeight="15.75" x14ac:dyDescent="0.25"/>
  <cols>
    <col min="1" max="1" width="3.5703125" style="7" customWidth="1"/>
    <col min="2" max="2" width="30.5703125" style="7" customWidth="1"/>
    <col min="3" max="3" width="5.5703125" style="7" bestFit="1" customWidth="1"/>
    <col min="4" max="4" width="5.42578125" style="3" customWidth="1"/>
    <col min="5" max="5" width="12.85546875" style="4" customWidth="1"/>
    <col min="6" max="6" width="7.42578125" style="5" customWidth="1"/>
    <col min="7" max="7" width="7.85546875" style="7" customWidth="1"/>
    <col min="8" max="8" width="12" style="7" customWidth="1"/>
    <col min="9" max="9" width="1.5703125" style="7" customWidth="1"/>
    <col min="10" max="13" width="11.5703125" style="7" customWidth="1"/>
    <col min="14" max="14" width="11.42578125" style="7" customWidth="1"/>
    <col min="15" max="15" width="11.5703125" style="7" customWidth="1"/>
    <col min="16" max="16384" width="11.5703125" style="7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9" customFormat="1" ht="15" customHeight="1" x14ac:dyDescent="0.25">
      <c r="A7" s="9" t="s">
        <v>1</v>
      </c>
      <c r="B7" s="14"/>
      <c r="D7" s="10"/>
      <c r="E7" s="88" t="s">
        <v>2</v>
      </c>
      <c r="F7" s="76"/>
      <c r="G7" s="87">
        <v>46091</v>
      </c>
      <c r="H7" s="77"/>
    </row>
    <row r="8" spans="1:8" s="9" customFormat="1" ht="15" customHeight="1" x14ac:dyDescent="0.25">
      <c r="A8" s="9" t="s">
        <v>3</v>
      </c>
      <c r="B8" s="14"/>
      <c r="D8" s="10"/>
      <c r="E8" s="95" t="s">
        <v>4</v>
      </c>
      <c r="F8" s="96"/>
      <c r="G8" s="13"/>
      <c r="H8" s="49">
        <v>10117</v>
      </c>
    </row>
    <row r="9" spans="1:8" s="9" customFormat="1" ht="15" customHeight="1" x14ac:dyDescent="0.25">
      <c r="A9" s="9" t="s">
        <v>5</v>
      </c>
      <c r="B9" s="14"/>
      <c r="D9" s="10"/>
      <c r="E9" s="95" t="s">
        <v>6</v>
      </c>
      <c r="F9" s="96"/>
      <c r="G9" s="91" t="s">
        <v>174</v>
      </c>
      <c r="H9" s="92"/>
    </row>
    <row r="10" spans="1:8" s="9" customFormat="1" ht="15" customHeight="1" x14ac:dyDescent="0.25">
      <c r="A10" s="9" t="s">
        <v>8</v>
      </c>
      <c r="B10" s="14"/>
      <c r="D10" s="10"/>
      <c r="E10" s="48" t="s">
        <v>175</v>
      </c>
      <c r="F10" s="38"/>
      <c r="G10" s="99" t="s">
        <v>176</v>
      </c>
      <c r="H10" s="86"/>
    </row>
    <row r="11" spans="1:8" s="9" customFormat="1" ht="15" customHeight="1" x14ac:dyDescent="0.25">
      <c r="B11" s="14"/>
      <c r="D11" s="10"/>
      <c r="E11" s="47" t="s">
        <v>9</v>
      </c>
      <c r="F11" s="75" t="s">
        <v>10</v>
      </c>
      <c r="G11" s="76"/>
      <c r="H11" s="77"/>
    </row>
    <row r="12" spans="1:8" s="9" customFormat="1" ht="15" customHeight="1" x14ac:dyDescent="0.25">
      <c r="D12" s="10"/>
      <c r="E12" s="48" t="s">
        <v>11</v>
      </c>
      <c r="F12" s="84" t="s">
        <v>12</v>
      </c>
      <c r="G12" s="85"/>
      <c r="H12" s="86"/>
    </row>
    <row r="13" spans="1:8" s="9" customFormat="1" ht="15" customHeight="1" x14ac:dyDescent="0.25">
      <c r="D13" s="10"/>
      <c r="E13" s="11"/>
      <c r="F13" s="12"/>
    </row>
    <row r="14" spans="1:8" s="9" customFormat="1" ht="15" customHeight="1" x14ac:dyDescent="0.25">
      <c r="D14" s="10"/>
      <c r="E14" s="11"/>
      <c r="F14" s="12"/>
    </row>
    <row r="15" spans="1:8" s="9" customFormat="1" ht="15" customHeight="1" x14ac:dyDescent="0.25">
      <c r="D15" s="10"/>
      <c r="E15" s="11"/>
      <c r="F15" s="12"/>
    </row>
    <row r="16" spans="1:8" s="9" customFormat="1" ht="14.25" customHeight="1" x14ac:dyDescent="0.25">
      <c r="D16" s="10"/>
      <c r="E16" s="11"/>
      <c r="F16" s="12"/>
    </row>
    <row r="17" spans="1:8" s="8" customFormat="1" ht="14.25" customHeight="1" x14ac:dyDescent="0.2">
      <c r="A17" s="89" t="s">
        <v>13</v>
      </c>
      <c r="B17" s="90"/>
      <c r="C17" s="90"/>
      <c r="D17" s="90"/>
      <c r="E17" s="90"/>
      <c r="F17" s="90"/>
      <c r="G17" s="90"/>
      <c r="H17" s="90"/>
    </row>
    <row r="18" spans="1:8" s="8" customFormat="1" ht="15" customHeight="1" x14ac:dyDescent="0.25">
      <c r="A18" s="50"/>
      <c r="B18" s="16"/>
      <c r="C18" s="50"/>
      <c r="D18" s="51"/>
      <c r="E18" s="52"/>
      <c r="F18" s="53"/>
      <c r="G18" s="52"/>
    </row>
    <row r="19" spans="1:8" s="9" customFormat="1" ht="15" customHeight="1" x14ac:dyDescent="0.25">
      <c r="D19" s="10"/>
      <c r="E19" s="11"/>
      <c r="F19" s="10"/>
      <c r="G19" s="12"/>
    </row>
    <row r="20" spans="1:8" s="9" customFormat="1" ht="15" customHeight="1" x14ac:dyDescent="0.25">
      <c r="A20" s="9" t="s">
        <v>39</v>
      </c>
      <c r="B20" s="14"/>
      <c r="D20" s="10"/>
      <c r="E20" s="11"/>
      <c r="F20" s="10"/>
      <c r="G20" s="12"/>
    </row>
    <row r="21" spans="1:8" s="9" customFormat="1" ht="15" customHeight="1" x14ac:dyDescent="0.25">
      <c r="A21" s="9" t="s">
        <v>40</v>
      </c>
      <c r="B21" s="14"/>
      <c r="D21" s="10"/>
      <c r="E21" s="11"/>
      <c r="F21" s="10"/>
      <c r="G21" s="12"/>
    </row>
    <row r="22" spans="1:8" s="9" customFormat="1" ht="15" customHeight="1" x14ac:dyDescent="0.25">
      <c r="D22" s="10"/>
      <c r="E22" s="11"/>
      <c r="F22" s="10"/>
      <c r="G22" s="12"/>
    </row>
    <row r="23" spans="1:8" s="9" customFormat="1" ht="15" customHeight="1" x14ac:dyDescent="0.25">
      <c r="A23" s="15" t="s">
        <v>16</v>
      </c>
      <c r="B23" s="16"/>
      <c r="C23" s="15"/>
      <c r="E23" s="10" t="s">
        <v>17</v>
      </c>
      <c r="F23" s="11" t="s">
        <v>18</v>
      </c>
      <c r="G23" s="10" t="s">
        <v>41</v>
      </c>
      <c r="H23" s="11" t="s">
        <v>42</v>
      </c>
    </row>
    <row r="24" spans="1:8" s="9" customFormat="1" ht="15" customHeight="1" x14ac:dyDescent="0.25">
      <c r="A24" s="19"/>
      <c r="B24" s="19"/>
      <c r="C24" s="19"/>
      <c r="D24" s="19"/>
      <c r="E24" s="20" t="s">
        <v>177</v>
      </c>
      <c r="F24" s="21"/>
      <c r="G24" s="20" t="s">
        <v>44</v>
      </c>
      <c r="H24" s="38"/>
    </row>
    <row r="25" spans="1:8" s="9" customFormat="1" ht="15" customHeight="1" x14ac:dyDescent="0.25">
      <c r="A25" s="9">
        <v>33</v>
      </c>
      <c r="B25" s="9" t="s">
        <v>60</v>
      </c>
      <c r="C25" s="18"/>
      <c r="E25" s="54">
        <v>45000</v>
      </c>
      <c r="F25" s="55" t="s">
        <v>61</v>
      </c>
      <c r="G25" s="11">
        <v>12</v>
      </c>
      <c r="H25" s="56">
        <f>+G25/20*129*3</f>
        <v>232.2</v>
      </c>
    </row>
    <row r="26" spans="1:8" s="9" customFormat="1" ht="15" customHeight="1" x14ac:dyDescent="0.25">
      <c r="B26" s="9" t="s">
        <v>178</v>
      </c>
      <c r="C26" s="18"/>
      <c r="E26" s="54"/>
      <c r="F26" s="55"/>
      <c r="G26" s="11"/>
      <c r="H26" s="56"/>
    </row>
    <row r="27" spans="1:8" ht="6" customHeight="1" x14ac:dyDescent="0.25"/>
    <row r="28" spans="1:8" s="9" customFormat="1" ht="15" customHeight="1" x14ac:dyDescent="0.25">
      <c r="A28" s="9">
        <v>33</v>
      </c>
      <c r="B28" s="9" t="s">
        <v>60</v>
      </c>
      <c r="C28" s="18"/>
      <c r="E28" s="54">
        <f>+E25</f>
        <v>45000</v>
      </c>
      <c r="F28" s="55" t="s">
        <v>61</v>
      </c>
      <c r="G28" s="11">
        <v>13</v>
      </c>
      <c r="H28" s="56">
        <f>+G28/20*129*3</f>
        <v>251.55</v>
      </c>
    </row>
    <row r="29" spans="1:8" s="9" customFormat="1" ht="15" customHeight="1" x14ac:dyDescent="0.25">
      <c r="B29" s="9" t="s">
        <v>179</v>
      </c>
      <c r="C29" s="18"/>
      <c r="E29" s="54"/>
      <c r="F29" s="55"/>
      <c r="G29" s="11"/>
      <c r="H29" s="56"/>
    </row>
    <row r="30" spans="1:8" s="9" customFormat="1" ht="6" customHeight="1" x14ac:dyDescent="0.25"/>
    <row r="31" spans="1:8" s="9" customFormat="1" ht="15" customHeight="1" x14ac:dyDescent="0.25">
      <c r="A31" s="9">
        <v>33</v>
      </c>
      <c r="B31" s="9" t="s">
        <v>60</v>
      </c>
      <c r="C31" s="18"/>
      <c r="E31" s="54">
        <f>+E28</f>
        <v>45000</v>
      </c>
      <c r="F31" s="55" t="s">
        <v>61</v>
      </c>
      <c r="G31" s="11">
        <v>14</v>
      </c>
      <c r="H31" s="56">
        <f>+G31/20*129*3</f>
        <v>270.89999999999998</v>
      </c>
    </row>
    <row r="32" spans="1:8" s="9" customFormat="1" ht="15" customHeight="1" x14ac:dyDescent="0.25">
      <c r="B32" s="9" t="s">
        <v>180</v>
      </c>
      <c r="C32" s="18"/>
      <c r="E32" s="54"/>
      <c r="F32" s="55"/>
      <c r="G32" s="11"/>
      <c r="H32" s="56"/>
    </row>
    <row r="33" spans="1:10" s="9" customFormat="1" ht="6" customHeight="1" x14ac:dyDescent="0.25">
      <c r="C33" s="18"/>
      <c r="E33" s="54"/>
      <c r="F33" s="55"/>
      <c r="G33" s="11"/>
      <c r="H33" s="56"/>
    </row>
    <row r="34" spans="1:10" s="9" customFormat="1" ht="15" customHeight="1" x14ac:dyDescent="0.25">
      <c r="A34" s="9">
        <v>33</v>
      </c>
      <c r="B34" s="9" t="s">
        <v>181</v>
      </c>
      <c r="C34" s="18"/>
      <c r="E34" s="54"/>
      <c r="F34" s="55"/>
      <c r="G34" s="11"/>
      <c r="H34" s="56"/>
    </row>
    <row r="35" spans="1:10" s="9" customFormat="1" ht="15" customHeight="1" x14ac:dyDescent="0.25">
      <c r="B35" s="9" t="s">
        <v>182</v>
      </c>
      <c r="C35" s="18"/>
      <c r="E35" s="73">
        <v>120</v>
      </c>
      <c r="F35" s="55" t="s">
        <v>183</v>
      </c>
      <c r="G35" s="11">
        <v>4.5</v>
      </c>
      <c r="H35" s="56">
        <f>+E35*G35</f>
        <v>540</v>
      </c>
    </row>
    <row r="36" spans="1:10" s="9" customFormat="1" ht="15" customHeight="1" x14ac:dyDescent="0.25">
      <c r="B36" s="9" t="s">
        <v>184</v>
      </c>
      <c r="C36" s="18"/>
      <c r="E36" s="73"/>
      <c r="F36" s="55"/>
      <c r="G36" s="11"/>
      <c r="H36" s="56"/>
    </row>
    <row r="37" spans="1:10" s="9" customFormat="1" ht="15" customHeight="1" x14ac:dyDescent="0.25">
      <c r="B37" s="9" t="s">
        <v>185</v>
      </c>
      <c r="C37" s="18"/>
      <c r="E37" s="54"/>
      <c r="F37" s="55"/>
      <c r="G37" s="11"/>
      <c r="H37" s="56"/>
    </row>
    <row r="38" spans="1:10" s="9" customFormat="1" ht="6" customHeight="1" x14ac:dyDescent="0.25">
      <c r="C38" s="18"/>
      <c r="E38" s="54"/>
      <c r="F38" s="55"/>
      <c r="G38" s="11"/>
      <c r="H38" s="56"/>
    </row>
    <row r="39" spans="1:10" s="9" customFormat="1" ht="15" customHeight="1" x14ac:dyDescent="0.25">
      <c r="A39" s="9">
        <v>16</v>
      </c>
      <c r="B39" s="9" t="s">
        <v>28</v>
      </c>
      <c r="E39" s="10"/>
      <c r="F39" s="11"/>
      <c r="G39" s="13"/>
      <c r="H39" s="39">
        <v>60</v>
      </c>
    </row>
    <row r="40" spans="1:10" s="9" customFormat="1" ht="15" customHeight="1" x14ac:dyDescent="0.25">
      <c r="B40" s="9" t="s">
        <v>114</v>
      </c>
      <c r="E40" s="20"/>
      <c r="F40" s="21"/>
      <c r="G40" s="22"/>
      <c r="H40" s="41"/>
    </row>
    <row r="41" spans="1:10" s="9" customFormat="1" ht="15" customHeight="1" x14ac:dyDescent="0.25">
      <c r="A41" s="14"/>
      <c r="B41" s="14"/>
      <c r="E41" s="9" t="s">
        <v>30</v>
      </c>
      <c r="F41" s="14"/>
      <c r="G41" s="13"/>
      <c r="H41" s="39">
        <f>SUM(H25:H40)</f>
        <v>1354.65</v>
      </c>
      <c r="J41" s="39"/>
    </row>
    <row r="42" spans="1:10" s="9" customFormat="1" ht="15" customHeight="1" x14ac:dyDescent="0.25">
      <c r="E42" s="57" t="s">
        <v>31</v>
      </c>
      <c r="F42" s="58"/>
      <c r="G42" s="22"/>
      <c r="H42" s="41">
        <f>+H41*0.19</f>
        <v>257.38350000000003</v>
      </c>
    </row>
    <row r="43" spans="1:10" s="9" customFormat="1" thickBot="1" x14ac:dyDescent="0.3">
      <c r="E43" s="43" t="s">
        <v>32</v>
      </c>
      <c r="F43" s="44"/>
      <c r="G43" s="45"/>
      <c r="H43" s="46">
        <f>SUM(H41:H42)</f>
        <v>1612.0335</v>
      </c>
    </row>
    <row r="44" spans="1:10" s="9" customFormat="1" thickTop="1" x14ac:dyDescent="0.25">
      <c r="E44" s="35"/>
      <c r="F44" s="11"/>
      <c r="G44" s="13"/>
      <c r="H44" s="39"/>
    </row>
    <row r="45" spans="1:10" s="9" customFormat="1" ht="15.6" customHeight="1" x14ac:dyDescent="0.25">
      <c r="A45" s="9" t="s">
        <v>34</v>
      </c>
      <c r="D45" s="35"/>
      <c r="E45" s="11"/>
      <c r="F45" s="12"/>
      <c r="G45" s="13"/>
    </row>
    <row r="46" spans="1:10" s="9" customFormat="1" ht="15" customHeight="1" x14ac:dyDescent="0.25">
      <c r="D46" s="10"/>
      <c r="E46" s="11"/>
      <c r="F46" s="12"/>
      <c r="G46" s="13"/>
    </row>
    <row r="47" spans="1:10" s="9" customFormat="1" ht="15" customHeight="1" x14ac:dyDescent="0.25">
      <c r="D47" s="10"/>
      <c r="E47" s="11"/>
      <c r="F47" s="12"/>
      <c r="G47" s="13"/>
    </row>
    <row r="48" spans="1:10" s="9" customFormat="1" ht="15" customHeight="1" x14ac:dyDescent="0.25">
      <c r="B48" s="19"/>
      <c r="D48" s="10"/>
      <c r="E48" s="11"/>
      <c r="F48" s="12"/>
      <c r="G48" s="13"/>
    </row>
    <row r="49" spans="1:9" s="9" customFormat="1" ht="15" customHeight="1" x14ac:dyDescent="0.25">
      <c r="D49" s="10"/>
      <c r="E49" s="11"/>
      <c r="F49" s="12"/>
      <c r="G49" s="13"/>
    </row>
    <row r="50" spans="1:9" x14ac:dyDescent="0.25">
      <c r="A50" s="78" t="s">
        <v>154</v>
      </c>
      <c r="B50" s="79"/>
      <c r="C50" s="79"/>
      <c r="D50" s="80"/>
      <c r="E50" s="81"/>
      <c r="F50" s="82"/>
      <c r="G50" s="79"/>
      <c r="H50" s="79"/>
      <c r="I50" s="72"/>
    </row>
    <row r="51" spans="1:9" x14ac:dyDescent="0.25">
      <c r="G51" s="6"/>
    </row>
    <row r="52" spans="1:9" x14ac:dyDescent="0.25">
      <c r="G52" s="6"/>
    </row>
    <row r="53" spans="1:9" x14ac:dyDescent="0.25">
      <c r="G53" s="6"/>
    </row>
    <row r="54" spans="1:9" x14ac:dyDescent="0.25">
      <c r="G54" s="6"/>
    </row>
    <row r="55" spans="1:9" x14ac:dyDescent="0.25">
      <c r="G55" s="6"/>
    </row>
    <row r="56" spans="1:9" x14ac:dyDescent="0.25">
      <c r="G56" s="6"/>
    </row>
    <row r="57" spans="1:9" x14ac:dyDescent="0.25">
      <c r="G57" s="6"/>
    </row>
    <row r="58" spans="1:9" x14ac:dyDescent="0.25">
      <c r="G58" s="6"/>
    </row>
    <row r="59" spans="1:9" x14ac:dyDescent="0.25">
      <c r="G59" s="6"/>
    </row>
    <row r="60" spans="1:9" x14ac:dyDescent="0.25">
      <c r="G60" s="6"/>
    </row>
    <row r="61" spans="1:9" x14ac:dyDescent="0.25">
      <c r="G61" s="6"/>
    </row>
    <row r="62" spans="1:9" x14ac:dyDescent="0.25">
      <c r="G62" s="6"/>
    </row>
    <row r="63" spans="1:9" x14ac:dyDescent="0.25">
      <c r="G63" s="6"/>
    </row>
    <row r="64" spans="1:9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  <row r="861" spans="7:7" x14ac:dyDescent="0.25">
      <c r="G861" s="6"/>
    </row>
    <row r="862" spans="7:7" x14ac:dyDescent="0.25">
      <c r="G862" s="6"/>
    </row>
    <row r="863" spans="7:7" x14ac:dyDescent="0.25">
      <c r="G863" s="6"/>
    </row>
    <row r="864" spans="7:7" x14ac:dyDescent="0.25">
      <c r="G864" s="6"/>
    </row>
    <row r="865" spans="7:7" x14ac:dyDescent="0.25">
      <c r="G865" s="6"/>
    </row>
    <row r="866" spans="7:7" x14ac:dyDescent="0.25">
      <c r="G866" s="6"/>
    </row>
    <row r="867" spans="7:7" x14ac:dyDescent="0.25">
      <c r="G867" s="6"/>
    </row>
    <row r="868" spans="7:7" x14ac:dyDescent="0.25">
      <c r="G868" s="6"/>
    </row>
    <row r="869" spans="7:7" x14ac:dyDescent="0.25">
      <c r="G869" s="6"/>
    </row>
    <row r="870" spans="7:7" x14ac:dyDescent="0.25">
      <c r="G870" s="6"/>
    </row>
    <row r="871" spans="7:7" x14ac:dyDescent="0.25">
      <c r="G871" s="6"/>
    </row>
    <row r="872" spans="7:7" x14ac:dyDescent="0.25">
      <c r="G872" s="6"/>
    </row>
    <row r="873" spans="7:7" x14ac:dyDescent="0.25">
      <c r="G873" s="6"/>
    </row>
    <row r="874" spans="7:7" x14ac:dyDescent="0.25">
      <c r="G874" s="6"/>
    </row>
    <row r="875" spans="7:7" x14ac:dyDescent="0.25">
      <c r="G875" s="6"/>
    </row>
    <row r="876" spans="7:7" x14ac:dyDescent="0.25">
      <c r="G876" s="6"/>
    </row>
    <row r="877" spans="7:7" x14ac:dyDescent="0.25">
      <c r="G877" s="6"/>
    </row>
    <row r="878" spans="7:7" x14ac:dyDescent="0.25">
      <c r="G878" s="6"/>
    </row>
    <row r="879" spans="7:7" x14ac:dyDescent="0.25">
      <c r="G879" s="6"/>
    </row>
    <row r="880" spans="7:7" x14ac:dyDescent="0.25">
      <c r="G880" s="6"/>
    </row>
    <row r="881" spans="7:7" x14ac:dyDescent="0.25">
      <c r="G881" s="6"/>
    </row>
    <row r="882" spans="7:7" x14ac:dyDescent="0.25">
      <c r="G882" s="6"/>
    </row>
    <row r="883" spans="7:7" x14ac:dyDescent="0.25">
      <c r="G883" s="6"/>
    </row>
    <row r="884" spans="7:7" x14ac:dyDescent="0.25">
      <c r="G884" s="6"/>
    </row>
    <row r="885" spans="7:7" x14ac:dyDescent="0.25">
      <c r="G885" s="6"/>
    </row>
    <row r="886" spans="7:7" x14ac:dyDescent="0.25">
      <c r="G886" s="6"/>
    </row>
    <row r="887" spans="7:7" x14ac:dyDescent="0.25">
      <c r="G887" s="6"/>
    </row>
    <row r="888" spans="7:7" x14ac:dyDescent="0.25">
      <c r="G888" s="6"/>
    </row>
    <row r="889" spans="7:7" x14ac:dyDescent="0.25">
      <c r="G889" s="6"/>
    </row>
    <row r="890" spans="7:7" x14ac:dyDescent="0.25">
      <c r="G890" s="6"/>
    </row>
    <row r="891" spans="7:7" x14ac:dyDescent="0.25">
      <c r="G891" s="6"/>
    </row>
    <row r="892" spans="7:7" x14ac:dyDescent="0.25">
      <c r="G892" s="6"/>
    </row>
    <row r="893" spans="7:7" x14ac:dyDescent="0.25">
      <c r="G893" s="6"/>
    </row>
    <row r="894" spans="7:7" x14ac:dyDescent="0.25">
      <c r="G894" s="6"/>
    </row>
    <row r="895" spans="7:7" x14ac:dyDescent="0.25">
      <c r="G895" s="6"/>
    </row>
    <row r="896" spans="7:7" x14ac:dyDescent="0.25">
      <c r="G896" s="6"/>
    </row>
    <row r="897" spans="7:7" x14ac:dyDescent="0.25">
      <c r="G897" s="6"/>
    </row>
    <row r="898" spans="7:7" x14ac:dyDescent="0.25">
      <c r="G898" s="6"/>
    </row>
    <row r="899" spans="7:7" x14ac:dyDescent="0.25">
      <c r="G899" s="6"/>
    </row>
    <row r="900" spans="7:7" x14ac:dyDescent="0.25">
      <c r="G900" s="6"/>
    </row>
    <row r="901" spans="7:7" x14ac:dyDescent="0.25">
      <c r="G901" s="6"/>
    </row>
    <row r="902" spans="7:7" x14ac:dyDescent="0.25">
      <c r="G902" s="6"/>
    </row>
    <row r="903" spans="7:7" x14ac:dyDescent="0.25">
      <c r="G903" s="6"/>
    </row>
    <row r="904" spans="7:7" x14ac:dyDescent="0.25">
      <c r="G904" s="6"/>
    </row>
    <row r="905" spans="7:7" x14ac:dyDescent="0.25">
      <c r="G905" s="6"/>
    </row>
    <row r="906" spans="7:7" x14ac:dyDescent="0.25">
      <c r="G906" s="6"/>
    </row>
    <row r="907" spans="7:7" x14ac:dyDescent="0.25">
      <c r="G907" s="6"/>
    </row>
    <row r="908" spans="7:7" x14ac:dyDescent="0.25">
      <c r="G908" s="6"/>
    </row>
    <row r="909" spans="7:7" x14ac:dyDescent="0.25">
      <c r="G909" s="6"/>
    </row>
    <row r="910" spans="7:7" x14ac:dyDescent="0.25">
      <c r="G910" s="6"/>
    </row>
    <row r="911" spans="7:7" x14ac:dyDescent="0.25">
      <c r="G911" s="6"/>
    </row>
    <row r="912" spans="7:7" x14ac:dyDescent="0.25">
      <c r="G912" s="6"/>
    </row>
    <row r="913" spans="7:7" x14ac:dyDescent="0.25">
      <c r="G913" s="6"/>
    </row>
    <row r="914" spans="7:7" x14ac:dyDescent="0.25">
      <c r="G914" s="6"/>
    </row>
    <row r="915" spans="7:7" x14ac:dyDescent="0.25">
      <c r="G915" s="6"/>
    </row>
    <row r="916" spans="7:7" x14ac:dyDescent="0.25">
      <c r="G916" s="6"/>
    </row>
    <row r="917" spans="7:7" x14ac:dyDescent="0.25">
      <c r="G917" s="6"/>
    </row>
    <row r="918" spans="7:7" x14ac:dyDescent="0.25">
      <c r="G918" s="6"/>
    </row>
    <row r="919" spans="7:7" x14ac:dyDescent="0.25">
      <c r="G919" s="6"/>
    </row>
    <row r="920" spans="7:7" x14ac:dyDescent="0.25">
      <c r="G920" s="6"/>
    </row>
    <row r="921" spans="7:7" x14ac:dyDescent="0.25">
      <c r="G921" s="6"/>
    </row>
    <row r="922" spans="7:7" x14ac:dyDescent="0.25">
      <c r="G922" s="6"/>
    </row>
    <row r="923" spans="7:7" x14ac:dyDescent="0.25">
      <c r="G923" s="6"/>
    </row>
    <row r="924" spans="7:7" x14ac:dyDescent="0.25">
      <c r="G924" s="6"/>
    </row>
    <row r="925" spans="7:7" x14ac:dyDescent="0.25">
      <c r="G925" s="6"/>
    </row>
    <row r="926" spans="7:7" x14ac:dyDescent="0.25">
      <c r="G926" s="6"/>
    </row>
    <row r="927" spans="7:7" x14ac:dyDescent="0.25">
      <c r="G927" s="6"/>
    </row>
    <row r="928" spans="7:7" x14ac:dyDescent="0.25">
      <c r="G928" s="6"/>
    </row>
    <row r="929" spans="7:7" x14ac:dyDescent="0.25">
      <c r="G929" s="6"/>
    </row>
    <row r="930" spans="7:7" x14ac:dyDescent="0.25">
      <c r="G930" s="6"/>
    </row>
    <row r="931" spans="7:7" x14ac:dyDescent="0.25">
      <c r="G931" s="6"/>
    </row>
    <row r="932" spans="7:7" x14ac:dyDescent="0.25">
      <c r="G932" s="6"/>
    </row>
    <row r="933" spans="7:7" x14ac:dyDescent="0.25">
      <c r="G933" s="6"/>
    </row>
    <row r="934" spans="7:7" x14ac:dyDescent="0.25">
      <c r="G934" s="6"/>
    </row>
    <row r="935" spans="7:7" x14ac:dyDescent="0.25">
      <c r="G935" s="6"/>
    </row>
    <row r="936" spans="7:7" x14ac:dyDescent="0.25">
      <c r="G936" s="6"/>
    </row>
    <row r="937" spans="7:7" x14ac:dyDescent="0.25">
      <c r="G937" s="6"/>
    </row>
    <row r="938" spans="7:7" x14ac:dyDescent="0.25">
      <c r="G938" s="6"/>
    </row>
    <row r="939" spans="7:7" x14ac:dyDescent="0.25">
      <c r="G939" s="6"/>
    </row>
    <row r="940" spans="7:7" x14ac:dyDescent="0.25">
      <c r="G940" s="6"/>
    </row>
    <row r="941" spans="7:7" x14ac:dyDescent="0.25">
      <c r="G941" s="6"/>
    </row>
    <row r="942" spans="7:7" x14ac:dyDescent="0.25">
      <c r="G942" s="6"/>
    </row>
    <row r="943" spans="7:7" x14ac:dyDescent="0.25">
      <c r="G943" s="6"/>
    </row>
    <row r="944" spans="7:7" x14ac:dyDescent="0.25">
      <c r="G944" s="6"/>
    </row>
    <row r="945" spans="7:7" x14ac:dyDescent="0.25">
      <c r="G945" s="6"/>
    </row>
    <row r="946" spans="7:7" x14ac:dyDescent="0.25">
      <c r="G946" s="6"/>
    </row>
    <row r="947" spans="7:7" x14ac:dyDescent="0.25">
      <c r="G947" s="6"/>
    </row>
    <row r="948" spans="7:7" x14ac:dyDescent="0.25">
      <c r="G948" s="6"/>
    </row>
    <row r="949" spans="7:7" x14ac:dyDescent="0.25">
      <c r="G949" s="6"/>
    </row>
    <row r="950" spans="7:7" x14ac:dyDescent="0.25">
      <c r="G950" s="6"/>
    </row>
    <row r="951" spans="7:7" x14ac:dyDescent="0.25">
      <c r="G951" s="6"/>
    </row>
    <row r="952" spans="7:7" x14ac:dyDescent="0.25">
      <c r="G952" s="6"/>
    </row>
    <row r="953" spans="7:7" x14ac:dyDescent="0.25">
      <c r="G953" s="6"/>
    </row>
    <row r="954" spans="7:7" x14ac:dyDescent="0.25">
      <c r="G954" s="6"/>
    </row>
    <row r="955" spans="7:7" x14ac:dyDescent="0.25">
      <c r="G955" s="6"/>
    </row>
    <row r="956" spans="7:7" x14ac:dyDescent="0.25">
      <c r="G956" s="6"/>
    </row>
    <row r="957" spans="7:7" x14ac:dyDescent="0.25">
      <c r="G957" s="6"/>
    </row>
    <row r="958" spans="7:7" x14ac:dyDescent="0.25">
      <c r="G958" s="6"/>
    </row>
    <row r="959" spans="7:7" x14ac:dyDescent="0.25">
      <c r="G959" s="6"/>
    </row>
    <row r="960" spans="7:7" x14ac:dyDescent="0.25">
      <c r="G960" s="6"/>
    </row>
    <row r="961" spans="7:7" x14ac:dyDescent="0.25">
      <c r="G961" s="6"/>
    </row>
    <row r="962" spans="7:7" x14ac:dyDescent="0.25">
      <c r="G962" s="6"/>
    </row>
    <row r="963" spans="7:7" x14ac:dyDescent="0.25">
      <c r="G963" s="6"/>
    </row>
    <row r="964" spans="7:7" x14ac:dyDescent="0.25">
      <c r="G964" s="6"/>
    </row>
    <row r="965" spans="7:7" x14ac:dyDescent="0.25">
      <c r="G965" s="6"/>
    </row>
    <row r="966" spans="7:7" x14ac:dyDescent="0.25">
      <c r="G966" s="6"/>
    </row>
    <row r="967" spans="7:7" x14ac:dyDescent="0.25">
      <c r="G967" s="6"/>
    </row>
    <row r="968" spans="7:7" x14ac:dyDescent="0.25">
      <c r="G968" s="6"/>
    </row>
    <row r="969" spans="7:7" x14ac:dyDescent="0.25">
      <c r="G969" s="6"/>
    </row>
    <row r="970" spans="7:7" x14ac:dyDescent="0.25">
      <c r="G970" s="6"/>
    </row>
    <row r="971" spans="7:7" x14ac:dyDescent="0.25">
      <c r="G971" s="6"/>
    </row>
    <row r="972" spans="7:7" x14ac:dyDescent="0.25">
      <c r="G972" s="6"/>
    </row>
    <row r="973" spans="7:7" x14ac:dyDescent="0.25">
      <c r="G973" s="6"/>
    </row>
    <row r="974" spans="7:7" x14ac:dyDescent="0.25">
      <c r="G974" s="6"/>
    </row>
    <row r="975" spans="7:7" x14ac:dyDescent="0.25">
      <c r="G975" s="6"/>
    </row>
    <row r="976" spans="7:7" x14ac:dyDescent="0.25">
      <c r="G976" s="6"/>
    </row>
    <row r="977" spans="7:7" x14ac:dyDescent="0.25">
      <c r="G977" s="6"/>
    </row>
    <row r="978" spans="7:7" x14ac:dyDescent="0.25">
      <c r="G978" s="6"/>
    </row>
    <row r="979" spans="7:7" x14ac:dyDescent="0.25">
      <c r="G979" s="6"/>
    </row>
    <row r="980" spans="7:7" x14ac:dyDescent="0.25">
      <c r="G980" s="6"/>
    </row>
    <row r="981" spans="7:7" x14ac:dyDescent="0.25">
      <c r="G981" s="6"/>
    </row>
    <row r="982" spans="7:7" x14ac:dyDescent="0.25">
      <c r="G982" s="6"/>
    </row>
    <row r="983" spans="7:7" x14ac:dyDescent="0.25">
      <c r="G983" s="6"/>
    </row>
    <row r="984" spans="7:7" x14ac:dyDescent="0.25">
      <c r="G984" s="6"/>
    </row>
    <row r="985" spans="7:7" x14ac:dyDescent="0.25">
      <c r="G985" s="6"/>
    </row>
    <row r="986" spans="7:7" x14ac:dyDescent="0.25">
      <c r="G986" s="6"/>
    </row>
    <row r="987" spans="7:7" x14ac:dyDescent="0.25">
      <c r="G987" s="6"/>
    </row>
    <row r="988" spans="7:7" x14ac:dyDescent="0.25">
      <c r="G988" s="6"/>
    </row>
    <row r="989" spans="7:7" x14ac:dyDescent="0.25">
      <c r="G989" s="6"/>
    </row>
    <row r="990" spans="7:7" x14ac:dyDescent="0.25">
      <c r="G990" s="6"/>
    </row>
    <row r="991" spans="7:7" x14ac:dyDescent="0.25">
      <c r="G991" s="6"/>
    </row>
    <row r="992" spans="7:7" x14ac:dyDescent="0.25">
      <c r="G992" s="6"/>
    </row>
    <row r="993" spans="7:7" x14ac:dyDescent="0.25">
      <c r="G993" s="6"/>
    </row>
    <row r="994" spans="7:7" x14ac:dyDescent="0.25">
      <c r="G994" s="6"/>
    </row>
    <row r="995" spans="7:7" x14ac:dyDescent="0.25">
      <c r="G995" s="6"/>
    </row>
    <row r="996" spans="7:7" x14ac:dyDescent="0.25">
      <c r="G996" s="6"/>
    </row>
    <row r="997" spans="7:7" x14ac:dyDescent="0.25">
      <c r="G997" s="6"/>
    </row>
    <row r="998" spans="7:7" x14ac:dyDescent="0.25">
      <c r="G998" s="6"/>
    </row>
    <row r="999" spans="7:7" x14ac:dyDescent="0.25">
      <c r="G999" s="6"/>
    </row>
    <row r="1000" spans="7:7" x14ac:dyDescent="0.25">
      <c r="G1000" s="6"/>
    </row>
    <row r="1001" spans="7:7" x14ac:dyDescent="0.25">
      <c r="G1001" s="6"/>
    </row>
    <row r="1002" spans="7:7" x14ac:dyDescent="0.25">
      <c r="G1002" s="6"/>
    </row>
    <row r="1003" spans="7:7" x14ac:dyDescent="0.25">
      <c r="G1003" s="6"/>
    </row>
    <row r="1004" spans="7:7" x14ac:dyDescent="0.25">
      <c r="G1004" s="6"/>
    </row>
    <row r="1005" spans="7:7" x14ac:dyDescent="0.25">
      <c r="G1005" s="6"/>
    </row>
    <row r="1006" spans="7:7" x14ac:dyDescent="0.25">
      <c r="G1006" s="6"/>
    </row>
    <row r="1007" spans="7:7" x14ac:dyDescent="0.25">
      <c r="G1007" s="6"/>
    </row>
    <row r="1008" spans="7:7" x14ac:dyDescent="0.25">
      <c r="G1008" s="6"/>
    </row>
    <row r="1009" spans="7:7" x14ac:dyDescent="0.25">
      <c r="G1009" s="6"/>
    </row>
    <row r="1010" spans="7:7" x14ac:dyDescent="0.25">
      <c r="G1010" s="6"/>
    </row>
    <row r="1011" spans="7:7" x14ac:dyDescent="0.25">
      <c r="G1011" s="6"/>
    </row>
    <row r="1012" spans="7:7" x14ac:dyDescent="0.25">
      <c r="G1012" s="6"/>
    </row>
    <row r="1013" spans="7:7" x14ac:dyDescent="0.25">
      <c r="G1013" s="6"/>
    </row>
    <row r="1014" spans="7:7" x14ac:dyDescent="0.25">
      <c r="G1014" s="6"/>
    </row>
    <row r="1015" spans="7:7" x14ac:dyDescent="0.25">
      <c r="G1015" s="6"/>
    </row>
    <row r="1016" spans="7:7" x14ac:dyDescent="0.25">
      <c r="G1016" s="6"/>
    </row>
    <row r="1017" spans="7:7" x14ac:dyDescent="0.25">
      <c r="G1017" s="6"/>
    </row>
    <row r="1018" spans="7:7" x14ac:dyDescent="0.25">
      <c r="G1018" s="6"/>
    </row>
    <row r="1019" spans="7:7" x14ac:dyDescent="0.25">
      <c r="G1019" s="6"/>
    </row>
    <row r="1020" spans="7:7" x14ac:dyDescent="0.25">
      <c r="G1020" s="6"/>
    </row>
    <row r="1021" spans="7:7" x14ac:dyDescent="0.25">
      <c r="G1021" s="6"/>
    </row>
    <row r="1022" spans="7:7" x14ac:dyDescent="0.25">
      <c r="G1022" s="6"/>
    </row>
    <row r="1023" spans="7:7" x14ac:dyDescent="0.25">
      <c r="G1023" s="6"/>
    </row>
    <row r="1024" spans="7:7" x14ac:dyDescent="0.25">
      <c r="G1024" s="6"/>
    </row>
    <row r="1025" spans="7:7" x14ac:dyDescent="0.25">
      <c r="G1025" s="6"/>
    </row>
    <row r="1026" spans="7:7" x14ac:dyDescent="0.25">
      <c r="G1026" s="6"/>
    </row>
    <row r="1027" spans="7:7" x14ac:dyDescent="0.25">
      <c r="G1027" s="6"/>
    </row>
    <row r="1028" spans="7:7" x14ac:dyDescent="0.25">
      <c r="G1028" s="6"/>
    </row>
    <row r="1029" spans="7:7" x14ac:dyDescent="0.25">
      <c r="G1029" s="6"/>
    </row>
    <row r="1030" spans="7:7" x14ac:dyDescent="0.25">
      <c r="G1030" s="6"/>
    </row>
    <row r="1031" spans="7:7" x14ac:dyDescent="0.25">
      <c r="G1031" s="6"/>
    </row>
    <row r="1032" spans="7:7" x14ac:dyDescent="0.25">
      <c r="G1032" s="6"/>
    </row>
    <row r="1033" spans="7:7" x14ac:dyDescent="0.25">
      <c r="G1033" s="6"/>
    </row>
    <row r="1034" spans="7:7" x14ac:dyDescent="0.25">
      <c r="G1034" s="6"/>
    </row>
    <row r="1035" spans="7:7" x14ac:dyDescent="0.25">
      <c r="G1035" s="6"/>
    </row>
    <row r="1036" spans="7:7" x14ac:dyDescent="0.25">
      <c r="G1036" s="6"/>
    </row>
    <row r="1037" spans="7:7" x14ac:dyDescent="0.25">
      <c r="G1037" s="6"/>
    </row>
    <row r="1038" spans="7:7" x14ac:dyDescent="0.25">
      <c r="G1038" s="6"/>
    </row>
    <row r="1039" spans="7:7" x14ac:dyDescent="0.25">
      <c r="G1039" s="6"/>
    </row>
    <row r="1040" spans="7:7" x14ac:dyDescent="0.25">
      <c r="G1040" s="6"/>
    </row>
    <row r="1041" spans="7:7" x14ac:dyDescent="0.25">
      <c r="G1041" s="6"/>
    </row>
    <row r="1042" spans="7:7" x14ac:dyDescent="0.25">
      <c r="G1042" s="6"/>
    </row>
    <row r="1043" spans="7:7" x14ac:dyDescent="0.25">
      <c r="G1043" s="6"/>
    </row>
    <row r="1044" spans="7:7" x14ac:dyDescent="0.25">
      <c r="G1044" s="6"/>
    </row>
    <row r="1045" spans="7:7" x14ac:dyDescent="0.25">
      <c r="G1045" s="6"/>
    </row>
    <row r="1046" spans="7:7" x14ac:dyDescent="0.25">
      <c r="G1046" s="6"/>
    </row>
    <row r="1047" spans="7:7" x14ac:dyDescent="0.25">
      <c r="G1047" s="6"/>
    </row>
    <row r="1048" spans="7:7" x14ac:dyDescent="0.25">
      <c r="G1048" s="6"/>
    </row>
    <row r="1049" spans="7:7" x14ac:dyDescent="0.25">
      <c r="G1049" s="6"/>
    </row>
    <row r="1050" spans="7:7" x14ac:dyDescent="0.25">
      <c r="G1050" s="6"/>
    </row>
    <row r="1051" spans="7:7" x14ac:dyDescent="0.25">
      <c r="G1051" s="6"/>
    </row>
    <row r="1052" spans="7:7" x14ac:dyDescent="0.25">
      <c r="G1052" s="6"/>
    </row>
    <row r="1053" spans="7:7" x14ac:dyDescent="0.25">
      <c r="G1053" s="6"/>
    </row>
    <row r="1054" spans="7:7" x14ac:dyDescent="0.25">
      <c r="G1054" s="6"/>
    </row>
    <row r="1055" spans="7:7" x14ac:dyDescent="0.25">
      <c r="G1055" s="6"/>
    </row>
    <row r="1056" spans="7:7" x14ac:dyDescent="0.25">
      <c r="G1056" s="6"/>
    </row>
    <row r="1057" spans="7:7" x14ac:dyDescent="0.25">
      <c r="G1057" s="6"/>
    </row>
    <row r="1058" spans="7:7" x14ac:dyDescent="0.25">
      <c r="G1058" s="6"/>
    </row>
    <row r="1059" spans="7:7" x14ac:dyDescent="0.25">
      <c r="G1059" s="6"/>
    </row>
    <row r="1060" spans="7:7" x14ac:dyDescent="0.25">
      <c r="G1060" s="6"/>
    </row>
    <row r="1061" spans="7:7" x14ac:dyDescent="0.25">
      <c r="G1061" s="6"/>
    </row>
    <row r="1062" spans="7:7" x14ac:dyDescent="0.25">
      <c r="G1062" s="6"/>
    </row>
    <row r="1063" spans="7:7" x14ac:dyDescent="0.25">
      <c r="G1063" s="6"/>
    </row>
    <row r="1064" spans="7:7" x14ac:dyDescent="0.25">
      <c r="G1064" s="6"/>
    </row>
    <row r="1065" spans="7:7" x14ac:dyDescent="0.25">
      <c r="G1065" s="6"/>
    </row>
    <row r="1066" spans="7:7" x14ac:dyDescent="0.25">
      <c r="G1066" s="6"/>
    </row>
    <row r="1067" spans="7:7" x14ac:dyDescent="0.25">
      <c r="G1067" s="6"/>
    </row>
    <row r="1068" spans="7:7" x14ac:dyDescent="0.25">
      <c r="G1068" s="6"/>
    </row>
    <row r="1069" spans="7:7" x14ac:dyDescent="0.25">
      <c r="G1069" s="6"/>
    </row>
    <row r="1070" spans="7:7" x14ac:dyDescent="0.25">
      <c r="G1070" s="6"/>
    </row>
    <row r="1071" spans="7:7" x14ac:dyDescent="0.25">
      <c r="G1071" s="6"/>
    </row>
    <row r="1072" spans="7:7" x14ac:dyDescent="0.25">
      <c r="G1072" s="6"/>
    </row>
    <row r="1073" spans="7:7" x14ac:dyDescent="0.25">
      <c r="G1073" s="6"/>
    </row>
    <row r="1074" spans="7:7" x14ac:dyDescent="0.25">
      <c r="G1074" s="6"/>
    </row>
    <row r="1075" spans="7:7" x14ac:dyDescent="0.25">
      <c r="G1075" s="6"/>
    </row>
    <row r="1076" spans="7:7" x14ac:dyDescent="0.25">
      <c r="G1076" s="6"/>
    </row>
    <row r="1077" spans="7:7" x14ac:dyDescent="0.25">
      <c r="G1077" s="6"/>
    </row>
    <row r="1078" spans="7:7" x14ac:dyDescent="0.25">
      <c r="G1078" s="6"/>
    </row>
    <row r="1079" spans="7:7" x14ac:dyDescent="0.25">
      <c r="G1079" s="6"/>
    </row>
    <row r="1080" spans="7:7" x14ac:dyDescent="0.25">
      <c r="G1080" s="6"/>
    </row>
    <row r="1081" spans="7:7" x14ac:dyDescent="0.25">
      <c r="G1081" s="6"/>
    </row>
    <row r="1082" spans="7:7" x14ac:dyDescent="0.25">
      <c r="G1082" s="6"/>
    </row>
    <row r="1083" spans="7:7" x14ac:dyDescent="0.25">
      <c r="G1083" s="6"/>
    </row>
    <row r="1084" spans="7:7" x14ac:dyDescent="0.25">
      <c r="G1084" s="6"/>
    </row>
    <row r="1085" spans="7:7" x14ac:dyDescent="0.25">
      <c r="G1085" s="6"/>
    </row>
    <row r="1086" spans="7:7" x14ac:dyDescent="0.25">
      <c r="G1086" s="6"/>
    </row>
    <row r="1087" spans="7:7" x14ac:dyDescent="0.25">
      <c r="G1087" s="6"/>
    </row>
    <row r="1088" spans="7:7" x14ac:dyDescent="0.25">
      <c r="G1088" s="6"/>
    </row>
    <row r="1089" spans="7:7" x14ac:dyDescent="0.25">
      <c r="G1089" s="6"/>
    </row>
    <row r="1090" spans="7:7" x14ac:dyDescent="0.25">
      <c r="G1090" s="6"/>
    </row>
    <row r="1091" spans="7:7" x14ac:dyDescent="0.25">
      <c r="G1091" s="6"/>
    </row>
    <row r="1092" spans="7:7" x14ac:dyDescent="0.25">
      <c r="G1092" s="6"/>
    </row>
    <row r="1093" spans="7:7" x14ac:dyDescent="0.25">
      <c r="G1093" s="6"/>
    </row>
    <row r="1094" spans="7:7" x14ac:dyDescent="0.25">
      <c r="G1094" s="6"/>
    </row>
    <row r="1095" spans="7:7" x14ac:dyDescent="0.25">
      <c r="G1095" s="6"/>
    </row>
    <row r="1096" spans="7:7" x14ac:dyDescent="0.25">
      <c r="G1096" s="6"/>
    </row>
    <row r="1097" spans="7:7" x14ac:dyDescent="0.25">
      <c r="G1097" s="6"/>
    </row>
    <row r="1098" spans="7:7" x14ac:dyDescent="0.25">
      <c r="G1098" s="6"/>
    </row>
    <row r="1099" spans="7:7" x14ac:dyDescent="0.25">
      <c r="G1099" s="6"/>
    </row>
    <row r="1100" spans="7:7" x14ac:dyDescent="0.25">
      <c r="G1100" s="6"/>
    </row>
    <row r="1101" spans="7:7" x14ac:dyDescent="0.25">
      <c r="G1101" s="6"/>
    </row>
    <row r="1102" spans="7:7" x14ac:dyDescent="0.25">
      <c r="G1102" s="6"/>
    </row>
    <row r="1103" spans="7:7" x14ac:dyDescent="0.25">
      <c r="G1103" s="6"/>
    </row>
    <row r="1104" spans="7:7" x14ac:dyDescent="0.25">
      <c r="G1104" s="6"/>
    </row>
    <row r="1105" spans="7:7" x14ac:dyDescent="0.25">
      <c r="G1105" s="6"/>
    </row>
    <row r="1106" spans="7:7" x14ac:dyDescent="0.25">
      <c r="G1106" s="6"/>
    </row>
    <row r="1107" spans="7:7" x14ac:dyDescent="0.25">
      <c r="G1107" s="6"/>
    </row>
    <row r="1108" spans="7:7" x14ac:dyDescent="0.25">
      <c r="G1108" s="6"/>
    </row>
    <row r="1109" spans="7:7" x14ac:dyDescent="0.25">
      <c r="G1109" s="6"/>
    </row>
    <row r="1110" spans="7:7" x14ac:dyDescent="0.25">
      <c r="G1110" s="6"/>
    </row>
    <row r="1111" spans="7:7" x14ac:dyDescent="0.25">
      <c r="G1111" s="6"/>
    </row>
    <row r="1112" spans="7:7" x14ac:dyDescent="0.25">
      <c r="G1112" s="6"/>
    </row>
    <row r="1113" spans="7:7" x14ac:dyDescent="0.25">
      <c r="G1113" s="6"/>
    </row>
    <row r="1114" spans="7:7" x14ac:dyDescent="0.25">
      <c r="G1114" s="6"/>
    </row>
    <row r="1115" spans="7:7" x14ac:dyDescent="0.25">
      <c r="G1115" s="6"/>
    </row>
    <row r="1116" spans="7:7" x14ac:dyDescent="0.25">
      <c r="G1116" s="6"/>
    </row>
    <row r="1117" spans="7:7" x14ac:dyDescent="0.25">
      <c r="G1117" s="6"/>
    </row>
    <row r="1118" spans="7:7" x14ac:dyDescent="0.25">
      <c r="G1118" s="6"/>
    </row>
    <row r="1119" spans="7:7" x14ac:dyDescent="0.25">
      <c r="G1119" s="6"/>
    </row>
    <row r="1120" spans="7:7" x14ac:dyDescent="0.25">
      <c r="G1120" s="6"/>
    </row>
    <row r="1121" spans="7:7" x14ac:dyDescent="0.25">
      <c r="G1121" s="6"/>
    </row>
    <row r="1122" spans="7:7" x14ac:dyDescent="0.25">
      <c r="G1122" s="6"/>
    </row>
    <row r="1123" spans="7:7" x14ac:dyDescent="0.25">
      <c r="G1123" s="6"/>
    </row>
    <row r="1124" spans="7:7" x14ac:dyDescent="0.25">
      <c r="G1124" s="6"/>
    </row>
    <row r="1125" spans="7:7" x14ac:dyDescent="0.25">
      <c r="G1125" s="6"/>
    </row>
    <row r="1126" spans="7:7" x14ac:dyDescent="0.25">
      <c r="G1126" s="6"/>
    </row>
    <row r="1127" spans="7:7" x14ac:dyDescent="0.25">
      <c r="G1127" s="6"/>
    </row>
    <row r="1128" spans="7:7" x14ac:dyDescent="0.25">
      <c r="G1128" s="6"/>
    </row>
    <row r="1129" spans="7:7" x14ac:dyDescent="0.25">
      <c r="G1129" s="6"/>
    </row>
    <row r="1130" spans="7:7" x14ac:dyDescent="0.25">
      <c r="G1130" s="6"/>
    </row>
    <row r="1131" spans="7:7" x14ac:dyDescent="0.25">
      <c r="G1131" s="6"/>
    </row>
    <row r="1132" spans="7:7" x14ac:dyDescent="0.25">
      <c r="G1132" s="6"/>
    </row>
    <row r="1133" spans="7:7" x14ac:dyDescent="0.25">
      <c r="G1133" s="6"/>
    </row>
    <row r="1134" spans="7:7" x14ac:dyDescent="0.25">
      <c r="G1134" s="6"/>
    </row>
    <row r="1135" spans="7:7" x14ac:dyDescent="0.25">
      <c r="G1135" s="6"/>
    </row>
    <row r="1136" spans="7:7" x14ac:dyDescent="0.25">
      <c r="G1136" s="6"/>
    </row>
    <row r="1137" spans="7:7" x14ac:dyDescent="0.25">
      <c r="G1137" s="6"/>
    </row>
    <row r="1138" spans="7:7" x14ac:dyDescent="0.25">
      <c r="G1138" s="6"/>
    </row>
    <row r="1139" spans="7:7" x14ac:dyDescent="0.25">
      <c r="G1139" s="6"/>
    </row>
    <row r="1140" spans="7:7" x14ac:dyDescent="0.25">
      <c r="G1140" s="6"/>
    </row>
    <row r="1141" spans="7:7" x14ac:dyDescent="0.25">
      <c r="G1141" s="6"/>
    </row>
    <row r="1142" spans="7:7" x14ac:dyDescent="0.25">
      <c r="G1142" s="6"/>
    </row>
    <row r="1143" spans="7:7" x14ac:dyDescent="0.25">
      <c r="G1143" s="6"/>
    </row>
    <row r="1144" spans="7:7" x14ac:dyDescent="0.25">
      <c r="G1144" s="6"/>
    </row>
    <row r="1145" spans="7:7" x14ac:dyDescent="0.25">
      <c r="G1145" s="6"/>
    </row>
    <row r="1146" spans="7:7" x14ac:dyDescent="0.25">
      <c r="G1146" s="6"/>
    </row>
    <row r="1147" spans="7:7" x14ac:dyDescent="0.25">
      <c r="G1147" s="6"/>
    </row>
    <row r="1148" spans="7:7" x14ac:dyDescent="0.25">
      <c r="G1148" s="6"/>
    </row>
    <row r="1149" spans="7:7" x14ac:dyDescent="0.25">
      <c r="G1149" s="6"/>
    </row>
    <row r="1150" spans="7:7" x14ac:dyDescent="0.25">
      <c r="G1150" s="6"/>
    </row>
    <row r="1151" spans="7:7" x14ac:dyDescent="0.25">
      <c r="G1151" s="6"/>
    </row>
    <row r="1152" spans="7:7" x14ac:dyDescent="0.25">
      <c r="G1152" s="6"/>
    </row>
    <row r="1153" spans="7:7" x14ac:dyDescent="0.25">
      <c r="G1153" s="6"/>
    </row>
    <row r="1154" spans="7:7" x14ac:dyDescent="0.25">
      <c r="G1154" s="6"/>
    </row>
    <row r="1155" spans="7:7" x14ac:dyDescent="0.25">
      <c r="G1155" s="6"/>
    </row>
    <row r="1156" spans="7:7" x14ac:dyDescent="0.25">
      <c r="G1156" s="6"/>
    </row>
    <row r="1157" spans="7:7" x14ac:dyDescent="0.25">
      <c r="G1157" s="6"/>
    </row>
    <row r="1158" spans="7:7" x14ac:dyDescent="0.25">
      <c r="G1158" s="6"/>
    </row>
    <row r="1159" spans="7:7" x14ac:dyDescent="0.25">
      <c r="G1159" s="6"/>
    </row>
    <row r="1160" spans="7:7" x14ac:dyDescent="0.25">
      <c r="G1160" s="6"/>
    </row>
    <row r="1161" spans="7:7" x14ac:dyDescent="0.25">
      <c r="G1161" s="6"/>
    </row>
    <row r="1162" spans="7:7" x14ac:dyDescent="0.25">
      <c r="G1162" s="6"/>
    </row>
    <row r="1163" spans="7:7" x14ac:dyDescent="0.25">
      <c r="G1163" s="6"/>
    </row>
    <row r="1164" spans="7:7" x14ac:dyDescent="0.25">
      <c r="G1164" s="6"/>
    </row>
    <row r="1165" spans="7:7" x14ac:dyDescent="0.25">
      <c r="G1165" s="6"/>
    </row>
    <row r="1166" spans="7:7" x14ac:dyDescent="0.25">
      <c r="G1166" s="6"/>
    </row>
    <row r="1167" spans="7:7" x14ac:dyDescent="0.25">
      <c r="G1167" s="6"/>
    </row>
    <row r="1168" spans="7:7" x14ac:dyDescent="0.25">
      <c r="G1168" s="6"/>
    </row>
    <row r="1169" spans="7:7" x14ac:dyDescent="0.25">
      <c r="G1169" s="6"/>
    </row>
    <row r="1170" spans="7:7" x14ac:dyDescent="0.25">
      <c r="G1170" s="6"/>
    </row>
    <row r="1171" spans="7:7" x14ac:dyDescent="0.25">
      <c r="G1171" s="6"/>
    </row>
    <row r="1172" spans="7:7" x14ac:dyDescent="0.25">
      <c r="G1172" s="6"/>
    </row>
    <row r="1173" spans="7:7" x14ac:dyDescent="0.25">
      <c r="G1173" s="6"/>
    </row>
    <row r="1174" spans="7:7" x14ac:dyDescent="0.25">
      <c r="G1174" s="6"/>
    </row>
    <row r="1175" spans="7:7" x14ac:dyDescent="0.25">
      <c r="G1175" s="6"/>
    </row>
    <row r="1176" spans="7:7" x14ac:dyDescent="0.25">
      <c r="G1176" s="6"/>
    </row>
    <row r="1177" spans="7:7" x14ac:dyDescent="0.25">
      <c r="G1177" s="6"/>
    </row>
    <row r="1178" spans="7:7" x14ac:dyDescent="0.25">
      <c r="G1178" s="6"/>
    </row>
    <row r="1179" spans="7:7" x14ac:dyDescent="0.25">
      <c r="G1179" s="6"/>
    </row>
    <row r="1180" spans="7:7" x14ac:dyDescent="0.25">
      <c r="G1180" s="6"/>
    </row>
    <row r="1181" spans="7:7" x14ac:dyDescent="0.25">
      <c r="G1181" s="6"/>
    </row>
    <row r="1182" spans="7:7" x14ac:dyDescent="0.25">
      <c r="G1182" s="6"/>
    </row>
    <row r="1183" spans="7:7" x14ac:dyDescent="0.25">
      <c r="G1183" s="6"/>
    </row>
    <row r="1184" spans="7:7" x14ac:dyDescent="0.25">
      <c r="G1184" s="6"/>
    </row>
    <row r="1185" spans="7:7" x14ac:dyDescent="0.25">
      <c r="G1185" s="6"/>
    </row>
    <row r="1186" spans="7:7" x14ac:dyDescent="0.25">
      <c r="G1186" s="6"/>
    </row>
    <row r="1187" spans="7:7" x14ac:dyDescent="0.25">
      <c r="G1187" s="6"/>
    </row>
    <row r="1188" spans="7:7" x14ac:dyDescent="0.25">
      <c r="G1188" s="6"/>
    </row>
    <row r="1189" spans="7:7" x14ac:dyDescent="0.25">
      <c r="G1189" s="6"/>
    </row>
    <row r="1190" spans="7:7" x14ac:dyDescent="0.25">
      <c r="G1190" s="6"/>
    </row>
    <row r="1191" spans="7:7" x14ac:dyDescent="0.25">
      <c r="G1191" s="6"/>
    </row>
    <row r="1192" spans="7:7" x14ac:dyDescent="0.25">
      <c r="G1192" s="6"/>
    </row>
    <row r="1193" spans="7:7" x14ac:dyDescent="0.25">
      <c r="G1193" s="6"/>
    </row>
    <row r="1194" spans="7:7" x14ac:dyDescent="0.25">
      <c r="G1194" s="6"/>
    </row>
    <row r="1195" spans="7:7" x14ac:dyDescent="0.25">
      <c r="G1195" s="6"/>
    </row>
    <row r="1196" spans="7:7" x14ac:dyDescent="0.25">
      <c r="G1196" s="6"/>
    </row>
    <row r="1197" spans="7:7" x14ac:dyDescent="0.25">
      <c r="G1197" s="6"/>
    </row>
    <row r="1198" spans="7:7" x14ac:dyDescent="0.25">
      <c r="G1198" s="6"/>
    </row>
    <row r="1199" spans="7:7" x14ac:dyDescent="0.25">
      <c r="G1199" s="6"/>
    </row>
    <row r="1200" spans="7:7" x14ac:dyDescent="0.25">
      <c r="G1200" s="6"/>
    </row>
    <row r="1201" spans="7:7" x14ac:dyDescent="0.25">
      <c r="G1201" s="6"/>
    </row>
    <row r="1202" spans="7:7" x14ac:dyDescent="0.25">
      <c r="G1202" s="6"/>
    </row>
    <row r="1203" spans="7:7" x14ac:dyDescent="0.25">
      <c r="G1203" s="6"/>
    </row>
    <row r="1204" spans="7:7" x14ac:dyDescent="0.25">
      <c r="G1204" s="6"/>
    </row>
    <row r="1205" spans="7:7" x14ac:dyDescent="0.25">
      <c r="G1205" s="6"/>
    </row>
    <row r="1206" spans="7:7" x14ac:dyDescent="0.25">
      <c r="G1206" s="6"/>
    </row>
    <row r="1207" spans="7:7" x14ac:dyDescent="0.25">
      <c r="G1207" s="6"/>
    </row>
    <row r="1208" spans="7:7" x14ac:dyDescent="0.25">
      <c r="G1208" s="6"/>
    </row>
    <row r="1209" spans="7:7" x14ac:dyDescent="0.25">
      <c r="G1209" s="6"/>
    </row>
    <row r="1210" spans="7:7" x14ac:dyDescent="0.25">
      <c r="G1210" s="6"/>
    </row>
    <row r="1211" spans="7:7" x14ac:dyDescent="0.25">
      <c r="G1211" s="6"/>
    </row>
    <row r="1212" spans="7:7" x14ac:dyDescent="0.25">
      <c r="G1212" s="6"/>
    </row>
    <row r="1213" spans="7:7" x14ac:dyDescent="0.25">
      <c r="G1213" s="6"/>
    </row>
    <row r="1214" spans="7:7" x14ac:dyDescent="0.25">
      <c r="G1214" s="6"/>
    </row>
    <row r="1215" spans="7:7" x14ac:dyDescent="0.25">
      <c r="G1215" s="6"/>
    </row>
    <row r="1216" spans="7:7" x14ac:dyDescent="0.25">
      <c r="G1216" s="6"/>
    </row>
    <row r="1217" spans="7:7" x14ac:dyDescent="0.25">
      <c r="G1217" s="6"/>
    </row>
    <row r="1218" spans="7:7" x14ac:dyDescent="0.25">
      <c r="G1218" s="6"/>
    </row>
    <row r="1219" spans="7:7" x14ac:dyDescent="0.25">
      <c r="G1219" s="6"/>
    </row>
    <row r="1220" spans="7:7" x14ac:dyDescent="0.25">
      <c r="G1220" s="6"/>
    </row>
    <row r="1221" spans="7:7" x14ac:dyDescent="0.25">
      <c r="G1221" s="6"/>
    </row>
    <row r="1222" spans="7:7" x14ac:dyDescent="0.25">
      <c r="G1222" s="6"/>
    </row>
    <row r="1223" spans="7:7" x14ac:dyDescent="0.25">
      <c r="G1223" s="6"/>
    </row>
    <row r="1224" spans="7:7" x14ac:dyDescent="0.25">
      <c r="G1224" s="6"/>
    </row>
    <row r="1225" spans="7:7" x14ac:dyDescent="0.25">
      <c r="G1225" s="6"/>
    </row>
    <row r="1226" spans="7:7" x14ac:dyDescent="0.25">
      <c r="G1226" s="6"/>
    </row>
    <row r="1227" spans="7:7" x14ac:dyDescent="0.25">
      <c r="G1227" s="6"/>
    </row>
    <row r="1228" spans="7:7" x14ac:dyDescent="0.25">
      <c r="G1228" s="6"/>
    </row>
    <row r="1229" spans="7:7" x14ac:dyDescent="0.25">
      <c r="G1229" s="6"/>
    </row>
    <row r="1230" spans="7:7" x14ac:dyDescent="0.25">
      <c r="G1230" s="6"/>
    </row>
    <row r="1231" spans="7:7" x14ac:dyDescent="0.25">
      <c r="G1231" s="6"/>
    </row>
    <row r="1232" spans="7:7" x14ac:dyDescent="0.25">
      <c r="G1232" s="6"/>
    </row>
    <row r="1233" spans="7:7" x14ac:dyDescent="0.25">
      <c r="G1233" s="6"/>
    </row>
    <row r="1234" spans="7:7" x14ac:dyDescent="0.25">
      <c r="G1234" s="6"/>
    </row>
    <row r="1235" spans="7:7" x14ac:dyDescent="0.25">
      <c r="G1235" s="6"/>
    </row>
    <row r="1236" spans="7:7" x14ac:dyDescent="0.25">
      <c r="G1236" s="6"/>
    </row>
    <row r="1237" spans="7:7" x14ac:dyDescent="0.25">
      <c r="G1237" s="6"/>
    </row>
    <row r="1238" spans="7:7" x14ac:dyDescent="0.25">
      <c r="G1238" s="6"/>
    </row>
    <row r="1239" spans="7:7" x14ac:dyDescent="0.25">
      <c r="G1239" s="6"/>
    </row>
    <row r="1240" spans="7:7" x14ac:dyDescent="0.25">
      <c r="G1240" s="6"/>
    </row>
    <row r="1241" spans="7:7" x14ac:dyDescent="0.25">
      <c r="G1241" s="6"/>
    </row>
    <row r="1242" spans="7:7" x14ac:dyDescent="0.25">
      <c r="G1242" s="6"/>
    </row>
    <row r="1243" spans="7:7" x14ac:dyDescent="0.25">
      <c r="G1243" s="6"/>
    </row>
    <row r="1244" spans="7:7" x14ac:dyDescent="0.25">
      <c r="G1244" s="6"/>
    </row>
    <row r="1245" spans="7:7" x14ac:dyDescent="0.25">
      <c r="G1245" s="6"/>
    </row>
    <row r="1246" spans="7:7" x14ac:dyDescent="0.25">
      <c r="G1246" s="6"/>
    </row>
    <row r="1247" spans="7:7" x14ac:dyDescent="0.25">
      <c r="G1247" s="6"/>
    </row>
    <row r="1248" spans="7:7" x14ac:dyDescent="0.25">
      <c r="G1248" s="6"/>
    </row>
    <row r="1249" spans="7:7" x14ac:dyDescent="0.25">
      <c r="G1249" s="6"/>
    </row>
    <row r="1250" spans="7:7" x14ac:dyDescent="0.25">
      <c r="G1250" s="6"/>
    </row>
    <row r="1251" spans="7:7" x14ac:dyDescent="0.25">
      <c r="G1251" s="6"/>
    </row>
    <row r="1252" spans="7:7" x14ac:dyDescent="0.25">
      <c r="G1252" s="6"/>
    </row>
    <row r="1253" spans="7:7" x14ac:dyDescent="0.25">
      <c r="G1253" s="6"/>
    </row>
    <row r="1254" spans="7:7" x14ac:dyDescent="0.25">
      <c r="G1254" s="6"/>
    </row>
    <row r="1255" spans="7:7" x14ac:dyDescent="0.25">
      <c r="G1255" s="6"/>
    </row>
    <row r="1256" spans="7:7" x14ac:dyDescent="0.25">
      <c r="G1256" s="6"/>
    </row>
    <row r="1257" spans="7:7" x14ac:dyDescent="0.25">
      <c r="G1257" s="6"/>
    </row>
    <row r="1258" spans="7:7" x14ac:dyDescent="0.25">
      <c r="G1258" s="6"/>
    </row>
    <row r="1259" spans="7:7" x14ac:dyDescent="0.25">
      <c r="G1259" s="6"/>
    </row>
    <row r="1260" spans="7:7" x14ac:dyDescent="0.25">
      <c r="G1260" s="6"/>
    </row>
    <row r="1261" spans="7:7" x14ac:dyDescent="0.25">
      <c r="G1261" s="6"/>
    </row>
    <row r="1262" spans="7:7" x14ac:dyDescent="0.25">
      <c r="G1262" s="6"/>
    </row>
    <row r="1263" spans="7:7" x14ac:dyDescent="0.25">
      <c r="G1263" s="6"/>
    </row>
    <row r="1264" spans="7:7" x14ac:dyDescent="0.25">
      <c r="G1264" s="6"/>
    </row>
    <row r="1265" spans="7:7" x14ac:dyDescent="0.25">
      <c r="G1265" s="6"/>
    </row>
    <row r="1266" spans="7:7" x14ac:dyDescent="0.25">
      <c r="G1266" s="6"/>
    </row>
    <row r="1267" spans="7:7" x14ac:dyDescent="0.25">
      <c r="G1267" s="6"/>
    </row>
    <row r="1268" spans="7:7" x14ac:dyDescent="0.25">
      <c r="G1268" s="6"/>
    </row>
    <row r="1269" spans="7:7" x14ac:dyDescent="0.25">
      <c r="G1269" s="6"/>
    </row>
    <row r="1270" spans="7:7" x14ac:dyDescent="0.25">
      <c r="G1270" s="6"/>
    </row>
    <row r="1271" spans="7:7" x14ac:dyDescent="0.25">
      <c r="G1271" s="6"/>
    </row>
    <row r="1272" spans="7:7" x14ac:dyDescent="0.25">
      <c r="G1272" s="6"/>
    </row>
    <row r="1273" spans="7:7" x14ac:dyDescent="0.25">
      <c r="G1273" s="6"/>
    </row>
    <row r="1274" spans="7:7" x14ac:dyDescent="0.25">
      <c r="G1274" s="6"/>
    </row>
    <row r="1275" spans="7:7" x14ac:dyDescent="0.25">
      <c r="G1275" s="6"/>
    </row>
    <row r="1276" spans="7:7" x14ac:dyDescent="0.25">
      <c r="G1276" s="6"/>
    </row>
    <row r="1277" spans="7:7" x14ac:dyDescent="0.25">
      <c r="G1277" s="6"/>
    </row>
    <row r="1278" spans="7:7" x14ac:dyDescent="0.25">
      <c r="G1278" s="6"/>
    </row>
    <row r="1279" spans="7:7" x14ac:dyDescent="0.25">
      <c r="G1279" s="6"/>
    </row>
    <row r="1280" spans="7:7" x14ac:dyDescent="0.25">
      <c r="G1280" s="6"/>
    </row>
    <row r="1281" spans="7:7" x14ac:dyDescent="0.25">
      <c r="G1281" s="6"/>
    </row>
    <row r="1282" spans="7:7" x14ac:dyDescent="0.25">
      <c r="G1282" s="6"/>
    </row>
    <row r="1283" spans="7:7" x14ac:dyDescent="0.25">
      <c r="G1283" s="6"/>
    </row>
    <row r="1284" spans="7:7" x14ac:dyDescent="0.25">
      <c r="G1284" s="6"/>
    </row>
    <row r="1285" spans="7:7" x14ac:dyDescent="0.25">
      <c r="G1285" s="6"/>
    </row>
    <row r="1286" spans="7:7" x14ac:dyDescent="0.25">
      <c r="G1286" s="6"/>
    </row>
    <row r="1287" spans="7:7" x14ac:dyDescent="0.25">
      <c r="G1287" s="6"/>
    </row>
    <row r="1288" spans="7:7" x14ac:dyDescent="0.25">
      <c r="G1288" s="6"/>
    </row>
    <row r="1289" spans="7:7" x14ac:dyDescent="0.25">
      <c r="G1289" s="6"/>
    </row>
    <row r="1290" spans="7:7" x14ac:dyDescent="0.25">
      <c r="G1290" s="6"/>
    </row>
    <row r="1291" spans="7:7" x14ac:dyDescent="0.25">
      <c r="G1291" s="6"/>
    </row>
    <row r="1292" spans="7:7" x14ac:dyDescent="0.25">
      <c r="G1292" s="6"/>
    </row>
    <row r="1293" spans="7:7" x14ac:dyDescent="0.25">
      <c r="G1293" s="6"/>
    </row>
    <row r="1294" spans="7:7" x14ac:dyDescent="0.25">
      <c r="G1294" s="6"/>
    </row>
    <row r="1295" spans="7:7" x14ac:dyDescent="0.25">
      <c r="G1295" s="6"/>
    </row>
    <row r="1296" spans="7:7" x14ac:dyDescent="0.25">
      <c r="G1296" s="6"/>
    </row>
    <row r="1297" spans="7:7" x14ac:dyDescent="0.25">
      <c r="G1297" s="6"/>
    </row>
    <row r="1298" spans="7:7" x14ac:dyDescent="0.25">
      <c r="G1298" s="6"/>
    </row>
    <row r="1299" spans="7:7" x14ac:dyDescent="0.25">
      <c r="G1299" s="6"/>
    </row>
    <row r="1300" spans="7:7" x14ac:dyDescent="0.25">
      <c r="G1300" s="6"/>
    </row>
    <row r="1301" spans="7:7" x14ac:dyDescent="0.25">
      <c r="G1301" s="6"/>
    </row>
    <row r="1302" spans="7:7" x14ac:dyDescent="0.25">
      <c r="G1302" s="6"/>
    </row>
    <row r="1303" spans="7:7" x14ac:dyDescent="0.25">
      <c r="G1303" s="6"/>
    </row>
    <row r="1304" spans="7:7" x14ac:dyDescent="0.25">
      <c r="G1304" s="6"/>
    </row>
    <row r="1305" spans="7:7" x14ac:dyDescent="0.25">
      <c r="G1305" s="6"/>
    </row>
    <row r="1306" spans="7:7" x14ac:dyDescent="0.25">
      <c r="G1306" s="6"/>
    </row>
    <row r="1307" spans="7:7" x14ac:dyDescent="0.25">
      <c r="G1307" s="6"/>
    </row>
    <row r="1308" spans="7:7" x14ac:dyDescent="0.25">
      <c r="G1308" s="6"/>
    </row>
    <row r="1309" spans="7:7" x14ac:dyDescent="0.25">
      <c r="G1309" s="6"/>
    </row>
    <row r="1310" spans="7:7" x14ac:dyDescent="0.25">
      <c r="G1310" s="6"/>
    </row>
    <row r="1311" spans="7:7" x14ac:dyDescent="0.25">
      <c r="G1311" s="6"/>
    </row>
    <row r="1312" spans="7:7" x14ac:dyDescent="0.25">
      <c r="G1312" s="6"/>
    </row>
    <row r="1313" spans="7:7" x14ac:dyDescent="0.25">
      <c r="G1313" s="6"/>
    </row>
    <row r="1314" spans="7:7" x14ac:dyDescent="0.25">
      <c r="G1314" s="6"/>
    </row>
    <row r="1315" spans="7:7" x14ac:dyDescent="0.25">
      <c r="G1315" s="6"/>
    </row>
    <row r="1316" spans="7:7" x14ac:dyDescent="0.25">
      <c r="G1316" s="6"/>
    </row>
    <row r="1317" spans="7:7" x14ac:dyDescent="0.25">
      <c r="G1317" s="6"/>
    </row>
    <row r="1318" spans="7:7" x14ac:dyDescent="0.25">
      <c r="G1318" s="6"/>
    </row>
    <row r="1319" spans="7:7" x14ac:dyDescent="0.25">
      <c r="G1319" s="6"/>
    </row>
    <row r="1320" spans="7:7" x14ac:dyDescent="0.25">
      <c r="G1320" s="6"/>
    </row>
    <row r="1321" spans="7:7" x14ac:dyDescent="0.25">
      <c r="G1321" s="6"/>
    </row>
    <row r="1322" spans="7:7" x14ac:dyDescent="0.25">
      <c r="G1322" s="6"/>
    </row>
    <row r="1323" spans="7:7" x14ac:dyDescent="0.25">
      <c r="G1323" s="6"/>
    </row>
    <row r="1324" spans="7:7" x14ac:dyDescent="0.25">
      <c r="G1324" s="6"/>
    </row>
    <row r="1325" spans="7:7" x14ac:dyDescent="0.25">
      <c r="G1325" s="6"/>
    </row>
    <row r="1326" spans="7:7" x14ac:dyDescent="0.25">
      <c r="G1326" s="6"/>
    </row>
    <row r="1327" spans="7:7" x14ac:dyDescent="0.25">
      <c r="G1327" s="6"/>
    </row>
    <row r="1328" spans="7:7" x14ac:dyDescent="0.25">
      <c r="G1328" s="6"/>
    </row>
    <row r="1329" spans="7:7" x14ac:dyDescent="0.25">
      <c r="G1329" s="6"/>
    </row>
    <row r="1330" spans="7:7" x14ac:dyDescent="0.25">
      <c r="G1330" s="6"/>
    </row>
    <row r="1331" spans="7:7" x14ac:dyDescent="0.25">
      <c r="G1331" s="6"/>
    </row>
    <row r="1332" spans="7:7" x14ac:dyDescent="0.25">
      <c r="G1332" s="6"/>
    </row>
    <row r="1333" spans="7:7" x14ac:dyDescent="0.25">
      <c r="G1333" s="6"/>
    </row>
    <row r="1334" spans="7:7" x14ac:dyDescent="0.25">
      <c r="G1334" s="6"/>
    </row>
    <row r="1335" spans="7:7" x14ac:dyDescent="0.25">
      <c r="G1335" s="6"/>
    </row>
    <row r="1336" spans="7:7" x14ac:dyDescent="0.25">
      <c r="G1336" s="6"/>
    </row>
    <row r="1337" spans="7:7" x14ac:dyDescent="0.25">
      <c r="G1337" s="6"/>
    </row>
    <row r="1338" spans="7:7" x14ac:dyDescent="0.25">
      <c r="G1338" s="6"/>
    </row>
    <row r="1339" spans="7:7" x14ac:dyDescent="0.25">
      <c r="G1339" s="6"/>
    </row>
    <row r="1340" spans="7:7" x14ac:dyDescent="0.25">
      <c r="G1340" s="6"/>
    </row>
    <row r="1341" spans="7:7" x14ac:dyDescent="0.25">
      <c r="G1341" s="6"/>
    </row>
    <row r="1342" spans="7:7" x14ac:dyDescent="0.25">
      <c r="G1342" s="6"/>
    </row>
    <row r="1343" spans="7:7" x14ac:dyDescent="0.25">
      <c r="G1343" s="6"/>
    </row>
    <row r="1344" spans="7:7" x14ac:dyDescent="0.25">
      <c r="G1344" s="6"/>
    </row>
    <row r="1345" spans="7:7" x14ac:dyDescent="0.25">
      <c r="G1345" s="6"/>
    </row>
    <row r="1346" spans="7:7" x14ac:dyDescent="0.25">
      <c r="G1346" s="6"/>
    </row>
    <row r="1347" spans="7:7" x14ac:dyDescent="0.25">
      <c r="G1347" s="6"/>
    </row>
    <row r="1348" spans="7:7" x14ac:dyDescent="0.25">
      <c r="G1348" s="6"/>
    </row>
    <row r="1349" spans="7:7" x14ac:dyDescent="0.25">
      <c r="G1349" s="6"/>
    </row>
    <row r="1350" spans="7:7" x14ac:dyDescent="0.25">
      <c r="G1350" s="6"/>
    </row>
    <row r="1351" spans="7:7" x14ac:dyDescent="0.25">
      <c r="G1351" s="6"/>
    </row>
    <row r="1352" spans="7:7" x14ac:dyDescent="0.25">
      <c r="G1352" s="6"/>
    </row>
    <row r="1353" spans="7:7" x14ac:dyDescent="0.25">
      <c r="G1353" s="6"/>
    </row>
    <row r="1354" spans="7:7" x14ac:dyDescent="0.25">
      <c r="G1354" s="6"/>
    </row>
    <row r="1355" spans="7:7" x14ac:dyDescent="0.25">
      <c r="G1355" s="6"/>
    </row>
    <row r="1356" spans="7:7" x14ac:dyDescent="0.25">
      <c r="G1356" s="6"/>
    </row>
    <row r="1357" spans="7:7" x14ac:dyDescent="0.25">
      <c r="G1357" s="6"/>
    </row>
    <row r="1358" spans="7:7" x14ac:dyDescent="0.25">
      <c r="G1358" s="6"/>
    </row>
    <row r="1359" spans="7:7" x14ac:dyDescent="0.25">
      <c r="G1359" s="6"/>
    </row>
    <row r="1360" spans="7:7" x14ac:dyDescent="0.25">
      <c r="G1360" s="6"/>
    </row>
    <row r="1361" spans="7:7" x14ac:dyDescent="0.25">
      <c r="G1361" s="6"/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5" spans="7:7" x14ac:dyDescent="0.25">
      <c r="G1365" s="6"/>
    </row>
    <row r="1366" spans="7:7" x14ac:dyDescent="0.25">
      <c r="G1366" s="6"/>
    </row>
    <row r="1367" spans="7:7" x14ac:dyDescent="0.25">
      <c r="G1367" s="6"/>
    </row>
    <row r="1368" spans="7:7" x14ac:dyDescent="0.25">
      <c r="G1368" s="6"/>
    </row>
    <row r="1369" spans="7:7" x14ac:dyDescent="0.25">
      <c r="G1369" s="6"/>
    </row>
    <row r="1370" spans="7:7" x14ac:dyDescent="0.25">
      <c r="G1370" s="6"/>
    </row>
    <row r="1371" spans="7:7" x14ac:dyDescent="0.25">
      <c r="G1371" s="6"/>
    </row>
    <row r="1372" spans="7:7" x14ac:dyDescent="0.25">
      <c r="G1372" s="6"/>
    </row>
    <row r="1373" spans="7:7" x14ac:dyDescent="0.25">
      <c r="G1373" s="6"/>
    </row>
    <row r="1374" spans="7:7" x14ac:dyDescent="0.25">
      <c r="G1374" s="6"/>
    </row>
    <row r="1375" spans="7:7" x14ac:dyDescent="0.25">
      <c r="G1375" s="6"/>
    </row>
    <row r="1376" spans="7:7" x14ac:dyDescent="0.25">
      <c r="G1376" s="6"/>
    </row>
    <row r="1377" spans="7:7" x14ac:dyDescent="0.25">
      <c r="G1377" s="6"/>
    </row>
    <row r="1378" spans="7:7" x14ac:dyDescent="0.25">
      <c r="G1378" s="6"/>
    </row>
    <row r="1379" spans="7:7" x14ac:dyDescent="0.25">
      <c r="G1379" s="6"/>
    </row>
    <row r="1380" spans="7:7" x14ac:dyDescent="0.25">
      <c r="G1380" s="6"/>
    </row>
    <row r="1381" spans="7:7" x14ac:dyDescent="0.25">
      <c r="G1381" s="6"/>
    </row>
    <row r="1382" spans="7:7" x14ac:dyDescent="0.25">
      <c r="G1382" s="6"/>
    </row>
    <row r="1383" spans="7:7" x14ac:dyDescent="0.25">
      <c r="G1383" s="6"/>
    </row>
    <row r="1384" spans="7:7" x14ac:dyDescent="0.25">
      <c r="G1384" s="6"/>
    </row>
    <row r="1385" spans="7:7" x14ac:dyDescent="0.25">
      <c r="G1385" s="6"/>
    </row>
    <row r="1386" spans="7:7" x14ac:dyDescent="0.25">
      <c r="G1386" s="6"/>
    </row>
    <row r="1387" spans="7:7" x14ac:dyDescent="0.25">
      <c r="G1387" s="6"/>
    </row>
    <row r="1388" spans="7:7" x14ac:dyDescent="0.25">
      <c r="G1388" s="6"/>
    </row>
    <row r="1389" spans="7:7" x14ac:dyDescent="0.25">
      <c r="G1389" s="6"/>
    </row>
    <row r="1390" spans="7:7" x14ac:dyDescent="0.25">
      <c r="G1390" s="6"/>
    </row>
    <row r="1391" spans="7:7" x14ac:dyDescent="0.25">
      <c r="G1391" s="6"/>
    </row>
    <row r="1392" spans="7:7" x14ac:dyDescent="0.25">
      <c r="G1392" s="6"/>
    </row>
    <row r="1393" spans="7:7" x14ac:dyDescent="0.25">
      <c r="G1393" s="6"/>
    </row>
    <row r="1394" spans="7:7" x14ac:dyDescent="0.25">
      <c r="G1394" s="6"/>
    </row>
    <row r="1395" spans="7:7" x14ac:dyDescent="0.25">
      <c r="G1395" s="6"/>
    </row>
    <row r="1396" spans="7:7" x14ac:dyDescent="0.25">
      <c r="G1396" s="6"/>
    </row>
    <row r="1397" spans="7:7" x14ac:dyDescent="0.25">
      <c r="G1397" s="6"/>
    </row>
    <row r="1398" spans="7:7" x14ac:dyDescent="0.25">
      <c r="G1398" s="6"/>
    </row>
    <row r="1399" spans="7:7" x14ac:dyDescent="0.25">
      <c r="G1399" s="6"/>
    </row>
    <row r="1400" spans="7:7" x14ac:dyDescent="0.25">
      <c r="G1400" s="6"/>
    </row>
    <row r="1401" spans="7:7" x14ac:dyDescent="0.25">
      <c r="G1401" s="6"/>
    </row>
    <row r="1402" spans="7:7" x14ac:dyDescent="0.25">
      <c r="G1402" s="6"/>
    </row>
    <row r="1403" spans="7:7" x14ac:dyDescent="0.25">
      <c r="G1403" s="6"/>
    </row>
    <row r="1404" spans="7:7" x14ac:dyDescent="0.25">
      <c r="G1404" s="6"/>
    </row>
    <row r="1405" spans="7:7" x14ac:dyDescent="0.25">
      <c r="G1405" s="6"/>
    </row>
    <row r="1406" spans="7:7" x14ac:dyDescent="0.25">
      <c r="G1406" s="6"/>
    </row>
    <row r="1407" spans="7:7" x14ac:dyDescent="0.25">
      <c r="G1407" s="6"/>
    </row>
    <row r="1408" spans="7:7" x14ac:dyDescent="0.25">
      <c r="G1408" s="6"/>
    </row>
    <row r="1409" spans="7:7" x14ac:dyDescent="0.25">
      <c r="G1409" s="6"/>
    </row>
    <row r="1410" spans="7:7" x14ac:dyDescent="0.25">
      <c r="G1410" s="6"/>
    </row>
    <row r="1411" spans="7:7" x14ac:dyDescent="0.25">
      <c r="G1411" s="6"/>
    </row>
    <row r="1412" spans="7:7" x14ac:dyDescent="0.25">
      <c r="G1412" s="6"/>
    </row>
    <row r="1413" spans="7:7" x14ac:dyDescent="0.25">
      <c r="G1413" s="6"/>
    </row>
    <row r="1414" spans="7:7" x14ac:dyDescent="0.25">
      <c r="G1414" s="6"/>
    </row>
    <row r="1415" spans="7:7" x14ac:dyDescent="0.25">
      <c r="G1415" s="6"/>
    </row>
    <row r="1416" spans="7:7" x14ac:dyDescent="0.25">
      <c r="G1416" s="6"/>
    </row>
    <row r="1417" spans="7:7" x14ac:dyDescent="0.25">
      <c r="G1417" s="6"/>
    </row>
    <row r="1418" spans="7:7" x14ac:dyDescent="0.25">
      <c r="G1418" s="6"/>
    </row>
    <row r="1419" spans="7:7" x14ac:dyDescent="0.25">
      <c r="G1419" s="6"/>
    </row>
    <row r="1420" spans="7:7" x14ac:dyDescent="0.25">
      <c r="G1420" s="6"/>
    </row>
    <row r="1421" spans="7:7" x14ac:dyDescent="0.25">
      <c r="G1421" s="6"/>
    </row>
    <row r="1422" spans="7:7" x14ac:dyDescent="0.25">
      <c r="G1422" s="6"/>
    </row>
    <row r="1423" spans="7:7" x14ac:dyDescent="0.25">
      <c r="G1423" s="6"/>
    </row>
    <row r="1424" spans="7:7" x14ac:dyDescent="0.25">
      <c r="G1424" s="6"/>
    </row>
    <row r="1425" spans="7:7" x14ac:dyDescent="0.25">
      <c r="G1425" s="6"/>
    </row>
    <row r="1426" spans="7:7" x14ac:dyDescent="0.25">
      <c r="G1426" s="6"/>
    </row>
    <row r="1427" spans="7:7" x14ac:dyDescent="0.25">
      <c r="G1427" s="6"/>
    </row>
    <row r="1428" spans="7:7" x14ac:dyDescent="0.25">
      <c r="G1428" s="6"/>
    </row>
    <row r="1429" spans="7:7" x14ac:dyDescent="0.25">
      <c r="G1429" s="6"/>
    </row>
    <row r="1430" spans="7:7" x14ac:dyDescent="0.25">
      <c r="G1430" s="6"/>
    </row>
    <row r="1431" spans="7:7" x14ac:dyDescent="0.25">
      <c r="G1431" s="6"/>
    </row>
    <row r="1432" spans="7:7" x14ac:dyDescent="0.25">
      <c r="G1432" s="6"/>
    </row>
    <row r="1433" spans="7:7" x14ac:dyDescent="0.25">
      <c r="G1433" s="6"/>
    </row>
    <row r="1434" spans="7:7" x14ac:dyDescent="0.25">
      <c r="G1434" s="6"/>
    </row>
    <row r="1435" spans="7:7" x14ac:dyDescent="0.25">
      <c r="G1435" s="6"/>
    </row>
    <row r="1436" spans="7:7" x14ac:dyDescent="0.25">
      <c r="G1436" s="6"/>
    </row>
    <row r="1437" spans="7:7" x14ac:dyDescent="0.25">
      <c r="G1437" s="6"/>
    </row>
    <row r="1438" spans="7:7" x14ac:dyDescent="0.25">
      <c r="G1438" s="6"/>
    </row>
    <row r="1439" spans="7:7" x14ac:dyDescent="0.25">
      <c r="G1439" s="6"/>
    </row>
    <row r="1440" spans="7:7" x14ac:dyDescent="0.25">
      <c r="G1440" s="6"/>
    </row>
    <row r="1441" spans="7:7" x14ac:dyDescent="0.25">
      <c r="G1441" s="6"/>
    </row>
    <row r="1442" spans="7:7" x14ac:dyDescent="0.25">
      <c r="G1442" s="6"/>
    </row>
    <row r="1443" spans="7:7" x14ac:dyDescent="0.25">
      <c r="G1443" s="6"/>
    </row>
    <row r="1444" spans="7:7" x14ac:dyDescent="0.25">
      <c r="G1444" s="6"/>
    </row>
    <row r="1445" spans="7:7" x14ac:dyDescent="0.25">
      <c r="G1445" s="6"/>
    </row>
    <row r="1446" spans="7:7" x14ac:dyDescent="0.25">
      <c r="G1446" s="6"/>
    </row>
    <row r="1447" spans="7:7" x14ac:dyDescent="0.25">
      <c r="G1447" s="6"/>
    </row>
    <row r="1448" spans="7:7" x14ac:dyDescent="0.25">
      <c r="G1448" s="6"/>
    </row>
    <row r="1449" spans="7:7" x14ac:dyDescent="0.25">
      <c r="G1449" s="6"/>
    </row>
    <row r="1450" spans="7:7" x14ac:dyDescent="0.25">
      <c r="G1450" s="6"/>
    </row>
    <row r="1451" spans="7:7" x14ac:dyDescent="0.25">
      <c r="G1451" s="6"/>
    </row>
    <row r="1452" spans="7:7" x14ac:dyDescent="0.25">
      <c r="G1452" s="6"/>
    </row>
    <row r="1453" spans="7:7" x14ac:dyDescent="0.25">
      <c r="G1453" s="6"/>
    </row>
    <row r="1454" spans="7:7" x14ac:dyDescent="0.25">
      <c r="G1454" s="6"/>
    </row>
    <row r="1455" spans="7:7" x14ac:dyDescent="0.25">
      <c r="G1455" s="6"/>
    </row>
    <row r="1456" spans="7:7" x14ac:dyDescent="0.25">
      <c r="G1456" s="6"/>
    </row>
    <row r="1457" spans="7:7" x14ac:dyDescent="0.25">
      <c r="G1457" s="6"/>
    </row>
    <row r="1458" spans="7:7" x14ac:dyDescent="0.25">
      <c r="G1458" s="6"/>
    </row>
    <row r="1459" spans="7:7" x14ac:dyDescent="0.25">
      <c r="G1459" s="6"/>
    </row>
    <row r="1460" spans="7:7" x14ac:dyDescent="0.25">
      <c r="G1460" s="6"/>
    </row>
    <row r="1461" spans="7:7" x14ac:dyDescent="0.25">
      <c r="G1461" s="6"/>
    </row>
    <row r="1462" spans="7:7" x14ac:dyDescent="0.25">
      <c r="G1462" s="6"/>
    </row>
    <row r="1463" spans="7:7" x14ac:dyDescent="0.25">
      <c r="G1463" s="6"/>
    </row>
    <row r="1464" spans="7:7" x14ac:dyDescent="0.25">
      <c r="G1464" s="6"/>
    </row>
    <row r="1465" spans="7:7" x14ac:dyDescent="0.25">
      <c r="G1465" s="6"/>
    </row>
    <row r="1466" spans="7:7" x14ac:dyDescent="0.25">
      <c r="G1466" s="6"/>
    </row>
    <row r="1467" spans="7:7" x14ac:dyDescent="0.25">
      <c r="G1467" s="6"/>
    </row>
    <row r="1468" spans="7:7" x14ac:dyDescent="0.25">
      <c r="G1468" s="6"/>
    </row>
    <row r="1469" spans="7:7" x14ac:dyDescent="0.25">
      <c r="G1469" s="6"/>
    </row>
    <row r="1470" spans="7:7" x14ac:dyDescent="0.25">
      <c r="G1470" s="6"/>
    </row>
    <row r="1471" spans="7:7" x14ac:dyDescent="0.25">
      <c r="G1471" s="6"/>
    </row>
    <row r="1472" spans="7:7" x14ac:dyDescent="0.25">
      <c r="G1472" s="6"/>
    </row>
    <row r="1473" spans="7:7" x14ac:dyDescent="0.25">
      <c r="G1473" s="6"/>
    </row>
    <row r="1474" spans="7:7" x14ac:dyDescent="0.25">
      <c r="G1474" s="6"/>
    </row>
    <row r="1475" spans="7:7" x14ac:dyDescent="0.25">
      <c r="G1475" s="6"/>
    </row>
    <row r="1476" spans="7:7" x14ac:dyDescent="0.25">
      <c r="G1476" s="6"/>
    </row>
    <row r="1477" spans="7:7" x14ac:dyDescent="0.25">
      <c r="G1477" s="6"/>
    </row>
    <row r="1478" spans="7:7" x14ac:dyDescent="0.25">
      <c r="G1478" s="6"/>
    </row>
    <row r="1479" spans="7:7" x14ac:dyDescent="0.25">
      <c r="G1479" s="6"/>
    </row>
    <row r="1480" spans="7:7" x14ac:dyDescent="0.25">
      <c r="G1480" s="6"/>
    </row>
    <row r="1481" spans="7:7" x14ac:dyDescent="0.25">
      <c r="G1481" s="6"/>
    </row>
    <row r="1482" spans="7:7" x14ac:dyDescent="0.25">
      <c r="G1482" s="6"/>
    </row>
    <row r="1483" spans="7:7" x14ac:dyDescent="0.25">
      <c r="G1483" s="6"/>
    </row>
    <row r="1484" spans="7:7" x14ac:dyDescent="0.25">
      <c r="G1484" s="6"/>
    </row>
    <row r="1485" spans="7:7" x14ac:dyDescent="0.25">
      <c r="G1485" s="6"/>
    </row>
    <row r="1486" spans="7:7" x14ac:dyDescent="0.25">
      <c r="G1486" s="6"/>
    </row>
    <row r="1487" spans="7:7" x14ac:dyDescent="0.25">
      <c r="G1487" s="6"/>
    </row>
    <row r="1488" spans="7:7" x14ac:dyDescent="0.25">
      <c r="G1488" s="6"/>
    </row>
    <row r="1489" spans="7:7" x14ac:dyDescent="0.25">
      <c r="G1489" s="6"/>
    </row>
    <row r="1490" spans="7:7" x14ac:dyDescent="0.25">
      <c r="G1490" s="6"/>
    </row>
    <row r="1491" spans="7:7" x14ac:dyDescent="0.25">
      <c r="G1491" s="6"/>
    </row>
    <row r="1492" spans="7:7" x14ac:dyDescent="0.25">
      <c r="G1492" s="6"/>
    </row>
    <row r="1493" spans="7:7" x14ac:dyDescent="0.25">
      <c r="G1493" s="6"/>
    </row>
    <row r="1494" spans="7:7" x14ac:dyDescent="0.25">
      <c r="G1494" s="6"/>
    </row>
    <row r="1495" spans="7:7" x14ac:dyDescent="0.25">
      <c r="G1495" s="6"/>
    </row>
    <row r="1496" spans="7:7" x14ac:dyDescent="0.25">
      <c r="G1496" s="6"/>
    </row>
    <row r="1497" spans="7:7" x14ac:dyDescent="0.25">
      <c r="G1497" s="6"/>
    </row>
    <row r="1498" spans="7:7" x14ac:dyDescent="0.25">
      <c r="G1498" s="6"/>
    </row>
    <row r="1499" spans="7:7" x14ac:dyDescent="0.25">
      <c r="G1499" s="6"/>
    </row>
    <row r="1500" spans="7:7" x14ac:dyDescent="0.25">
      <c r="G1500" s="6"/>
    </row>
    <row r="1501" spans="7:7" x14ac:dyDescent="0.25">
      <c r="G1501" s="6"/>
    </row>
    <row r="1502" spans="7:7" x14ac:dyDescent="0.25">
      <c r="G1502" s="6"/>
    </row>
    <row r="1503" spans="7:7" x14ac:dyDescent="0.25">
      <c r="G1503" s="6"/>
    </row>
    <row r="1504" spans="7:7" x14ac:dyDescent="0.25">
      <c r="G1504" s="6"/>
    </row>
    <row r="1505" spans="7:7" x14ac:dyDescent="0.25">
      <c r="G1505" s="6"/>
    </row>
    <row r="1506" spans="7:7" x14ac:dyDescent="0.25">
      <c r="G1506" s="6"/>
    </row>
    <row r="1507" spans="7:7" x14ac:dyDescent="0.25">
      <c r="G1507" s="6"/>
    </row>
    <row r="1508" spans="7:7" x14ac:dyDescent="0.25">
      <c r="G1508" s="6"/>
    </row>
    <row r="1509" spans="7:7" x14ac:dyDescent="0.25">
      <c r="G1509" s="6"/>
    </row>
    <row r="1510" spans="7:7" x14ac:dyDescent="0.25">
      <c r="G1510" s="6"/>
    </row>
    <row r="1511" spans="7:7" x14ac:dyDescent="0.25">
      <c r="G1511" s="6"/>
    </row>
    <row r="1512" spans="7:7" x14ac:dyDescent="0.25">
      <c r="G1512" s="6"/>
    </row>
    <row r="1513" spans="7:7" x14ac:dyDescent="0.25">
      <c r="G1513" s="6"/>
    </row>
    <row r="1514" spans="7:7" x14ac:dyDescent="0.25">
      <c r="G1514" s="6"/>
    </row>
    <row r="1515" spans="7:7" x14ac:dyDescent="0.25">
      <c r="G1515" s="6"/>
    </row>
    <row r="1516" spans="7:7" x14ac:dyDescent="0.25">
      <c r="G1516" s="6"/>
    </row>
    <row r="1517" spans="7:7" x14ac:dyDescent="0.25">
      <c r="G1517" s="6"/>
    </row>
    <row r="1518" spans="7:7" x14ac:dyDescent="0.25">
      <c r="G1518" s="6"/>
    </row>
    <row r="1519" spans="7:7" x14ac:dyDescent="0.25">
      <c r="G1519" s="6"/>
    </row>
    <row r="1520" spans="7:7" x14ac:dyDescent="0.25">
      <c r="G1520" s="6"/>
    </row>
    <row r="1521" spans="7:7" x14ac:dyDescent="0.25">
      <c r="G1521" s="6"/>
    </row>
    <row r="1522" spans="7:7" x14ac:dyDescent="0.25">
      <c r="G1522" s="6"/>
    </row>
    <row r="1523" spans="7:7" x14ac:dyDescent="0.25">
      <c r="G1523" s="6"/>
    </row>
    <row r="1524" spans="7:7" x14ac:dyDescent="0.25">
      <c r="G1524" s="6"/>
    </row>
    <row r="1525" spans="7:7" x14ac:dyDescent="0.25">
      <c r="G1525" s="6"/>
    </row>
    <row r="1526" spans="7:7" x14ac:dyDescent="0.25">
      <c r="G1526" s="6"/>
    </row>
    <row r="1527" spans="7:7" x14ac:dyDescent="0.25">
      <c r="G1527" s="6"/>
    </row>
    <row r="1528" spans="7:7" x14ac:dyDescent="0.25">
      <c r="G1528" s="6"/>
    </row>
    <row r="1529" spans="7:7" x14ac:dyDescent="0.25">
      <c r="G1529" s="6"/>
    </row>
    <row r="1530" spans="7:7" x14ac:dyDescent="0.25">
      <c r="G1530" s="6"/>
    </row>
    <row r="1531" spans="7:7" x14ac:dyDescent="0.25">
      <c r="G1531" s="6"/>
    </row>
    <row r="1532" spans="7:7" x14ac:dyDescent="0.25">
      <c r="G1532" s="6"/>
    </row>
    <row r="1533" spans="7:7" x14ac:dyDescent="0.25">
      <c r="G1533" s="6"/>
    </row>
    <row r="1534" spans="7:7" x14ac:dyDescent="0.25">
      <c r="G1534" s="6"/>
    </row>
    <row r="1535" spans="7:7" x14ac:dyDescent="0.25">
      <c r="G1535" s="6"/>
    </row>
    <row r="1536" spans="7:7" x14ac:dyDescent="0.25">
      <c r="G1536" s="6"/>
    </row>
    <row r="1537" spans="7:7" x14ac:dyDescent="0.25">
      <c r="G1537" s="6"/>
    </row>
    <row r="1538" spans="7:7" x14ac:dyDescent="0.25">
      <c r="G1538" s="6"/>
    </row>
    <row r="1539" spans="7:7" x14ac:dyDescent="0.25">
      <c r="G1539" s="6"/>
    </row>
    <row r="1540" spans="7:7" x14ac:dyDescent="0.25">
      <c r="G1540" s="6"/>
    </row>
    <row r="1541" spans="7:7" x14ac:dyDescent="0.25">
      <c r="G1541" s="6"/>
    </row>
    <row r="1542" spans="7:7" x14ac:dyDescent="0.25">
      <c r="G1542" s="6"/>
    </row>
    <row r="1543" spans="7:7" x14ac:dyDescent="0.25">
      <c r="G1543" s="6"/>
    </row>
    <row r="1544" spans="7:7" x14ac:dyDescent="0.25">
      <c r="G1544" s="6"/>
    </row>
    <row r="1545" spans="7:7" x14ac:dyDescent="0.25">
      <c r="G1545" s="6"/>
    </row>
    <row r="1546" spans="7:7" x14ac:dyDescent="0.25">
      <c r="G1546" s="6"/>
    </row>
    <row r="1547" spans="7:7" x14ac:dyDescent="0.25">
      <c r="G1547" s="6"/>
    </row>
    <row r="1548" spans="7:7" x14ac:dyDescent="0.25">
      <c r="G1548" s="6"/>
    </row>
    <row r="1549" spans="7:7" x14ac:dyDescent="0.25">
      <c r="G1549" s="6"/>
    </row>
    <row r="1550" spans="7:7" x14ac:dyDescent="0.25">
      <c r="G1550" s="6"/>
    </row>
    <row r="1551" spans="7:7" x14ac:dyDescent="0.25">
      <c r="G1551" s="6"/>
    </row>
    <row r="1552" spans="7:7" x14ac:dyDescent="0.25">
      <c r="G1552" s="6"/>
    </row>
    <row r="1553" spans="7:7" x14ac:dyDescent="0.25">
      <c r="G1553" s="6"/>
    </row>
    <row r="1554" spans="7:7" x14ac:dyDescent="0.25">
      <c r="G1554" s="6"/>
    </row>
    <row r="1555" spans="7:7" x14ac:dyDescent="0.25">
      <c r="G1555" s="6"/>
    </row>
    <row r="1556" spans="7:7" x14ac:dyDescent="0.25">
      <c r="G1556" s="6"/>
    </row>
    <row r="1557" spans="7:7" x14ac:dyDescent="0.25">
      <c r="G1557" s="6"/>
    </row>
    <row r="1558" spans="7:7" x14ac:dyDescent="0.25">
      <c r="G1558" s="6"/>
    </row>
    <row r="1559" spans="7:7" x14ac:dyDescent="0.25">
      <c r="G1559" s="6"/>
    </row>
    <row r="1560" spans="7:7" x14ac:dyDescent="0.25">
      <c r="G1560" s="6"/>
    </row>
    <row r="1561" spans="7:7" x14ac:dyDescent="0.25">
      <c r="G1561" s="6"/>
    </row>
    <row r="1562" spans="7:7" x14ac:dyDescent="0.25">
      <c r="G1562" s="6"/>
    </row>
    <row r="1563" spans="7:7" x14ac:dyDescent="0.25">
      <c r="G1563" s="6"/>
    </row>
    <row r="1564" spans="7:7" x14ac:dyDescent="0.25">
      <c r="G1564" s="6"/>
    </row>
    <row r="1565" spans="7:7" x14ac:dyDescent="0.25">
      <c r="G1565" s="6"/>
    </row>
    <row r="1566" spans="7:7" x14ac:dyDescent="0.25">
      <c r="G1566" s="6"/>
    </row>
    <row r="1567" spans="7:7" x14ac:dyDescent="0.25">
      <c r="G1567" s="6"/>
    </row>
    <row r="1568" spans="7:7" x14ac:dyDescent="0.25">
      <c r="G1568" s="6"/>
    </row>
    <row r="1569" spans="7:7" x14ac:dyDescent="0.25">
      <c r="G1569" s="6"/>
    </row>
    <row r="1570" spans="7:7" x14ac:dyDescent="0.25">
      <c r="G1570" s="6"/>
    </row>
    <row r="1571" spans="7:7" x14ac:dyDescent="0.25">
      <c r="G1571" s="6"/>
    </row>
    <row r="1572" spans="7:7" x14ac:dyDescent="0.25">
      <c r="G1572" s="6"/>
    </row>
    <row r="1573" spans="7:7" x14ac:dyDescent="0.25">
      <c r="G1573" s="6"/>
    </row>
    <row r="1574" spans="7:7" x14ac:dyDescent="0.25">
      <c r="G1574" s="6"/>
    </row>
    <row r="1575" spans="7:7" x14ac:dyDescent="0.25">
      <c r="G1575" s="6"/>
    </row>
    <row r="1576" spans="7:7" x14ac:dyDescent="0.25">
      <c r="G1576" s="6"/>
    </row>
    <row r="1577" spans="7:7" x14ac:dyDescent="0.25">
      <c r="G1577" s="6"/>
    </row>
    <row r="1578" spans="7:7" x14ac:dyDescent="0.25">
      <c r="G1578" s="6"/>
    </row>
    <row r="1579" spans="7:7" x14ac:dyDescent="0.25">
      <c r="G1579" s="6"/>
    </row>
    <row r="1580" spans="7:7" x14ac:dyDescent="0.25">
      <c r="G1580" s="6"/>
    </row>
    <row r="1581" spans="7:7" x14ac:dyDescent="0.25">
      <c r="G1581" s="6"/>
    </row>
    <row r="1582" spans="7:7" x14ac:dyDescent="0.25">
      <c r="G1582" s="6"/>
    </row>
    <row r="1583" spans="7:7" x14ac:dyDescent="0.25">
      <c r="G1583" s="6"/>
    </row>
    <row r="1584" spans="7:7" x14ac:dyDescent="0.25">
      <c r="G1584" s="6"/>
    </row>
    <row r="1585" spans="7:7" x14ac:dyDescent="0.25">
      <c r="G1585" s="6"/>
    </row>
    <row r="1586" spans="7:7" x14ac:dyDescent="0.25">
      <c r="G1586" s="6"/>
    </row>
    <row r="1587" spans="7:7" x14ac:dyDescent="0.25">
      <c r="G1587" s="6"/>
    </row>
    <row r="1588" spans="7:7" x14ac:dyDescent="0.25">
      <c r="G1588" s="6"/>
    </row>
    <row r="1589" spans="7:7" x14ac:dyDescent="0.25">
      <c r="G1589" s="6"/>
    </row>
    <row r="1590" spans="7:7" x14ac:dyDescent="0.25">
      <c r="G1590" s="6"/>
    </row>
    <row r="1591" spans="7:7" x14ac:dyDescent="0.25">
      <c r="G1591" s="6"/>
    </row>
    <row r="1592" spans="7:7" x14ac:dyDescent="0.25">
      <c r="G1592" s="6"/>
    </row>
    <row r="1593" spans="7:7" x14ac:dyDescent="0.25">
      <c r="G1593" s="6"/>
    </row>
    <row r="1594" spans="7:7" x14ac:dyDescent="0.25">
      <c r="G1594" s="6"/>
    </row>
    <row r="1595" spans="7:7" x14ac:dyDescent="0.25">
      <c r="G1595" s="6"/>
    </row>
    <row r="1596" spans="7:7" x14ac:dyDescent="0.25">
      <c r="G1596" s="6"/>
    </row>
    <row r="1597" spans="7:7" x14ac:dyDescent="0.25">
      <c r="G1597" s="6"/>
    </row>
    <row r="1598" spans="7:7" x14ac:dyDescent="0.25">
      <c r="G1598" s="6"/>
    </row>
    <row r="1599" spans="7:7" x14ac:dyDescent="0.25">
      <c r="G1599" s="6"/>
    </row>
    <row r="1600" spans="7:7" x14ac:dyDescent="0.25">
      <c r="G1600" s="6"/>
    </row>
    <row r="1601" spans="7:7" x14ac:dyDescent="0.25">
      <c r="G1601" s="6"/>
    </row>
    <row r="1602" spans="7:7" x14ac:dyDescent="0.25">
      <c r="G1602" s="6"/>
    </row>
    <row r="1603" spans="7:7" x14ac:dyDescent="0.25">
      <c r="G1603" s="6"/>
    </row>
    <row r="1604" spans="7:7" x14ac:dyDescent="0.25">
      <c r="G1604" s="6"/>
    </row>
    <row r="1605" spans="7:7" x14ac:dyDescent="0.25">
      <c r="G1605" s="6"/>
    </row>
    <row r="1606" spans="7:7" x14ac:dyDescent="0.25">
      <c r="G1606" s="6"/>
    </row>
    <row r="1607" spans="7:7" x14ac:dyDescent="0.25">
      <c r="G1607" s="6"/>
    </row>
    <row r="1608" spans="7:7" x14ac:dyDescent="0.25">
      <c r="G1608" s="6"/>
    </row>
    <row r="1609" spans="7:7" x14ac:dyDescent="0.25">
      <c r="G1609" s="6"/>
    </row>
    <row r="1610" spans="7:7" x14ac:dyDescent="0.25">
      <c r="G1610" s="6"/>
    </row>
    <row r="1611" spans="7:7" x14ac:dyDescent="0.25">
      <c r="G1611" s="6"/>
    </row>
    <row r="1612" spans="7:7" x14ac:dyDescent="0.25">
      <c r="G1612" s="6"/>
    </row>
    <row r="1613" spans="7:7" x14ac:dyDescent="0.25">
      <c r="G1613" s="6"/>
    </row>
    <row r="1614" spans="7:7" x14ac:dyDescent="0.25">
      <c r="G1614" s="6"/>
    </row>
    <row r="1615" spans="7:7" x14ac:dyDescent="0.25">
      <c r="G1615" s="6"/>
    </row>
    <row r="1616" spans="7:7" x14ac:dyDescent="0.25">
      <c r="G1616" s="6"/>
    </row>
    <row r="1617" spans="7:7" x14ac:dyDescent="0.25">
      <c r="G1617" s="6"/>
    </row>
    <row r="1618" spans="7:7" x14ac:dyDescent="0.25">
      <c r="G1618" s="6"/>
    </row>
    <row r="1619" spans="7:7" x14ac:dyDescent="0.25">
      <c r="G1619" s="6"/>
    </row>
    <row r="1620" spans="7:7" x14ac:dyDescent="0.25">
      <c r="G1620" s="6"/>
    </row>
    <row r="1621" spans="7:7" x14ac:dyDescent="0.25">
      <c r="G1621" s="6"/>
    </row>
    <row r="1622" spans="7:7" x14ac:dyDescent="0.25">
      <c r="G1622" s="6"/>
    </row>
    <row r="1623" spans="7:7" x14ac:dyDescent="0.25">
      <c r="G1623" s="6"/>
    </row>
    <row r="1624" spans="7:7" x14ac:dyDescent="0.25">
      <c r="G1624" s="6"/>
    </row>
    <row r="1625" spans="7:7" x14ac:dyDescent="0.25">
      <c r="G1625" s="6"/>
    </row>
    <row r="1626" spans="7:7" x14ac:dyDescent="0.25">
      <c r="G1626" s="6"/>
    </row>
    <row r="1627" spans="7:7" x14ac:dyDescent="0.25">
      <c r="G1627" s="6"/>
    </row>
    <row r="1628" spans="7:7" x14ac:dyDescent="0.25">
      <c r="G1628" s="6"/>
    </row>
    <row r="1629" spans="7:7" x14ac:dyDescent="0.25">
      <c r="G1629" s="6"/>
    </row>
    <row r="1630" spans="7:7" x14ac:dyDescent="0.25">
      <c r="G1630" s="6"/>
    </row>
    <row r="1631" spans="7:7" x14ac:dyDescent="0.25">
      <c r="G1631" s="6"/>
    </row>
    <row r="1632" spans="7:7" x14ac:dyDescent="0.25">
      <c r="G1632" s="6"/>
    </row>
    <row r="1633" spans="7:7" x14ac:dyDescent="0.25">
      <c r="G1633" s="6"/>
    </row>
    <row r="1634" spans="7:7" x14ac:dyDescent="0.25">
      <c r="G1634" s="6"/>
    </row>
    <row r="1635" spans="7:7" x14ac:dyDescent="0.25">
      <c r="G1635" s="6"/>
    </row>
    <row r="1636" spans="7:7" x14ac:dyDescent="0.25">
      <c r="G1636" s="6"/>
    </row>
    <row r="1637" spans="7:7" x14ac:dyDescent="0.25">
      <c r="G1637" s="6"/>
    </row>
    <row r="1638" spans="7:7" x14ac:dyDescent="0.25">
      <c r="G1638" s="6"/>
    </row>
    <row r="1639" spans="7:7" x14ac:dyDescent="0.25">
      <c r="G1639" s="6"/>
    </row>
    <row r="1640" spans="7:7" x14ac:dyDescent="0.25">
      <c r="G1640" s="6"/>
    </row>
    <row r="1641" spans="7:7" x14ac:dyDescent="0.25">
      <c r="G1641" s="6"/>
    </row>
    <row r="1642" spans="7:7" x14ac:dyDescent="0.25">
      <c r="G1642" s="6"/>
    </row>
    <row r="1643" spans="7:7" x14ac:dyDescent="0.25">
      <c r="G1643" s="6"/>
    </row>
    <row r="1644" spans="7:7" x14ac:dyDescent="0.25">
      <c r="G1644" s="6"/>
    </row>
    <row r="1645" spans="7:7" x14ac:dyDescent="0.25">
      <c r="G1645" s="6"/>
    </row>
    <row r="1646" spans="7:7" x14ac:dyDescent="0.25">
      <c r="G1646" s="6"/>
    </row>
    <row r="1647" spans="7:7" x14ac:dyDescent="0.25">
      <c r="G1647" s="6"/>
    </row>
    <row r="1648" spans="7:7" x14ac:dyDescent="0.25">
      <c r="G1648" s="6"/>
    </row>
    <row r="1649" spans="7:7" x14ac:dyDescent="0.25">
      <c r="G1649" s="6"/>
    </row>
    <row r="1650" spans="7:7" x14ac:dyDescent="0.25">
      <c r="G1650" s="6"/>
    </row>
    <row r="1651" spans="7:7" x14ac:dyDescent="0.25">
      <c r="G1651" s="6"/>
    </row>
    <row r="1652" spans="7:7" x14ac:dyDescent="0.25">
      <c r="G1652" s="6"/>
    </row>
    <row r="1653" spans="7:7" x14ac:dyDescent="0.25">
      <c r="G1653" s="6"/>
    </row>
    <row r="1654" spans="7:7" x14ac:dyDescent="0.25">
      <c r="G1654" s="6"/>
    </row>
    <row r="1655" spans="7:7" x14ac:dyDescent="0.25">
      <c r="G1655" s="6"/>
    </row>
    <row r="1656" spans="7:7" x14ac:dyDescent="0.25">
      <c r="G1656" s="6"/>
    </row>
    <row r="1657" spans="7:7" x14ac:dyDescent="0.25">
      <c r="G1657" s="6"/>
    </row>
    <row r="1658" spans="7:7" x14ac:dyDescent="0.25">
      <c r="G1658" s="6"/>
    </row>
    <row r="1659" spans="7:7" x14ac:dyDescent="0.25">
      <c r="G1659" s="6"/>
    </row>
    <row r="1660" spans="7:7" x14ac:dyDescent="0.25">
      <c r="G1660" s="6"/>
    </row>
    <row r="1661" spans="7:7" x14ac:dyDescent="0.25">
      <c r="G1661" s="6"/>
    </row>
    <row r="1662" spans="7:7" x14ac:dyDescent="0.25">
      <c r="G1662" s="6"/>
    </row>
    <row r="1663" spans="7:7" x14ac:dyDescent="0.25">
      <c r="G1663" s="6"/>
    </row>
    <row r="1664" spans="7:7" x14ac:dyDescent="0.25">
      <c r="G1664" s="6"/>
    </row>
    <row r="1665" spans="7:7" x14ac:dyDescent="0.25">
      <c r="G1665" s="6"/>
    </row>
    <row r="1666" spans="7:7" x14ac:dyDescent="0.25">
      <c r="G1666" s="6"/>
    </row>
    <row r="1667" spans="7:7" x14ac:dyDescent="0.25">
      <c r="G1667" s="6"/>
    </row>
    <row r="1668" spans="7:7" x14ac:dyDescent="0.25">
      <c r="G1668" s="6"/>
    </row>
    <row r="1669" spans="7:7" x14ac:dyDescent="0.25">
      <c r="G1669" s="6"/>
    </row>
    <row r="1670" spans="7:7" x14ac:dyDescent="0.25">
      <c r="G1670" s="6"/>
    </row>
    <row r="1671" spans="7:7" x14ac:dyDescent="0.25">
      <c r="G1671" s="6"/>
    </row>
    <row r="1672" spans="7:7" x14ac:dyDescent="0.25">
      <c r="G1672" s="6"/>
    </row>
    <row r="1673" spans="7:7" x14ac:dyDescent="0.25">
      <c r="G1673" s="6"/>
    </row>
    <row r="1674" spans="7:7" x14ac:dyDescent="0.25">
      <c r="G1674" s="6"/>
    </row>
    <row r="1675" spans="7:7" x14ac:dyDescent="0.25">
      <c r="G1675" s="6"/>
    </row>
    <row r="1676" spans="7:7" x14ac:dyDescent="0.25">
      <c r="G1676" s="6"/>
    </row>
    <row r="1677" spans="7:7" x14ac:dyDescent="0.25">
      <c r="G1677" s="6"/>
    </row>
    <row r="1678" spans="7:7" x14ac:dyDescent="0.25">
      <c r="G1678" s="6"/>
    </row>
    <row r="1679" spans="7:7" x14ac:dyDescent="0.25">
      <c r="G1679" s="6"/>
    </row>
    <row r="1680" spans="7:7" x14ac:dyDescent="0.25">
      <c r="G1680" s="6"/>
    </row>
    <row r="1681" spans="7:7" x14ac:dyDescent="0.25">
      <c r="G1681" s="6"/>
    </row>
    <row r="1682" spans="7:7" x14ac:dyDescent="0.25">
      <c r="G1682" s="6"/>
    </row>
    <row r="1683" spans="7:7" x14ac:dyDescent="0.25">
      <c r="G1683" s="6"/>
    </row>
    <row r="1684" spans="7:7" x14ac:dyDescent="0.25">
      <c r="G1684" s="6"/>
    </row>
    <row r="1685" spans="7:7" x14ac:dyDescent="0.25">
      <c r="G1685" s="6"/>
    </row>
    <row r="1686" spans="7:7" x14ac:dyDescent="0.25">
      <c r="G1686" s="6"/>
    </row>
    <row r="1687" spans="7:7" x14ac:dyDescent="0.25">
      <c r="G1687" s="6"/>
    </row>
    <row r="1688" spans="7:7" x14ac:dyDescent="0.25">
      <c r="G1688" s="6"/>
    </row>
    <row r="1689" spans="7:7" x14ac:dyDescent="0.25">
      <c r="G1689" s="6"/>
    </row>
    <row r="1690" spans="7:7" x14ac:dyDescent="0.25">
      <c r="G1690" s="6"/>
    </row>
    <row r="1691" spans="7:7" x14ac:dyDescent="0.25">
      <c r="G1691" s="6"/>
    </row>
    <row r="1692" spans="7:7" x14ac:dyDescent="0.25">
      <c r="G1692" s="6"/>
    </row>
    <row r="1693" spans="7:7" x14ac:dyDescent="0.25">
      <c r="G1693" s="6"/>
    </row>
    <row r="1694" spans="7:7" x14ac:dyDescent="0.25">
      <c r="G1694" s="6"/>
    </row>
    <row r="1695" spans="7:7" x14ac:dyDescent="0.25">
      <c r="G1695" s="6"/>
    </row>
    <row r="1696" spans="7:7" x14ac:dyDescent="0.25">
      <c r="G1696" s="6"/>
    </row>
    <row r="1697" spans="7:7" x14ac:dyDescent="0.25">
      <c r="G1697" s="6"/>
    </row>
    <row r="1698" spans="7:7" x14ac:dyDescent="0.25">
      <c r="G1698" s="6"/>
    </row>
    <row r="1699" spans="7:7" x14ac:dyDescent="0.25">
      <c r="G1699" s="6"/>
    </row>
    <row r="1700" spans="7:7" x14ac:dyDescent="0.25">
      <c r="G1700" s="6"/>
    </row>
    <row r="1701" spans="7:7" x14ac:dyDescent="0.25">
      <c r="G1701" s="6"/>
    </row>
    <row r="1702" spans="7:7" x14ac:dyDescent="0.25">
      <c r="G1702" s="6"/>
    </row>
    <row r="1703" spans="7:7" x14ac:dyDescent="0.25">
      <c r="G1703" s="6"/>
    </row>
    <row r="1704" spans="7:7" x14ac:dyDescent="0.25">
      <c r="G1704" s="6"/>
    </row>
    <row r="1705" spans="7:7" x14ac:dyDescent="0.25">
      <c r="G1705" s="6"/>
    </row>
    <row r="1706" spans="7:7" x14ac:dyDescent="0.25">
      <c r="G1706" s="6"/>
    </row>
    <row r="1707" spans="7:7" x14ac:dyDescent="0.25">
      <c r="G1707" s="6"/>
    </row>
    <row r="1708" spans="7:7" x14ac:dyDescent="0.25">
      <c r="G1708" s="6"/>
    </row>
    <row r="1709" spans="7:7" x14ac:dyDescent="0.25">
      <c r="G1709" s="6"/>
    </row>
    <row r="1710" spans="7:7" x14ac:dyDescent="0.25">
      <c r="G1710" s="6"/>
    </row>
    <row r="1711" spans="7:7" x14ac:dyDescent="0.25">
      <c r="G1711" s="6"/>
    </row>
    <row r="1712" spans="7:7" x14ac:dyDescent="0.25">
      <c r="G1712" s="6"/>
    </row>
    <row r="1713" spans="7:7" x14ac:dyDescent="0.25">
      <c r="G1713" s="6"/>
    </row>
    <row r="1714" spans="7:7" x14ac:dyDescent="0.25">
      <c r="G1714" s="6"/>
    </row>
    <row r="1715" spans="7:7" x14ac:dyDescent="0.25">
      <c r="G1715" s="6"/>
    </row>
    <row r="1716" spans="7:7" x14ac:dyDescent="0.25">
      <c r="G1716" s="6"/>
    </row>
    <row r="1717" spans="7:7" x14ac:dyDescent="0.25">
      <c r="G1717" s="6"/>
    </row>
    <row r="1718" spans="7:7" x14ac:dyDescent="0.25">
      <c r="G1718" s="6"/>
    </row>
    <row r="1719" spans="7:7" x14ac:dyDescent="0.25">
      <c r="G1719" s="6"/>
    </row>
    <row r="1720" spans="7:7" x14ac:dyDescent="0.25">
      <c r="G1720" s="6"/>
    </row>
    <row r="1721" spans="7:7" x14ac:dyDescent="0.25">
      <c r="G1721" s="6"/>
    </row>
    <row r="1722" spans="7:7" x14ac:dyDescent="0.25">
      <c r="G1722" s="6"/>
    </row>
    <row r="1723" spans="7:7" x14ac:dyDescent="0.25">
      <c r="G1723" s="6"/>
    </row>
    <row r="1724" spans="7:7" x14ac:dyDescent="0.25">
      <c r="G1724" s="6"/>
    </row>
    <row r="1725" spans="7:7" x14ac:dyDescent="0.25">
      <c r="G1725" s="6"/>
    </row>
    <row r="1726" spans="7:7" x14ac:dyDescent="0.25">
      <c r="G1726" s="6"/>
    </row>
    <row r="1727" spans="7:7" x14ac:dyDescent="0.25">
      <c r="G1727" s="6"/>
    </row>
    <row r="1728" spans="7:7" x14ac:dyDescent="0.25">
      <c r="G1728" s="6"/>
    </row>
    <row r="1729" spans="7:7" x14ac:dyDescent="0.25">
      <c r="G1729" s="6"/>
    </row>
    <row r="1730" spans="7:7" x14ac:dyDescent="0.25">
      <c r="G1730" s="6"/>
    </row>
    <row r="1731" spans="7:7" x14ac:dyDescent="0.25">
      <c r="G1731" s="6"/>
    </row>
    <row r="1732" spans="7:7" x14ac:dyDescent="0.25">
      <c r="G1732" s="6"/>
    </row>
    <row r="1733" spans="7:7" x14ac:dyDescent="0.25">
      <c r="G1733" s="6"/>
    </row>
    <row r="1734" spans="7:7" x14ac:dyDescent="0.25">
      <c r="G1734" s="6"/>
    </row>
    <row r="1735" spans="7:7" x14ac:dyDescent="0.25">
      <c r="G1735" s="6"/>
    </row>
    <row r="1736" spans="7:7" x14ac:dyDescent="0.25">
      <c r="G1736" s="6"/>
    </row>
    <row r="1737" spans="7:7" x14ac:dyDescent="0.25">
      <c r="G1737" s="6"/>
    </row>
    <row r="1738" spans="7:7" x14ac:dyDescent="0.25">
      <c r="G1738" s="6"/>
    </row>
    <row r="1739" spans="7:7" x14ac:dyDescent="0.25">
      <c r="G1739" s="6"/>
    </row>
    <row r="1740" spans="7:7" x14ac:dyDescent="0.25">
      <c r="G1740" s="6"/>
    </row>
    <row r="1741" spans="7:7" x14ac:dyDescent="0.25">
      <c r="G1741" s="6"/>
    </row>
    <row r="1742" spans="7:7" x14ac:dyDescent="0.25">
      <c r="G1742" s="6"/>
    </row>
    <row r="1743" spans="7:7" x14ac:dyDescent="0.25">
      <c r="G1743" s="6"/>
    </row>
    <row r="1744" spans="7:7" x14ac:dyDescent="0.25">
      <c r="G1744" s="6"/>
    </row>
    <row r="1745" spans="7:7" x14ac:dyDescent="0.25">
      <c r="G1745" s="6"/>
    </row>
    <row r="1746" spans="7:7" x14ac:dyDescent="0.25">
      <c r="G1746" s="6"/>
    </row>
    <row r="1747" spans="7:7" x14ac:dyDescent="0.25">
      <c r="G1747" s="6"/>
    </row>
    <row r="1748" spans="7:7" x14ac:dyDescent="0.25">
      <c r="G1748" s="6"/>
    </row>
    <row r="1749" spans="7:7" x14ac:dyDescent="0.25">
      <c r="G1749" s="6"/>
    </row>
    <row r="1750" spans="7:7" x14ac:dyDescent="0.25">
      <c r="G1750" s="6"/>
    </row>
    <row r="1751" spans="7:7" x14ac:dyDescent="0.25">
      <c r="G1751" s="6"/>
    </row>
    <row r="1752" spans="7:7" x14ac:dyDescent="0.25">
      <c r="G1752" s="6"/>
    </row>
    <row r="1753" spans="7:7" x14ac:dyDescent="0.25">
      <c r="G1753" s="6"/>
    </row>
    <row r="1754" spans="7:7" x14ac:dyDescent="0.25">
      <c r="G1754" s="6"/>
    </row>
    <row r="1755" spans="7:7" x14ac:dyDescent="0.25">
      <c r="G1755" s="6"/>
    </row>
    <row r="1756" spans="7:7" x14ac:dyDescent="0.25">
      <c r="G1756" s="6"/>
    </row>
    <row r="1757" spans="7:7" x14ac:dyDescent="0.25">
      <c r="G1757" s="6"/>
    </row>
    <row r="1758" spans="7:7" x14ac:dyDescent="0.25">
      <c r="G1758" s="6"/>
    </row>
    <row r="1759" spans="7:7" x14ac:dyDescent="0.25">
      <c r="G1759" s="6"/>
    </row>
    <row r="1760" spans="7:7" x14ac:dyDescent="0.25">
      <c r="G1760" s="6"/>
    </row>
    <row r="1761" spans="7:7" x14ac:dyDescent="0.25">
      <c r="G1761" s="6"/>
    </row>
    <row r="1762" spans="7:7" x14ac:dyDescent="0.25">
      <c r="G1762" s="6"/>
    </row>
    <row r="1763" spans="7:7" x14ac:dyDescent="0.25">
      <c r="G1763" s="6"/>
    </row>
    <row r="1764" spans="7:7" x14ac:dyDescent="0.25">
      <c r="G1764" s="6"/>
    </row>
    <row r="1765" spans="7:7" x14ac:dyDescent="0.25">
      <c r="G1765" s="6"/>
    </row>
    <row r="1766" spans="7:7" x14ac:dyDescent="0.25">
      <c r="G1766" s="6"/>
    </row>
    <row r="1767" spans="7:7" x14ac:dyDescent="0.25">
      <c r="G1767" s="6"/>
    </row>
    <row r="1768" spans="7:7" x14ac:dyDescent="0.25">
      <c r="G1768" s="6"/>
    </row>
    <row r="1769" spans="7:7" x14ac:dyDescent="0.25">
      <c r="G1769" s="6"/>
    </row>
    <row r="1770" spans="7:7" x14ac:dyDescent="0.25">
      <c r="G1770" s="6"/>
    </row>
    <row r="1771" spans="7:7" x14ac:dyDescent="0.25">
      <c r="G1771" s="6"/>
    </row>
    <row r="1772" spans="7:7" x14ac:dyDescent="0.25">
      <c r="G1772" s="6"/>
    </row>
    <row r="1773" spans="7:7" x14ac:dyDescent="0.25">
      <c r="G1773" s="6"/>
    </row>
    <row r="1774" spans="7:7" x14ac:dyDescent="0.25">
      <c r="G1774" s="6"/>
    </row>
    <row r="1775" spans="7:7" x14ac:dyDescent="0.25">
      <c r="G1775" s="6"/>
    </row>
    <row r="1776" spans="7:7" x14ac:dyDescent="0.25">
      <c r="G1776" s="6"/>
    </row>
    <row r="1777" spans="7:7" x14ac:dyDescent="0.25">
      <c r="G1777" s="6"/>
    </row>
    <row r="1778" spans="7:7" x14ac:dyDescent="0.25">
      <c r="G1778" s="6"/>
    </row>
    <row r="1779" spans="7:7" x14ac:dyDescent="0.25">
      <c r="G1779" s="6"/>
    </row>
    <row r="1780" spans="7:7" x14ac:dyDescent="0.25">
      <c r="G1780" s="6"/>
    </row>
    <row r="1781" spans="7:7" x14ac:dyDescent="0.25">
      <c r="G1781" s="6"/>
    </row>
    <row r="1782" spans="7:7" x14ac:dyDescent="0.25">
      <c r="G1782" s="6"/>
    </row>
    <row r="1783" spans="7:7" x14ac:dyDescent="0.25">
      <c r="G1783" s="6"/>
    </row>
    <row r="1784" spans="7:7" x14ac:dyDescent="0.25">
      <c r="G1784" s="6"/>
    </row>
    <row r="1785" spans="7:7" x14ac:dyDescent="0.25">
      <c r="G1785" s="6"/>
    </row>
    <row r="1786" spans="7:7" x14ac:dyDescent="0.25">
      <c r="G1786" s="6"/>
    </row>
    <row r="1787" spans="7:7" x14ac:dyDescent="0.25">
      <c r="G1787" s="6"/>
    </row>
    <row r="1788" spans="7:7" x14ac:dyDescent="0.25">
      <c r="G1788" s="6"/>
    </row>
    <row r="1789" spans="7:7" x14ac:dyDescent="0.25">
      <c r="G1789" s="6"/>
    </row>
    <row r="1790" spans="7:7" x14ac:dyDescent="0.25">
      <c r="G1790" s="6"/>
    </row>
    <row r="1791" spans="7:7" x14ac:dyDescent="0.25">
      <c r="G1791" s="6"/>
    </row>
    <row r="1792" spans="7:7" x14ac:dyDescent="0.25">
      <c r="G1792" s="6"/>
    </row>
    <row r="1793" spans="7:7" x14ac:dyDescent="0.25">
      <c r="G1793" s="6"/>
    </row>
    <row r="1794" spans="7:7" x14ac:dyDescent="0.25">
      <c r="G1794" s="6"/>
    </row>
    <row r="1795" spans="7:7" x14ac:dyDescent="0.25">
      <c r="G1795" s="6"/>
    </row>
    <row r="1796" spans="7:7" x14ac:dyDescent="0.25">
      <c r="G1796" s="6"/>
    </row>
    <row r="1797" spans="7:7" x14ac:dyDescent="0.25">
      <c r="G1797" s="6"/>
    </row>
    <row r="1798" spans="7:7" x14ac:dyDescent="0.25">
      <c r="G1798" s="6"/>
    </row>
    <row r="1799" spans="7:7" x14ac:dyDescent="0.25">
      <c r="G1799" s="6"/>
    </row>
    <row r="1800" spans="7:7" x14ac:dyDescent="0.25">
      <c r="G1800" s="6"/>
    </row>
    <row r="1801" spans="7:7" x14ac:dyDescent="0.25">
      <c r="G1801" s="6"/>
    </row>
    <row r="1802" spans="7:7" x14ac:dyDescent="0.25">
      <c r="G1802" s="6"/>
    </row>
    <row r="1803" spans="7:7" x14ac:dyDescent="0.25">
      <c r="G1803" s="6"/>
    </row>
    <row r="1804" spans="7:7" x14ac:dyDescent="0.25">
      <c r="G1804" s="6"/>
    </row>
    <row r="1805" spans="7:7" x14ac:dyDescent="0.25">
      <c r="G1805" s="6"/>
    </row>
    <row r="1806" spans="7:7" x14ac:dyDescent="0.25">
      <c r="G1806" s="6"/>
    </row>
    <row r="1807" spans="7:7" x14ac:dyDescent="0.25">
      <c r="G1807" s="6"/>
    </row>
    <row r="1808" spans="7:7" x14ac:dyDescent="0.25">
      <c r="G1808" s="6"/>
    </row>
    <row r="1809" spans="7:7" x14ac:dyDescent="0.25">
      <c r="G1809" s="6"/>
    </row>
    <row r="1810" spans="7:7" x14ac:dyDescent="0.25">
      <c r="G1810" s="6"/>
    </row>
    <row r="1811" spans="7:7" x14ac:dyDescent="0.25">
      <c r="G1811" s="6"/>
    </row>
    <row r="1812" spans="7:7" x14ac:dyDescent="0.25">
      <c r="G1812" s="6"/>
    </row>
    <row r="1813" spans="7:7" x14ac:dyDescent="0.25">
      <c r="G1813" s="6"/>
    </row>
    <row r="1814" spans="7:7" x14ac:dyDescent="0.25">
      <c r="G1814" s="6"/>
    </row>
    <row r="1815" spans="7:7" x14ac:dyDescent="0.25">
      <c r="G1815" s="6"/>
    </row>
    <row r="1816" spans="7:7" x14ac:dyDescent="0.25">
      <c r="G1816" s="6"/>
    </row>
    <row r="1817" spans="7:7" x14ac:dyDescent="0.25">
      <c r="G1817" s="6"/>
    </row>
    <row r="1818" spans="7:7" x14ac:dyDescent="0.25">
      <c r="G1818" s="6"/>
    </row>
    <row r="1819" spans="7:7" x14ac:dyDescent="0.25">
      <c r="G1819" s="6"/>
    </row>
    <row r="1820" spans="7:7" x14ac:dyDescent="0.25">
      <c r="G1820" s="6"/>
    </row>
    <row r="1821" spans="7:7" x14ac:dyDescent="0.25">
      <c r="G1821" s="6"/>
    </row>
    <row r="1822" spans="7:7" x14ac:dyDescent="0.25">
      <c r="G1822" s="6"/>
    </row>
    <row r="1823" spans="7:7" x14ac:dyDescent="0.25">
      <c r="G1823" s="6"/>
    </row>
    <row r="1824" spans="7:7" x14ac:dyDescent="0.25">
      <c r="G1824" s="6"/>
    </row>
    <row r="1825" spans="7:7" x14ac:dyDescent="0.25">
      <c r="G1825" s="6"/>
    </row>
    <row r="1826" spans="7:7" x14ac:dyDescent="0.25">
      <c r="G1826" s="6"/>
    </row>
    <row r="1827" spans="7:7" x14ac:dyDescent="0.25">
      <c r="G1827" s="6"/>
    </row>
    <row r="1828" spans="7:7" x14ac:dyDescent="0.25">
      <c r="G1828" s="6"/>
    </row>
    <row r="1829" spans="7:7" x14ac:dyDescent="0.25">
      <c r="G1829" s="6"/>
    </row>
    <row r="1830" spans="7:7" x14ac:dyDescent="0.25">
      <c r="G1830" s="6"/>
    </row>
    <row r="1831" spans="7:7" x14ac:dyDescent="0.25">
      <c r="G1831" s="6"/>
    </row>
    <row r="1832" spans="7:7" x14ac:dyDescent="0.25">
      <c r="G1832" s="6"/>
    </row>
    <row r="1833" spans="7:7" x14ac:dyDescent="0.25">
      <c r="G1833" s="6"/>
    </row>
    <row r="1834" spans="7:7" x14ac:dyDescent="0.25">
      <c r="G1834" s="6"/>
    </row>
    <row r="1835" spans="7:7" x14ac:dyDescent="0.25">
      <c r="G1835" s="6"/>
    </row>
    <row r="1836" spans="7:7" x14ac:dyDescent="0.25">
      <c r="G1836" s="6"/>
    </row>
    <row r="1837" spans="7:7" x14ac:dyDescent="0.25">
      <c r="G1837" s="6"/>
    </row>
    <row r="1838" spans="7:7" x14ac:dyDescent="0.25">
      <c r="G1838" s="6"/>
    </row>
    <row r="1839" spans="7:7" x14ac:dyDescent="0.25">
      <c r="G1839" s="6"/>
    </row>
    <row r="1840" spans="7:7" x14ac:dyDescent="0.25">
      <c r="G1840" s="6"/>
    </row>
    <row r="1841" spans="7:7" x14ac:dyDescent="0.25">
      <c r="G1841" s="6"/>
    </row>
    <row r="1842" spans="7:7" x14ac:dyDescent="0.25">
      <c r="G1842" s="6"/>
    </row>
    <row r="1843" spans="7:7" x14ac:dyDescent="0.25">
      <c r="G1843" s="6"/>
    </row>
    <row r="1844" spans="7:7" x14ac:dyDescent="0.25">
      <c r="G1844" s="6"/>
    </row>
    <row r="1845" spans="7:7" x14ac:dyDescent="0.25">
      <c r="G1845" s="6"/>
    </row>
    <row r="1846" spans="7:7" x14ac:dyDescent="0.25">
      <c r="G1846" s="6"/>
    </row>
    <row r="1847" spans="7:7" x14ac:dyDescent="0.25">
      <c r="G1847" s="6"/>
    </row>
    <row r="1848" spans="7:7" x14ac:dyDescent="0.25">
      <c r="G1848" s="6"/>
    </row>
    <row r="1849" spans="7:7" x14ac:dyDescent="0.25">
      <c r="G1849" s="6"/>
    </row>
    <row r="1850" spans="7:7" x14ac:dyDescent="0.25">
      <c r="G1850" s="6"/>
    </row>
    <row r="1851" spans="7:7" x14ac:dyDescent="0.25">
      <c r="G1851" s="6"/>
    </row>
    <row r="1852" spans="7:7" x14ac:dyDescent="0.25">
      <c r="G1852" s="6"/>
    </row>
    <row r="1853" spans="7:7" x14ac:dyDescent="0.25">
      <c r="G1853" s="6"/>
    </row>
    <row r="1854" spans="7:7" x14ac:dyDescent="0.25">
      <c r="G1854" s="6"/>
    </row>
    <row r="1855" spans="7:7" x14ac:dyDescent="0.25">
      <c r="G1855" s="6"/>
    </row>
    <row r="1856" spans="7:7" x14ac:dyDescent="0.25">
      <c r="G1856" s="6"/>
    </row>
    <row r="1857" spans="7:7" x14ac:dyDescent="0.25">
      <c r="G1857" s="6"/>
    </row>
    <row r="1858" spans="7:7" x14ac:dyDescent="0.25">
      <c r="G1858" s="6"/>
    </row>
    <row r="1859" spans="7:7" x14ac:dyDescent="0.25">
      <c r="G1859" s="6"/>
    </row>
    <row r="1860" spans="7:7" x14ac:dyDescent="0.25">
      <c r="G1860" s="6"/>
    </row>
    <row r="1861" spans="7:7" x14ac:dyDescent="0.25">
      <c r="G1861" s="6"/>
    </row>
    <row r="1862" spans="7:7" x14ac:dyDescent="0.25">
      <c r="G1862" s="6"/>
    </row>
    <row r="1863" spans="7:7" x14ac:dyDescent="0.25">
      <c r="G1863" s="6"/>
    </row>
    <row r="1864" spans="7:7" x14ac:dyDescent="0.25">
      <c r="G1864" s="6"/>
    </row>
    <row r="1865" spans="7:7" x14ac:dyDescent="0.25">
      <c r="G1865" s="6"/>
    </row>
    <row r="1866" spans="7:7" x14ac:dyDescent="0.25">
      <c r="G1866" s="6"/>
    </row>
    <row r="1867" spans="7:7" x14ac:dyDescent="0.25">
      <c r="G1867" s="6"/>
    </row>
    <row r="1868" spans="7:7" x14ac:dyDescent="0.25">
      <c r="G1868" s="6"/>
    </row>
    <row r="1869" spans="7:7" x14ac:dyDescent="0.25">
      <c r="G1869" s="6"/>
    </row>
    <row r="1870" spans="7:7" x14ac:dyDescent="0.25">
      <c r="G1870" s="6"/>
    </row>
    <row r="1871" spans="7:7" x14ac:dyDescent="0.25">
      <c r="G1871" s="6"/>
    </row>
    <row r="1872" spans="7:7" x14ac:dyDescent="0.25">
      <c r="G1872" s="6"/>
    </row>
    <row r="1873" spans="7:7" x14ac:dyDescent="0.25">
      <c r="G1873" s="6"/>
    </row>
    <row r="1874" spans="7:7" x14ac:dyDescent="0.25">
      <c r="G1874" s="6"/>
    </row>
    <row r="1875" spans="7:7" x14ac:dyDescent="0.25">
      <c r="G1875" s="6"/>
    </row>
    <row r="1876" spans="7:7" x14ac:dyDescent="0.25">
      <c r="G1876" s="6"/>
    </row>
    <row r="1877" spans="7:7" x14ac:dyDescent="0.25">
      <c r="G1877" s="6"/>
    </row>
    <row r="1878" spans="7:7" x14ac:dyDescent="0.25">
      <c r="G1878" s="6"/>
    </row>
    <row r="1879" spans="7:7" x14ac:dyDescent="0.25">
      <c r="G1879" s="6"/>
    </row>
    <row r="1880" spans="7:7" x14ac:dyDescent="0.25">
      <c r="G1880" s="6"/>
    </row>
    <row r="1881" spans="7:7" x14ac:dyDescent="0.25">
      <c r="G1881" s="6"/>
    </row>
    <row r="1882" spans="7:7" x14ac:dyDescent="0.25">
      <c r="G1882" s="6"/>
    </row>
    <row r="1883" spans="7:7" x14ac:dyDescent="0.25">
      <c r="G1883" s="6"/>
    </row>
    <row r="1884" spans="7:7" x14ac:dyDescent="0.25">
      <c r="G1884" s="6"/>
    </row>
    <row r="1885" spans="7:7" x14ac:dyDescent="0.25">
      <c r="G1885" s="6"/>
    </row>
    <row r="1886" spans="7:7" x14ac:dyDescent="0.25">
      <c r="G1886" s="6"/>
    </row>
    <row r="1887" spans="7:7" x14ac:dyDescent="0.25">
      <c r="G1887" s="6"/>
    </row>
    <row r="1888" spans="7:7" x14ac:dyDescent="0.25">
      <c r="G1888" s="6"/>
    </row>
    <row r="1889" spans="7:7" x14ac:dyDescent="0.25">
      <c r="G1889" s="6"/>
    </row>
    <row r="1890" spans="7:7" x14ac:dyDescent="0.25">
      <c r="G1890" s="6"/>
    </row>
    <row r="1891" spans="7:7" x14ac:dyDescent="0.25">
      <c r="G1891" s="6"/>
    </row>
    <row r="1892" spans="7:7" x14ac:dyDescent="0.25">
      <c r="G1892" s="6"/>
    </row>
    <row r="1893" spans="7:7" x14ac:dyDescent="0.25">
      <c r="G1893" s="6"/>
    </row>
    <row r="1894" spans="7:7" x14ac:dyDescent="0.25">
      <c r="G1894" s="6"/>
    </row>
    <row r="1895" spans="7:7" x14ac:dyDescent="0.25">
      <c r="G1895" s="6"/>
    </row>
    <row r="1896" spans="7:7" x14ac:dyDescent="0.25">
      <c r="G1896" s="6"/>
    </row>
    <row r="1897" spans="7:7" x14ac:dyDescent="0.25">
      <c r="G1897" s="6"/>
    </row>
    <row r="1898" spans="7:7" x14ac:dyDescent="0.25">
      <c r="G1898" s="6"/>
    </row>
    <row r="1899" spans="7:7" x14ac:dyDescent="0.25">
      <c r="G1899" s="6"/>
    </row>
    <row r="1900" spans="7:7" x14ac:dyDescent="0.25">
      <c r="G1900" s="6"/>
    </row>
    <row r="1901" spans="7:7" x14ac:dyDescent="0.25">
      <c r="G1901" s="6"/>
    </row>
    <row r="1902" spans="7:7" x14ac:dyDescent="0.25">
      <c r="G1902" s="6"/>
    </row>
    <row r="1903" spans="7:7" x14ac:dyDescent="0.25">
      <c r="G1903" s="6"/>
    </row>
    <row r="1904" spans="7:7" x14ac:dyDescent="0.25">
      <c r="G1904" s="6"/>
    </row>
    <row r="1905" spans="7:7" x14ac:dyDescent="0.25">
      <c r="G1905" s="6"/>
    </row>
    <row r="1906" spans="7:7" x14ac:dyDescent="0.25">
      <c r="G1906" s="6"/>
    </row>
    <row r="1907" spans="7:7" x14ac:dyDescent="0.25">
      <c r="G1907" s="6"/>
    </row>
    <row r="1908" spans="7:7" x14ac:dyDescent="0.25">
      <c r="G1908" s="6"/>
    </row>
    <row r="1909" spans="7:7" x14ac:dyDescent="0.25">
      <c r="G1909" s="6"/>
    </row>
    <row r="1910" spans="7:7" x14ac:dyDescent="0.25">
      <c r="G1910" s="6"/>
    </row>
    <row r="1911" spans="7:7" x14ac:dyDescent="0.25">
      <c r="G1911" s="6"/>
    </row>
    <row r="1912" spans="7:7" x14ac:dyDescent="0.25">
      <c r="G1912" s="6"/>
    </row>
    <row r="1913" spans="7:7" x14ac:dyDescent="0.25">
      <c r="G1913" s="6"/>
    </row>
    <row r="1914" spans="7:7" x14ac:dyDescent="0.25">
      <c r="G1914" s="6"/>
    </row>
    <row r="1915" spans="7:7" x14ac:dyDescent="0.25">
      <c r="G1915" s="6"/>
    </row>
    <row r="1916" spans="7:7" x14ac:dyDescent="0.25">
      <c r="G1916" s="6"/>
    </row>
    <row r="1917" spans="7:7" x14ac:dyDescent="0.25">
      <c r="G1917" s="6"/>
    </row>
    <row r="1918" spans="7:7" x14ac:dyDescent="0.25">
      <c r="G1918" s="6"/>
    </row>
    <row r="1919" spans="7:7" x14ac:dyDescent="0.25">
      <c r="G1919" s="6"/>
    </row>
    <row r="1920" spans="7:7" x14ac:dyDescent="0.25">
      <c r="G1920" s="6"/>
    </row>
    <row r="1921" spans="7:7" x14ac:dyDescent="0.25">
      <c r="G1921" s="6"/>
    </row>
    <row r="1922" spans="7:7" x14ac:dyDescent="0.25">
      <c r="G1922" s="6"/>
    </row>
    <row r="1923" spans="7:7" x14ac:dyDescent="0.25">
      <c r="G1923" s="6"/>
    </row>
    <row r="1924" spans="7:7" x14ac:dyDescent="0.25">
      <c r="G1924" s="6"/>
    </row>
    <row r="1925" spans="7:7" x14ac:dyDescent="0.25">
      <c r="G1925" s="6"/>
    </row>
    <row r="1926" spans="7:7" x14ac:dyDescent="0.25">
      <c r="G1926" s="6"/>
    </row>
    <row r="1927" spans="7:7" x14ac:dyDescent="0.25">
      <c r="G1927" s="6"/>
    </row>
    <row r="1928" spans="7:7" x14ac:dyDescent="0.25">
      <c r="G1928" s="6"/>
    </row>
    <row r="1929" spans="7:7" x14ac:dyDescent="0.25">
      <c r="G1929" s="6"/>
    </row>
    <row r="1930" spans="7:7" x14ac:dyDescent="0.25">
      <c r="G1930" s="6"/>
    </row>
    <row r="1931" spans="7:7" x14ac:dyDescent="0.25">
      <c r="G1931" s="6"/>
    </row>
    <row r="1932" spans="7:7" x14ac:dyDescent="0.25">
      <c r="G1932" s="6"/>
    </row>
    <row r="1933" spans="7:7" x14ac:dyDescent="0.25">
      <c r="G1933" s="6"/>
    </row>
    <row r="1934" spans="7:7" x14ac:dyDescent="0.25">
      <c r="G1934" s="6"/>
    </row>
    <row r="1935" spans="7:7" x14ac:dyDescent="0.25">
      <c r="G1935" s="6"/>
    </row>
    <row r="1936" spans="7:7" x14ac:dyDescent="0.25">
      <c r="G1936" s="6"/>
    </row>
    <row r="1937" spans="7:7" x14ac:dyDescent="0.25">
      <c r="G1937" s="6"/>
    </row>
    <row r="1938" spans="7:7" x14ac:dyDescent="0.25">
      <c r="G1938" s="6"/>
    </row>
    <row r="1939" spans="7:7" x14ac:dyDescent="0.25">
      <c r="G1939" s="6"/>
    </row>
    <row r="1940" spans="7:7" x14ac:dyDescent="0.25">
      <c r="G1940" s="6"/>
    </row>
    <row r="1941" spans="7:7" x14ac:dyDescent="0.25">
      <c r="G1941" s="6"/>
    </row>
    <row r="1942" spans="7:7" x14ac:dyDescent="0.25">
      <c r="G1942" s="6"/>
    </row>
    <row r="1943" spans="7:7" x14ac:dyDescent="0.25">
      <c r="G1943" s="6"/>
    </row>
    <row r="1944" spans="7:7" x14ac:dyDescent="0.25">
      <c r="G1944" s="6"/>
    </row>
    <row r="1945" spans="7:7" x14ac:dyDescent="0.25">
      <c r="G1945" s="6"/>
    </row>
    <row r="1946" spans="7:7" x14ac:dyDescent="0.25">
      <c r="G1946" s="6"/>
    </row>
    <row r="1947" spans="7:7" x14ac:dyDescent="0.25">
      <c r="G1947" s="6"/>
    </row>
    <row r="1948" spans="7:7" x14ac:dyDescent="0.25">
      <c r="G1948" s="6"/>
    </row>
    <row r="1949" spans="7:7" x14ac:dyDescent="0.25">
      <c r="G1949" s="6"/>
    </row>
    <row r="1950" spans="7:7" x14ac:dyDescent="0.25">
      <c r="G1950" s="6"/>
    </row>
    <row r="1951" spans="7:7" x14ac:dyDescent="0.25">
      <c r="G1951" s="6"/>
    </row>
    <row r="1952" spans="7:7" x14ac:dyDescent="0.25">
      <c r="G1952" s="6"/>
    </row>
    <row r="1953" spans="7:7" x14ac:dyDescent="0.25">
      <c r="G1953" s="6"/>
    </row>
    <row r="1954" spans="7:7" x14ac:dyDescent="0.25">
      <c r="G1954" s="6"/>
    </row>
    <row r="1955" spans="7:7" x14ac:dyDescent="0.25">
      <c r="G1955" s="6"/>
    </row>
    <row r="1956" spans="7:7" x14ac:dyDescent="0.25">
      <c r="G1956" s="6"/>
    </row>
    <row r="1957" spans="7:7" x14ac:dyDescent="0.25">
      <c r="G1957" s="6"/>
    </row>
    <row r="1958" spans="7:7" x14ac:dyDescent="0.25">
      <c r="G1958" s="6"/>
    </row>
    <row r="1959" spans="7:7" x14ac:dyDescent="0.25">
      <c r="G1959" s="6"/>
    </row>
    <row r="1960" spans="7:7" x14ac:dyDescent="0.25">
      <c r="G1960" s="6"/>
    </row>
    <row r="1961" spans="7:7" x14ac:dyDescent="0.25">
      <c r="G1961" s="6"/>
    </row>
    <row r="1962" spans="7:7" x14ac:dyDescent="0.25">
      <c r="G1962" s="6"/>
    </row>
    <row r="1963" spans="7:7" x14ac:dyDescent="0.25">
      <c r="G1963" s="6"/>
    </row>
    <row r="1964" spans="7:7" x14ac:dyDescent="0.25">
      <c r="G1964" s="6"/>
    </row>
    <row r="1965" spans="7:7" x14ac:dyDescent="0.25">
      <c r="G1965" s="6"/>
    </row>
    <row r="1966" spans="7:7" x14ac:dyDescent="0.25">
      <c r="G1966" s="6"/>
    </row>
    <row r="1967" spans="7:7" x14ac:dyDescent="0.25">
      <c r="G1967" s="6"/>
    </row>
    <row r="1968" spans="7:7" x14ac:dyDescent="0.25">
      <c r="G1968" s="6"/>
    </row>
    <row r="1969" spans="7:7" x14ac:dyDescent="0.25">
      <c r="G1969" s="6"/>
    </row>
    <row r="1970" spans="7:7" x14ac:dyDescent="0.25">
      <c r="G1970" s="6"/>
    </row>
    <row r="1971" spans="7:7" x14ac:dyDescent="0.25">
      <c r="G1971" s="6"/>
    </row>
    <row r="1972" spans="7:7" x14ac:dyDescent="0.25">
      <c r="G1972" s="6"/>
    </row>
    <row r="1973" spans="7:7" x14ac:dyDescent="0.25">
      <c r="G1973" s="6"/>
    </row>
    <row r="1974" spans="7:7" x14ac:dyDescent="0.25">
      <c r="G1974" s="6"/>
    </row>
    <row r="1975" spans="7:7" x14ac:dyDescent="0.25">
      <c r="G1975" s="6"/>
    </row>
    <row r="1976" spans="7:7" x14ac:dyDescent="0.25">
      <c r="G1976" s="6"/>
    </row>
    <row r="1977" spans="7:7" x14ac:dyDescent="0.25">
      <c r="G1977" s="6"/>
    </row>
    <row r="1978" spans="7:7" x14ac:dyDescent="0.25">
      <c r="G1978" s="6"/>
    </row>
    <row r="1979" spans="7:7" x14ac:dyDescent="0.25">
      <c r="G1979" s="6"/>
    </row>
    <row r="1980" spans="7:7" x14ac:dyDescent="0.25">
      <c r="G1980" s="6"/>
    </row>
    <row r="1981" spans="7:7" x14ac:dyDescent="0.25">
      <c r="G1981" s="6"/>
    </row>
    <row r="1982" spans="7:7" x14ac:dyDescent="0.25">
      <c r="G1982" s="6"/>
    </row>
    <row r="1983" spans="7:7" x14ac:dyDescent="0.25">
      <c r="G1983" s="6"/>
    </row>
    <row r="1984" spans="7:7" x14ac:dyDescent="0.25">
      <c r="G1984" s="6"/>
    </row>
    <row r="1985" spans="7:7" x14ac:dyDescent="0.25">
      <c r="G1985" s="6"/>
    </row>
    <row r="1986" spans="7:7" x14ac:dyDescent="0.25">
      <c r="G1986" s="6"/>
    </row>
    <row r="1987" spans="7:7" x14ac:dyDescent="0.25">
      <c r="G1987" s="6"/>
    </row>
    <row r="1988" spans="7:7" x14ac:dyDescent="0.25">
      <c r="G1988" s="6"/>
    </row>
    <row r="1989" spans="7:7" x14ac:dyDescent="0.25">
      <c r="G1989" s="6"/>
    </row>
    <row r="1990" spans="7:7" x14ac:dyDescent="0.25">
      <c r="G1990" s="6"/>
    </row>
    <row r="1991" spans="7:7" x14ac:dyDescent="0.25">
      <c r="G1991" s="6"/>
    </row>
    <row r="1992" spans="7:7" x14ac:dyDescent="0.25">
      <c r="G1992" s="6"/>
    </row>
    <row r="1993" spans="7:7" x14ac:dyDescent="0.25">
      <c r="G1993" s="6"/>
    </row>
    <row r="1994" spans="7:7" x14ac:dyDescent="0.25">
      <c r="G1994" s="6"/>
    </row>
    <row r="1995" spans="7:7" x14ac:dyDescent="0.25">
      <c r="G1995" s="6"/>
    </row>
    <row r="1996" spans="7:7" x14ac:dyDescent="0.25">
      <c r="G1996" s="6"/>
    </row>
    <row r="1997" spans="7:7" x14ac:dyDescent="0.25">
      <c r="G1997" s="6"/>
    </row>
    <row r="1998" spans="7:7" x14ac:dyDescent="0.25">
      <c r="G1998" s="6"/>
    </row>
    <row r="1999" spans="7:7" x14ac:dyDescent="0.25">
      <c r="G1999" s="6"/>
    </row>
    <row r="2000" spans="7:7" x14ac:dyDescent="0.25">
      <c r="G2000" s="6"/>
    </row>
    <row r="2001" spans="7:7" x14ac:dyDescent="0.25">
      <c r="G2001" s="6"/>
    </row>
    <row r="2002" spans="7:7" x14ac:dyDescent="0.25">
      <c r="G2002" s="6"/>
    </row>
    <row r="2003" spans="7:7" x14ac:dyDescent="0.25">
      <c r="G2003" s="6"/>
    </row>
    <row r="2004" spans="7:7" x14ac:dyDescent="0.25">
      <c r="G2004" s="6"/>
    </row>
    <row r="2005" spans="7:7" x14ac:dyDescent="0.25">
      <c r="G2005" s="6"/>
    </row>
    <row r="2006" spans="7:7" x14ac:dyDescent="0.25">
      <c r="G2006" s="6"/>
    </row>
    <row r="2007" spans="7:7" x14ac:dyDescent="0.25">
      <c r="G2007" s="6"/>
    </row>
    <row r="2008" spans="7:7" x14ac:dyDescent="0.25">
      <c r="G2008" s="6"/>
    </row>
    <row r="2009" spans="7:7" x14ac:dyDescent="0.25">
      <c r="G2009" s="6"/>
    </row>
    <row r="2010" spans="7:7" x14ac:dyDescent="0.25">
      <c r="G2010" s="6"/>
    </row>
    <row r="2011" spans="7:7" x14ac:dyDescent="0.25">
      <c r="G2011" s="6"/>
    </row>
    <row r="2012" spans="7:7" x14ac:dyDescent="0.25">
      <c r="G2012" s="6"/>
    </row>
    <row r="2013" spans="7:7" x14ac:dyDescent="0.25">
      <c r="G2013" s="6"/>
    </row>
    <row r="2014" spans="7:7" x14ac:dyDescent="0.25">
      <c r="G2014" s="6"/>
    </row>
    <row r="2015" spans="7:7" x14ac:dyDescent="0.25">
      <c r="G2015" s="6"/>
    </row>
    <row r="2016" spans="7:7" x14ac:dyDescent="0.25">
      <c r="G2016" s="6"/>
    </row>
    <row r="2017" spans="7:7" x14ac:dyDescent="0.25">
      <c r="G2017" s="6"/>
    </row>
    <row r="2018" spans="7:7" x14ac:dyDescent="0.25">
      <c r="G2018" s="6"/>
    </row>
    <row r="2019" spans="7:7" x14ac:dyDescent="0.25">
      <c r="G2019" s="6"/>
    </row>
    <row r="2020" spans="7:7" x14ac:dyDescent="0.25">
      <c r="G2020" s="6"/>
    </row>
    <row r="2021" spans="7:7" x14ac:dyDescent="0.25">
      <c r="G2021" s="6"/>
    </row>
    <row r="2022" spans="7:7" x14ac:dyDescent="0.25">
      <c r="G2022" s="6"/>
    </row>
    <row r="2023" spans="7:7" x14ac:dyDescent="0.25">
      <c r="G2023" s="6"/>
    </row>
    <row r="2024" spans="7:7" x14ac:dyDescent="0.25">
      <c r="G2024" s="6"/>
    </row>
    <row r="2025" spans="7:7" x14ac:dyDescent="0.25">
      <c r="G2025" s="6"/>
    </row>
    <row r="2026" spans="7:7" x14ac:dyDescent="0.25">
      <c r="G2026" s="6"/>
    </row>
    <row r="2027" spans="7:7" x14ac:dyDescent="0.25">
      <c r="G2027" s="6"/>
    </row>
    <row r="2028" spans="7:7" x14ac:dyDescent="0.25">
      <c r="G2028" s="6"/>
    </row>
    <row r="2029" spans="7:7" x14ac:dyDescent="0.25">
      <c r="G2029" s="6"/>
    </row>
    <row r="2030" spans="7:7" x14ac:dyDescent="0.25">
      <c r="G2030" s="6"/>
    </row>
    <row r="2031" spans="7:7" x14ac:dyDescent="0.25">
      <c r="G2031" s="6"/>
    </row>
    <row r="2032" spans="7:7" x14ac:dyDescent="0.25">
      <c r="G2032" s="6"/>
    </row>
    <row r="2033" spans="7:7" x14ac:dyDescent="0.25">
      <c r="G2033" s="6"/>
    </row>
    <row r="2034" spans="7:7" x14ac:dyDescent="0.25">
      <c r="G2034" s="6"/>
    </row>
    <row r="2035" spans="7:7" x14ac:dyDescent="0.25">
      <c r="G2035" s="6"/>
    </row>
    <row r="2036" spans="7:7" x14ac:dyDescent="0.25">
      <c r="G2036" s="6"/>
    </row>
    <row r="2037" spans="7:7" x14ac:dyDescent="0.25">
      <c r="G2037" s="6"/>
    </row>
    <row r="2038" spans="7:7" x14ac:dyDescent="0.25">
      <c r="G2038" s="6"/>
    </row>
    <row r="2039" spans="7:7" x14ac:dyDescent="0.25">
      <c r="G2039" s="6"/>
    </row>
    <row r="2040" spans="7:7" x14ac:dyDescent="0.25">
      <c r="G2040" s="6"/>
    </row>
    <row r="2041" spans="7:7" x14ac:dyDescent="0.25">
      <c r="G2041" s="6"/>
    </row>
    <row r="2042" spans="7:7" x14ac:dyDescent="0.25">
      <c r="G2042" s="6"/>
    </row>
    <row r="2043" spans="7:7" x14ac:dyDescent="0.25">
      <c r="G2043" s="6"/>
    </row>
    <row r="2044" spans="7:7" x14ac:dyDescent="0.25">
      <c r="G2044" s="6"/>
    </row>
    <row r="2045" spans="7:7" x14ac:dyDescent="0.25">
      <c r="G2045" s="6"/>
    </row>
    <row r="2046" spans="7:7" x14ac:dyDescent="0.25">
      <c r="G2046" s="6"/>
    </row>
    <row r="2047" spans="7:7" x14ac:dyDescent="0.25">
      <c r="G2047" s="6"/>
    </row>
    <row r="2048" spans="7:7" x14ac:dyDescent="0.25">
      <c r="G2048" s="6"/>
    </row>
    <row r="2049" spans="7:7" x14ac:dyDescent="0.25">
      <c r="G2049" s="6"/>
    </row>
    <row r="2050" spans="7:7" x14ac:dyDescent="0.25">
      <c r="G2050" s="6"/>
    </row>
    <row r="2051" spans="7:7" x14ac:dyDescent="0.25">
      <c r="G2051" s="6"/>
    </row>
    <row r="2052" spans="7:7" x14ac:dyDescent="0.25">
      <c r="G2052" s="6"/>
    </row>
    <row r="2053" spans="7:7" x14ac:dyDescent="0.25">
      <c r="G2053" s="6"/>
    </row>
    <row r="2054" spans="7:7" x14ac:dyDescent="0.25">
      <c r="G2054" s="6"/>
    </row>
    <row r="2055" spans="7:7" x14ac:dyDescent="0.25">
      <c r="G2055" s="6"/>
    </row>
    <row r="2056" spans="7:7" x14ac:dyDescent="0.25">
      <c r="G2056" s="6"/>
    </row>
    <row r="2057" spans="7:7" x14ac:dyDescent="0.25">
      <c r="G2057" s="6"/>
    </row>
    <row r="2058" spans="7:7" x14ac:dyDescent="0.25">
      <c r="G2058" s="6"/>
    </row>
    <row r="2059" spans="7:7" x14ac:dyDescent="0.25">
      <c r="G2059" s="6"/>
    </row>
    <row r="2060" spans="7:7" x14ac:dyDescent="0.25">
      <c r="G2060" s="6"/>
    </row>
    <row r="2061" spans="7:7" x14ac:dyDescent="0.25">
      <c r="G2061" s="6"/>
    </row>
    <row r="2062" spans="7:7" x14ac:dyDescent="0.25">
      <c r="G2062" s="6"/>
    </row>
    <row r="2063" spans="7:7" x14ac:dyDescent="0.25">
      <c r="G2063" s="6"/>
    </row>
    <row r="2064" spans="7:7" x14ac:dyDescent="0.25">
      <c r="G2064" s="6"/>
    </row>
    <row r="2065" spans="7:7" x14ac:dyDescent="0.25">
      <c r="G2065" s="6"/>
    </row>
    <row r="2066" spans="7:7" x14ac:dyDescent="0.25">
      <c r="G2066" s="6"/>
    </row>
    <row r="2067" spans="7:7" x14ac:dyDescent="0.25">
      <c r="G2067" s="6"/>
    </row>
    <row r="2068" spans="7:7" x14ac:dyDescent="0.25">
      <c r="G2068" s="6"/>
    </row>
    <row r="2069" spans="7:7" x14ac:dyDescent="0.25">
      <c r="G2069" s="6"/>
    </row>
    <row r="2070" spans="7:7" x14ac:dyDescent="0.25">
      <c r="G2070" s="6"/>
    </row>
    <row r="2071" spans="7:7" x14ac:dyDescent="0.25">
      <c r="G2071" s="6"/>
    </row>
    <row r="2072" spans="7:7" x14ac:dyDescent="0.25">
      <c r="G2072" s="6"/>
    </row>
    <row r="2073" spans="7:7" x14ac:dyDescent="0.25">
      <c r="G2073" s="6"/>
    </row>
    <row r="2074" spans="7:7" x14ac:dyDescent="0.25">
      <c r="G2074" s="6"/>
    </row>
    <row r="2075" spans="7:7" x14ac:dyDescent="0.25">
      <c r="G2075" s="6"/>
    </row>
    <row r="2076" spans="7:7" x14ac:dyDescent="0.25">
      <c r="G2076" s="6"/>
    </row>
    <row r="2077" spans="7:7" x14ac:dyDescent="0.25">
      <c r="G2077" s="6"/>
    </row>
    <row r="2078" spans="7:7" x14ac:dyDescent="0.25">
      <c r="G2078" s="6"/>
    </row>
    <row r="2079" spans="7:7" x14ac:dyDescent="0.25">
      <c r="G2079" s="6"/>
    </row>
    <row r="2080" spans="7:7" x14ac:dyDescent="0.25">
      <c r="G2080" s="6"/>
    </row>
    <row r="2081" spans="7:7" x14ac:dyDescent="0.25">
      <c r="G2081" s="6"/>
    </row>
    <row r="2082" spans="7:7" x14ac:dyDescent="0.25">
      <c r="G2082" s="6"/>
    </row>
    <row r="2083" spans="7:7" x14ac:dyDescent="0.25">
      <c r="G2083" s="6"/>
    </row>
    <row r="2084" spans="7:7" x14ac:dyDescent="0.25">
      <c r="G2084" s="6"/>
    </row>
    <row r="2085" spans="7:7" x14ac:dyDescent="0.25">
      <c r="G2085" s="6"/>
    </row>
    <row r="2086" spans="7:7" x14ac:dyDescent="0.25">
      <c r="G2086" s="6"/>
    </row>
    <row r="2087" spans="7:7" x14ac:dyDescent="0.25">
      <c r="G2087" s="6"/>
    </row>
    <row r="2088" spans="7:7" x14ac:dyDescent="0.25">
      <c r="G2088" s="6"/>
    </row>
    <row r="2089" spans="7:7" x14ac:dyDescent="0.25">
      <c r="G2089" s="6"/>
    </row>
    <row r="2090" spans="7:7" x14ac:dyDescent="0.25">
      <c r="G2090" s="6"/>
    </row>
    <row r="2091" spans="7:7" x14ac:dyDescent="0.25">
      <c r="G2091" s="6"/>
    </row>
    <row r="2092" spans="7:7" x14ac:dyDescent="0.25">
      <c r="G2092" s="6"/>
    </row>
    <row r="2093" spans="7:7" x14ac:dyDescent="0.25">
      <c r="G2093" s="6"/>
    </row>
    <row r="2094" spans="7:7" x14ac:dyDescent="0.25">
      <c r="G2094" s="6"/>
    </row>
    <row r="2095" spans="7:7" x14ac:dyDescent="0.25">
      <c r="G2095" s="6"/>
    </row>
    <row r="2096" spans="7:7" x14ac:dyDescent="0.25">
      <c r="G2096" s="6"/>
    </row>
    <row r="2097" spans="7:7" x14ac:dyDescent="0.25">
      <c r="G2097" s="6"/>
    </row>
    <row r="2098" spans="7:7" x14ac:dyDescent="0.25">
      <c r="G2098" s="6"/>
    </row>
    <row r="2099" spans="7:7" x14ac:dyDescent="0.25">
      <c r="G2099" s="6"/>
    </row>
    <row r="2100" spans="7:7" x14ac:dyDescent="0.25">
      <c r="G2100" s="6"/>
    </row>
    <row r="2101" spans="7:7" x14ac:dyDescent="0.25">
      <c r="G2101" s="6"/>
    </row>
    <row r="2102" spans="7:7" x14ac:dyDescent="0.25">
      <c r="G2102" s="6"/>
    </row>
    <row r="2103" spans="7:7" x14ac:dyDescent="0.25">
      <c r="G2103" s="6"/>
    </row>
    <row r="2104" spans="7:7" x14ac:dyDescent="0.25">
      <c r="G2104" s="6"/>
    </row>
    <row r="2105" spans="7:7" x14ac:dyDescent="0.25">
      <c r="G2105" s="6"/>
    </row>
    <row r="2106" spans="7:7" x14ac:dyDescent="0.25">
      <c r="G2106" s="6"/>
    </row>
    <row r="2107" spans="7:7" x14ac:dyDescent="0.25">
      <c r="G2107" s="6"/>
    </row>
    <row r="2108" spans="7:7" x14ac:dyDescent="0.25">
      <c r="G2108" s="6"/>
    </row>
    <row r="2109" spans="7:7" x14ac:dyDescent="0.25">
      <c r="G2109" s="6"/>
    </row>
    <row r="2110" spans="7:7" x14ac:dyDescent="0.25">
      <c r="G2110" s="6"/>
    </row>
    <row r="2111" spans="7:7" x14ac:dyDescent="0.25">
      <c r="G2111" s="6"/>
    </row>
    <row r="2112" spans="7:7" x14ac:dyDescent="0.25">
      <c r="G2112" s="6"/>
    </row>
    <row r="2113" spans="7:7" x14ac:dyDescent="0.25">
      <c r="G2113" s="6"/>
    </row>
    <row r="2114" spans="7:7" x14ac:dyDescent="0.25">
      <c r="G2114" s="6"/>
    </row>
    <row r="2115" spans="7:7" x14ac:dyDescent="0.25">
      <c r="G2115" s="6"/>
    </row>
    <row r="2116" spans="7:7" x14ac:dyDescent="0.25">
      <c r="G2116" s="6"/>
    </row>
    <row r="2117" spans="7:7" x14ac:dyDescent="0.25">
      <c r="G2117" s="6"/>
    </row>
    <row r="2118" spans="7:7" x14ac:dyDescent="0.25">
      <c r="G2118" s="6"/>
    </row>
    <row r="2119" spans="7:7" x14ac:dyDescent="0.25">
      <c r="G2119" s="6"/>
    </row>
    <row r="2120" spans="7:7" x14ac:dyDescent="0.25">
      <c r="G2120" s="6"/>
    </row>
    <row r="2121" spans="7:7" x14ac:dyDescent="0.25">
      <c r="G2121" s="6"/>
    </row>
    <row r="2122" spans="7:7" x14ac:dyDescent="0.25">
      <c r="G2122" s="6"/>
    </row>
    <row r="2123" spans="7:7" x14ac:dyDescent="0.25">
      <c r="G2123" s="6"/>
    </row>
    <row r="2124" spans="7:7" x14ac:dyDescent="0.25">
      <c r="G2124" s="6"/>
    </row>
    <row r="2125" spans="7:7" x14ac:dyDescent="0.25">
      <c r="G2125" s="6"/>
    </row>
    <row r="2126" spans="7:7" x14ac:dyDescent="0.25">
      <c r="G2126" s="6"/>
    </row>
    <row r="2127" spans="7:7" x14ac:dyDescent="0.25">
      <c r="G2127" s="6"/>
    </row>
    <row r="2128" spans="7:7" x14ac:dyDescent="0.25">
      <c r="G2128" s="6"/>
    </row>
    <row r="2129" spans="7:7" x14ac:dyDescent="0.25">
      <c r="G2129" s="6"/>
    </row>
    <row r="2130" spans="7:7" x14ac:dyDescent="0.25">
      <c r="G2130" s="6"/>
    </row>
    <row r="2131" spans="7:7" x14ac:dyDescent="0.25">
      <c r="G2131" s="6"/>
    </row>
    <row r="2132" spans="7:7" x14ac:dyDescent="0.25">
      <c r="G2132" s="6"/>
    </row>
    <row r="2133" spans="7:7" x14ac:dyDescent="0.25">
      <c r="G2133" s="6"/>
    </row>
    <row r="2134" spans="7:7" x14ac:dyDescent="0.25">
      <c r="G2134" s="6"/>
    </row>
    <row r="2135" spans="7:7" x14ac:dyDescent="0.25">
      <c r="G2135" s="6"/>
    </row>
    <row r="2136" spans="7:7" x14ac:dyDescent="0.25">
      <c r="G2136" s="6"/>
    </row>
    <row r="2137" spans="7:7" x14ac:dyDescent="0.25">
      <c r="G2137" s="6"/>
    </row>
    <row r="2138" spans="7:7" x14ac:dyDescent="0.25">
      <c r="G2138" s="6"/>
    </row>
    <row r="2139" spans="7:7" x14ac:dyDescent="0.25">
      <c r="G2139" s="6"/>
    </row>
    <row r="2140" spans="7:7" x14ac:dyDescent="0.25">
      <c r="G2140" s="6"/>
    </row>
    <row r="2141" spans="7:7" x14ac:dyDescent="0.25">
      <c r="G2141" s="6"/>
    </row>
    <row r="2142" spans="7:7" x14ac:dyDescent="0.25">
      <c r="G2142" s="6"/>
    </row>
    <row r="2143" spans="7:7" x14ac:dyDescent="0.25">
      <c r="G2143" s="6"/>
    </row>
    <row r="2144" spans="7:7" x14ac:dyDescent="0.25">
      <c r="G2144" s="6"/>
    </row>
    <row r="2145" spans="7:7" x14ac:dyDescent="0.25">
      <c r="G2145" s="6"/>
    </row>
    <row r="2146" spans="7:7" x14ac:dyDescent="0.25">
      <c r="G2146" s="6"/>
    </row>
    <row r="2147" spans="7:7" x14ac:dyDescent="0.25">
      <c r="G2147" s="6"/>
    </row>
    <row r="2148" spans="7:7" x14ac:dyDescent="0.25">
      <c r="G2148" s="6"/>
    </row>
    <row r="2149" spans="7:7" x14ac:dyDescent="0.25">
      <c r="G2149" s="6"/>
    </row>
    <row r="2150" spans="7:7" x14ac:dyDescent="0.25">
      <c r="G2150" s="6"/>
    </row>
    <row r="2151" spans="7:7" x14ac:dyDescent="0.25">
      <c r="G2151" s="6"/>
    </row>
    <row r="2152" spans="7:7" x14ac:dyDescent="0.25">
      <c r="G2152" s="6"/>
    </row>
    <row r="2153" spans="7:7" x14ac:dyDescent="0.25">
      <c r="G2153" s="6"/>
    </row>
    <row r="2154" spans="7:7" x14ac:dyDescent="0.25">
      <c r="G2154" s="6"/>
    </row>
    <row r="2155" spans="7:7" x14ac:dyDescent="0.25">
      <c r="G2155" s="6"/>
    </row>
    <row r="2156" spans="7:7" x14ac:dyDescent="0.25">
      <c r="G2156" s="6"/>
    </row>
    <row r="2157" spans="7:7" x14ac:dyDescent="0.25">
      <c r="G2157" s="6"/>
    </row>
    <row r="2158" spans="7:7" x14ac:dyDescent="0.25">
      <c r="G2158" s="6"/>
    </row>
    <row r="2159" spans="7:7" x14ac:dyDescent="0.25">
      <c r="G2159" s="6"/>
    </row>
    <row r="2160" spans="7:7" x14ac:dyDescent="0.25">
      <c r="G2160" s="6"/>
    </row>
    <row r="2161" spans="7:7" x14ac:dyDescent="0.25">
      <c r="G2161" s="6"/>
    </row>
    <row r="2162" spans="7:7" x14ac:dyDescent="0.25">
      <c r="G2162" s="6"/>
    </row>
    <row r="2163" spans="7:7" x14ac:dyDescent="0.25">
      <c r="G2163" s="6"/>
    </row>
    <row r="2164" spans="7:7" x14ac:dyDescent="0.25">
      <c r="G2164" s="6"/>
    </row>
    <row r="2165" spans="7:7" x14ac:dyDescent="0.25">
      <c r="G2165" s="6"/>
    </row>
    <row r="2166" spans="7:7" x14ac:dyDescent="0.25">
      <c r="G2166" s="6"/>
    </row>
    <row r="2167" spans="7:7" x14ac:dyDescent="0.25">
      <c r="G2167" s="6"/>
    </row>
    <row r="2168" spans="7:7" x14ac:dyDescent="0.25">
      <c r="G2168" s="6"/>
    </row>
    <row r="2169" spans="7:7" x14ac:dyDescent="0.25">
      <c r="G2169" s="6"/>
    </row>
    <row r="2170" spans="7:7" x14ac:dyDescent="0.25">
      <c r="G2170" s="6"/>
    </row>
    <row r="2171" spans="7:7" x14ac:dyDescent="0.25">
      <c r="G2171" s="6"/>
    </row>
    <row r="2172" spans="7:7" x14ac:dyDescent="0.25">
      <c r="G2172" s="6"/>
    </row>
    <row r="2173" spans="7:7" x14ac:dyDescent="0.25">
      <c r="G2173" s="6"/>
    </row>
    <row r="2174" spans="7:7" x14ac:dyDescent="0.25">
      <c r="G2174" s="6"/>
    </row>
    <row r="2175" spans="7:7" x14ac:dyDescent="0.25">
      <c r="G2175" s="6"/>
    </row>
    <row r="2176" spans="7:7" x14ac:dyDescent="0.25">
      <c r="G2176" s="6"/>
    </row>
    <row r="2177" spans="7:7" x14ac:dyDescent="0.25">
      <c r="G2177" s="6"/>
    </row>
    <row r="2178" spans="7:7" x14ac:dyDescent="0.25">
      <c r="G2178" s="6"/>
    </row>
    <row r="2179" spans="7:7" x14ac:dyDescent="0.25">
      <c r="G2179" s="6"/>
    </row>
    <row r="2180" spans="7:7" x14ac:dyDescent="0.25">
      <c r="G2180" s="6"/>
    </row>
    <row r="2181" spans="7:7" x14ac:dyDescent="0.25">
      <c r="G2181" s="6"/>
    </row>
    <row r="2182" spans="7:7" x14ac:dyDescent="0.25">
      <c r="G2182" s="6"/>
    </row>
    <row r="2183" spans="7:7" x14ac:dyDescent="0.25">
      <c r="G2183" s="6"/>
    </row>
    <row r="2184" spans="7:7" x14ac:dyDescent="0.25">
      <c r="G2184" s="6"/>
    </row>
    <row r="2185" spans="7:7" x14ac:dyDescent="0.25">
      <c r="G2185" s="6"/>
    </row>
    <row r="2186" spans="7:7" x14ac:dyDescent="0.25">
      <c r="G2186" s="6"/>
    </row>
    <row r="2187" spans="7:7" x14ac:dyDescent="0.25">
      <c r="G2187" s="6"/>
    </row>
    <row r="2188" spans="7:7" x14ac:dyDescent="0.25">
      <c r="G2188" s="6"/>
    </row>
    <row r="2189" spans="7:7" x14ac:dyDescent="0.25">
      <c r="G2189" s="6"/>
    </row>
    <row r="2190" spans="7:7" x14ac:dyDescent="0.25">
      <c r="G2190" s="6"/>
    </row>
    <row r="2191" spans="7:7" x14ac:dyDescent="0.25">
      <c r="G2191" s="6"/>
    </row>
    <row r="2192" spans="7:7" x14ac:dyDescent="0.25">
      <c r="G2192" s="6"/>
    </row>
    <row r="2193" spans="7:7" x14ac:dyDescent="0.25">
      <c r="G2193" s="6"/>
    </row>
    <row r="2194" spans="7:7" x14ac:dyDescent="0.25">
      <c r="G2194" s="6"/>
    </row>
    <row r="2195" spans="7:7" x14ac:dyDescent="0.25">
      <c r="G2195" s="6"/>
    </row>
    <row r="2196" spans="7:7" x14ac:dyDescent="0.25">
      <c r="G2196" s="6"/>
    </row>
    <row r="2197" spans="7:7" x14ac:dyDescent="0.25">
      <c r="G2197" s="6"/>
    </row>
    <row r="2198" spans="7:7" x14ac:dyDescent="0.25">
      <c r="G2198" s="6"/>
    </row>
    <row r="2199" spans="7:7" x14ac:dyDescent="0.25">
      <c r="G2199" s="6"/>
    </row>
    <row r="2200" spans="7:7" x14ac:dyDescent="0.25">
      <c r="G2200" s="6"/>
    </row>
    <row r="2201" spans="7:7" x14ac:dyDescent="0.25">
      <c r="G2201" s="6"/>
    </row>
    <row r="2202" spans="7:7" x14ac:dyDescent="0.25">
      <c r="G2202" s="6"/>
    </row>
    <row r="2203" spans="7:7" x14ac:dyDescent="0.25">
      <c r="G2203" s="6"/>
    </row>
    <row r="2204" spans="7:7" x14ac:dyDescent="0.25">
      <c r="G2204" s="6"/>
    </row>
    <row r="2205" spans="7:7" x14ac:dyDescent="0.25">
      <c r="G2205" s="6"/>
    </row>
    <row r="2206" spans="7:7" x14ac:dyDescent="0.25">
      <c r="G2206" s="6"/>
    </row>
    <row r="2207" spans="7:7" x14ac:dyDescent="0.25">
      <c r="G2207" s="6"/>
    </row>
    <row r="2208" spans="7:7" x14ac:dyDescent="0.25">
      <c r="G2208" s="6"/>
    </row>
    <row r="2209" spans="7:7" x14ac:dyDescent="0.25">
      <c r="G2209" s="6"/>
    </row>
    <row r="2210" spans="7:7" x14ac:dyDescent="0.25">
      <c r="G2210" s="6"/>
    </row>
    <row r="2211" spans="7:7" x14ac:dyDescent="0.25">
      <c r="G2211" s="6"/>
    </row>
    <row r="2212" spans="7:7" x14ac:dyDescent="0.25">
      <c r="G2212" s="6"/>
    </row>
    <row r="2213" spans="7:7" x14ac:dyDescent="0.25">
      <c r="G2213" s="6"/>
    </row>
    <row r="2214" spans="7:7" x14ac:dyDescent="0.25">
      <c r="G2214" s="6"/>
    </row>
    <row r="2215" spans="7:7" x14ac:dyDescent="0.25">
      <c r="G2215" s="6"/>
    </row>
    <row r="2216" spans="7:7" x14ac:dyDescent="0.25">
      <c r="G2216" s="6"/>
    </row>
    <row r="2217" spans="7:7" x14ac:dyDescent="0.25">
      <c r="G2217" s="6"/>
    </row>
    <row r="2218" spans="7:7" x14ac:dyDescent="0.25">
      <c r="G2218" s="6"/>
    </row>
    <row r="2219" spans="7:7" x14ac:dyDescent="0.25">
      <c r="G2219" s="6"/>
    </row>
    <row r="2220" spans="7:7" x14ac:dyDescent="0.25">
      <c r="G2220" s="6"/>
    </row>
    <row r="2221" spans="7:7" x14ac:dyDescent="0.25">
      <c r="G2221" s="6"/>
    </row>
    <row r="2222" spans="7:7" x14ac:dyDescent="0.25">
      <c r="G2222" s="6"/>
    </row>
    <row r="2223" spans="7:7" x14ac:dyDescent="0.25">
      <c r="G2223" s="6"/>
    </row>
    <row r="2224" spans="7:7" x14ac:dyDescent="0.25">
      <c r="G2224" s="6"/>
    </row>
    <row r="2225" spans="7:7" x14ac:dyDescent="0.25">
      <c r="G2225" s="6"/>
    </row>
    <row r="2226" spans="7:7" x14ac:dyDescent="0.25">
      <c r="G2226" s="6"/>
    </row>
    <row r="2227" spans="7:7" x14ac:dyDescent="0.25">
      <c r="G2227" s="6"/>
    </row>
    <row r="2228" spans="7:7" x14ac:dyDescent="0.25">
      <c r="G2228" s="6"/>
    </row>
    <row r="2229" spans="7:7" x14ac:dyDescent="0.25">
      <c r="G2229" s="6"/>
    </row>
    <row r="2230" spans="7:7" x14ac:dyDescent="0.25">
      <c r="G2230" s="6"/>
    </row>
    <row r="2231" spans="7:7" x14ac:dyDescent="0.25">
      <c r="G2231" s="6"/>
    </row>
    <row r="2232" spans="7:7" x14ac:dyDescent="0.25">
      <c r="G2232" s="6"/>
    </row>
    <row r="2233" spans="7:7" x14ac:dyDescent="0.25">
      <c r="G2233" s="6"/>
    </row>
    <row r="2234" spans="7:7" x14ac:dyDescent="0.25">
      <c r="G2234" s="6"/>
    </row>
    <row r="2235" spans="7:7" x14ac:dyDescent="0.25">
      <c r="G2235" s="6"/>
    </row>
    <row r="2236" spans="7:7" x14ac:dyDescent="0.25">
      <c r="G2236" s="6"/>
    </row>
    <row r="2237" spans="7:7" x14ac:dyDescent="0.25">
      <c r="G2237" s="6"/>
    </row>
    <row r="2238" spans="7:7" x14ac:dyDescent="0.25">
      <c r="G2238" s="6"/>
    </row>
    <row r="2239" spans="7:7" x14ac:dyDescent="0.25">
      <c r="G2239" s="6"/>
    </row>
    <row r="2240" spans="7:7" x14ac:dyDescent="0.25">
      <c r="G2240" s="6"/>
    </row>
    <row r="2241" spans="7:7" x14ac:dyDescent="0.25">
      <c r="G2241" s="6"/>
    </row>
    <row r="2242" spans="7:7" x14ac:dyDescent="0.25">
      <c r="G2242" s="6"/>
    </row>
    <row r="2243" spans="7:7" x14ac:dyDescent="0.25">
      <c r="G2243" s="6"/>
    </row>
    <row r="2244" spans="7:7" x14ac:dyDescent="0.25">
      <c r="G2244" s="6"/>
    </row>
    <row r="2245" spans="7:7" x14ac:dyDescent="0.25">
      <c r="G2245" s="6"/>
    </row>
    <row r="2246" spans="7:7" x14ac:dyDescent="0.25">
      <c r="G2246" s="6"/>
    </row>
    <row r="2247" spans="7:7" x14ac:dyDescent="0.25">
      <c r="G2247" s="6"/>
    </row>
    <row r="2248" spans="7:7" x14ac:dyDescent="0.25">
      <c r="G2248" s="6"/>
    </row>
    <row r="2249" spans="7:7" x14ac:dyDescent="0.25">
      <c r="G2249" s="6"/>
    </row>
    <row r="2250" spans="7:7" x14ac:dyDescent="0.25">
      <c r="G2250" s="6"/>
    </row>
    <row r="2251" spans="7:7" x14ac:dyDescent="0.25">
      <c r="G2251" s="6"/>
    </row>
    <row r="2252" spans="7:7" x14ac:dyDescent="0.25">
      <c r="G2252" s="6"/>
    </row>
    <row r="2253" spans="7:7" x14ac:dyDescent="0.25">
      <c r="G2253" s="6"/>
    </row>
    <row r="2254" spans="7:7" x14ac:dyDescent="0.25">
      <c r="G2254" s="6"/>
    </row>
    <row r="2255" spans="7:7" x14ac:dyDescent="0.25">
      <c r="G2255" s="6"/>
    </row>
    <row r="2256" spans="7:7" x14ac:dyDescent="0.25">
      <c r="G2256" s="6"/>
    </row>
    <row r="2257" spans="7:7" x14ac:dyDescent="0.25">
      <c r="G2257" s="6"/>
    </row>
    <row r="2258" spans="7:7" x14ac:dyDescent="0.25">
      <c r="G2258" s="6"/>
    </row>
    <row r="2259" spans="7:7" x14ac:dyDescent="0.25">
      <c r="G2259" s="6"/>
    </row>
    <row r="2260" spans="7:7" x14ac:dyDescent="0.25">
      <c r="G2260" s="6"/>
    </row>
    <row r="2261" spans="7:7" x14ac:dyDescent="0.25">
      <c r="G2261" s="6"/>
    </row>
    <row r="2262" spans="7:7" x14ac:dyDescent="0.25">
      <c r="G2262" s="6"/>
    </row>
    <row r="2263" spans="7:7" x14ac:dyDescent="0.25">
      <c r="G2263" s="6"/>
    </row>
    <row r="2264" spans="7:7" x14ac:dyDescent="0.25">
      <c r="G2264" s="6"/>
    </row>
    <row r="2265" spans="7:7" x14ac:dyDescent="0.25">
      <c r="G2265" s="6"/>
    </row>
    <row r="2266" spans="7:7" x14ac:dyDescent="0.25">
      <c r="G2266" s="6"/>
    </row>
    <row r="2267" spans="7:7" x14ac:dyDescent="0.25">
      <c r="G2267" s="6"/>
    </row>
    <row r="2268" spans="7:7" x14ac:dyDescent="0.25">
      <c r="G2268" s="6"/>
    </row>
    <row r="2269" spans="7:7" x14ac:dyDescent="0.25">
      <c r="G2269" s="6"/>
    </row>
    <row r="2270" spans="7:7" x14ac:dyDescent="0.25">
      <c r="G2270" s="6"/>
    </row>
    <row r="2271" spans="7:7" x14ac:dyDescent="0.25">
      <c r="G2271" s="6"/>
    </row>
    <row r="2272" spans="7:7" x14ac:dyDescent="0.25">
      <c r="G2272" s="6"/>
    </row>
    <row r="2273" spans="7:7" x14ac:dyDescent="0.25">
      <c r="G2273" s="6"/>
    </row>
    <row r="2274" spans="7:7" x14ac:dyDescent="0.25">
      <c r="G2274" s="6"/>
    </row>
    <row r="2275" spans="7:7" x14ac:dyDescent="0.25">
      <c r="G2275" s="6"/>
    </row>
    <row r="2276" spans="7:7" x14ac:dyDescent="0.25">
      <c r="G2276" s="6"/>
    </row>
    <row r="2277" spans="7:7" x14ac:dyDescent="0.25">
      <c r="G2277" s="6"/>
    </row>
    <row r="2278" spans="7:7" x14ac:dyDescent="0.25">
      <c r="G2278" s="6"/>
    </row>
    <row r="2279" spans="7:7" x14ac:dyDescent="0.25">
      <c r="G2279" s="6"/>
    </row>
    <row r="2280" spans="7:7" x14ac:dyDescent="0.25">
      <c r="G2280" s="6"/>
    </row>
    <row r="2281" spans="7:7" x14ac:dyDescent="0.25">
      <c r="G2281" s="6"/>
    </row>
    <row r="2282" spans="7:7" x14ac:dyDescent="0.25">
      <c r="G2282" s="6"/>
    </row>
    <row r="2283" spans="7:7" x14ac:dyDescent="0.25">
      <c r="G2283" s="6"/>
    </row>
    <row r="2284" spans="7:7" x14ac:dyDescent="0.25">
      <c r="G2284" s="6"/>
    </row>
    <row r="2285" spans="7:7" x14ac:dyDescent="0.25">
      <c r="G2285" s="6"/>
    </row>
    <row r="2286" spans="7:7" x14ac:dyDescent="0.25">
      <c r="G2286" s="6"/>
    </row>
    <row r="2287" spans="7:7" x14ac:dyDescent="0.25">
      <c r="G2287" s="6"/>
    </row>
    <row r="2288" spans="7:7" x14ac:dyDescent="0.25">
      <c r="G2288" s="6"/>
    </row>
    <row r="2289" spans="7:7" x14ac:dyDescent="0.25">
      <c r="G2289" s="6"/>
    </row>
    <row r="2290" spans="7:7" x14ac:dyDescent="0.25">
      <c r="G2290" s="6"/>
    </row>
    <row r="2291" spans="7:7" x14ac:dyDescent="0.25">
      <c r="G2291" s="6"/>
    </row>
    <row r="2292" spans="7:7" x14ac:dyDescent="0.25">
      <c r="G2292" s="6"/>
    </row>
    <row r="2293" spans="7:7" x14ac:dyDescent="0.25">
      <c r="G2293" s="6"/>
    </row>
    <row r="2294" spans="7:7" x14ac:dyDescent="0.25">
      <c r="G2294" s="6"/>
    </row>
    <row r="2295" spans="7:7" x14ac:dyDescent="0.25">
      <c r="G2295" s="6"/>
    </row>
    <row r="2296" spans="7:7" x14ac:dyDescent="0.25">
      <c r="G2296" s="6"/>
    </row>
    <row r="2297" spans="7:7" x14ac:dyDescent="0.25">
      <c r="G2297" s="6"/>
    </row>
    <row r="2298" spans="7:7" x14ac:dyDescent="0.25">
      <c r="G2298" s="6"/>
    </row>
    <row r="2299" spans="7:7" x14ac:dyDescent="0.25">
      <c r="G2299" s="6"/>
    </row>
    <row r="2300" spans="7:7" x14ac:dyDescent="0.25">
      <c r="G2300" s="6"/>
    </row>
    <row r="2301" spans="7:7" x14ac:dyDescent="0.25">
      <c r="G2301" s="6"/>
    </row>
    <row r="2302" spans="7:7" x14ac:dyDescent="0.25">
      <c r="G2302" s="6"/>
    </row>
    <row r="2303" spans="7:7" x14ac:dyDescent="0.25">
      <c r="G2303" s="6"/>
    </row>
    <row r="2304" spans="7:7" x14ac:dyDescent="0.25">
      <c r="G2304" s="6"/>
    </row>
    <row r="2305" spans="7:7" x14ac:dyDescent="0.25">
      <c r="G2305" s="6"/>
    </row>
    <row r="2306" spans="7:7" x14ac:dyDescent="0.25">
      <c r="G2306" s="6"/>
    </row>
    <row r="2307" spans="7:7" x14ac:dyDescent="0.25">
      <c r="G2307" s="6"/>
    </row>
    <row r="2308" spans="7:7" x14ac:dyDescent="0.25">
      <c r="G2308" s="6"/>
    </row>
    <row r="2309" spans="7:7" x14ac:dyDescent="0.25">
      <c r="G2309" s="6"/>
    </row>
    <row r="2310" spans="7:7" x14ac:dyDescent="0.25">
      <c r="G2310" s="6"/>
    </row>
    <row r="2311" spans="7:7" x14ac:dyDescent="0.25">
      <c r="G2311" s="6"/>
    </row>
    <row r="2312" spans="7:7" x14ac:dyDescent="0.25">
      <c r="G2312" s="6"/>
    </row>
    <row r="2313" spans="7:7" x14ac:dyDescent="0.25">
      <c r="G2313" s="6"/>
    </row>
    <row r="2314" spans="7:7" x14ac:dyDescent="0.25">
      <c r="G2314" s="6"/>
    </row>
    <row r="2315" spans="7:7" x14ac:dyDescent="0.25">
      <c r="G2315" s="6"/>
    </row>
    <row r="2316" spans="7:7" x14ac:dyDescent="0.25">
      <c r="G2316" s="6"/>
    </row>
    <row r="2317" spans="7:7" x14ac:dyDescent="0.25">
      <c r="G2317" s="6"/>
    </row>
    <row r="2318" spans="7:7" x14ac:dyDescent="0.25">
      <c r="G2318" s="6"/>
    </row>
    <row r="2319" spans="7:7" x14ac:dyDescent="0.25">
      <c r="G2319" s="6"/>
    </row>
    <row r="2320" spans="7:7" x14ac:dyDescent="0.25">
      <c r="G2320" s="6"/>
    </row>
    <row r="2321" spans="7:7" x14ac:dyDescent="0.25">
      <c r="G2321" s="6"/>
    </row>
    <row r="2322" spans="7:7" x14ac:dyDescent="0.25">
      <c r="G2322" s="6"/>
    </row>
    <row r="2323" spans="7:7" x14ac:dyDescent="0.25">
      <c r="G2323" s="6"/>
    </row>
    <row r="2324" spans="7:7" x14ac:dyDescent="0.25">
      <c r="G2324" s="6"/>
    </row>
    <row r="2325" spans="7:7" x14ac:dyDescent="0.25">
      <c r="G2325" s="6"/>
    </row>
    <row r="2326" spans="7:7" x14ac:dyDescent="0.25">
      <c r="G2326" s="6"/>
    </row>
    <row r="2327" spans="7:7" x14ac:dyDescent="0.25">
      <c r="G2327" s="6"/>
    </row>
    <row r="2328" spans="7:7" x14ac:dyDescent="0.25">
      <c r="G2328" s="6"/>
    </row>
    <row r="2329" spans="7:7" x14ac:dyDescent="0.25">
      <c r="G2329" s="6"/>
    </row>
    <row r="2330" spans="7:7" x14ac:dyDescent="0.25">
      <c r="G2330" s="6"/>
    </row>
    <row r="2331" spans="7:7" x14ac:dyDescent="0.25">
      <c r="G2331" s="6"/>
    </row>
    <row r="2332" spans="7:7" x14ac:dyDescent="0.25">
      <c r="G2332" s="6"/>
    </row>
    <row r="2333" spans="7:7" x14ac:dyDescent="0.25">
      <c r="G2333" s="6"/>
    </row>
    <row r="2334" spans="7:7" x14ac:dyDescent="0.25">
      <c r="G2334" s="6"/>
    </row>
    <row r="2335" spans="7:7" x14ac:dyDescent="0.25">
      <c r="G2335" s="6"/>
    </row>
    <row r="2336" spans="7:7" x14ac:dyDescent="0.25">
      <c r="G2336" s="6"/>
    </row>
    <row r="2337" spans="7:7" x14ac:dyDescent="0.25">
      <c r="G2337" s="6"/>
    </row>
    <row r="2338" spans="7:7" x14ac:dyDescent="0.25">
      <c r="G2338" s="6"/>
    </row>
    <row r="2339" spans="7:7" x14ac:dyDescent="0.25">
      <c r="G2339" s="6"/>
    </row>
    <row r="2340" spans="7:7" x14ac:dyDescent="0.25">
      <c r="G2340" s="6"/>
    </row>
    <row r="2341" spans="7:7" x14ac:dyDescent="0.25">
      <c r="G2341" s="6"/>
    </row>
    <row r="2342" spans="7:7" x14ac:dyDescent="0.25">
      <c r="G2342" s="6"/>
    </row>
    <row r="2343" spans="7:7" x14ac:dyDescent="0.25">
      <c r="G2343" s="6"/>
    </row>
    <row r="2344" spans="7:7" x14ac:dyDescent="0.25">
      <c r="G2344" s="6"/>
    </row>
    <row r="2345" spans="7:7" x14ac:dyDescent="0.25">
      <c r="G2345" s="6"/>
    </row>
    <row r="2346" spans="7:7" x14ac:dyDescent="0.25">
      <c r="G2346" s="6"/>
    </row>
    <row r="2347" spans="7:7" x14ac:dyDescent="0.25">
      <c r="G2347" s="6"/>
    </row>
    <row r="2348" spans="7:7" x14ac:dyDescent="0.25">
      <c r="G2348" s="6"/>
    </row>
    <row r="2349" spans="7:7" x14ac:dyDescent="0.25">
      <c r="G2349" s="6"/>
    </row>
    <row r="2350" spans="7:7" x14ac:dyDescent="0.25">
      <c r="G2350" s="6"/>
    </row>
    <row r="2351" spans="7:7" x14ac:dyDescent="0.25">
      <c r="G2351" s="6"/>
    </row>
    <row r="2352" spans="7:7" x14ac:dyDescent="0.25">
      <c r="G2352" s="6"/>
    </row>
    <row r="2353" spans="7:7" x14ac:dyDescent="0.25">
      <c r="G2353" s="6"/>
    </row>
    <row r="2354" spans="7:7" x14ac:dyDescent="0.25">
      <c r="G2354" s="6"/>
    </row>
    <row r="2355" spans="7:7" x14ac:dyDescent="0.25">
      <c r="G2355" s="6"/>
    </row>
    <row r="2356" spans="7:7" x14ac:dyDescent="0.25">
      <c r="G2356" s="6"/>
    </row>
    <row r="2357" spans="7:7" x14ac:dyDescent="0.25">
      <c r="G2357" s="6"/>
    </row>
    <row r="2358" spans="7:7" x14ac:dyDescent="0.25">
      <c r="G2358" s="6"/>
    </row>
    <row r="2359" spans="7:7" x14ac:dyDescent="0.25">
      <c r="G2359" s="6"/>
    </row>
    <row r="2360" spans="7:7" x14ac:dyDescent="0.25">
      <c r="G2360" s="6"/>
    </row>
    <row r="2361" spans="7:7" x14ac:dyDescent="0.25">
      <c r="G2361" s="6"/>
    </row>
    <row r="2362" spans="7:7" x14ac:dyDescent="0.25">
      <c r="G2362" s="6"/>
    </row>
    <row r="2363" spans="7:7" x14ac:dyDescent="0.25">
      <c r="G2363" s="6"/>
    </row>
    <row r="2364" spans="7:7" x14ac:dyDescent="0.25">
      <c r="G2364" s="6"/>
    </row>
    <row r="2365" spans="7:7" x14ac:dyDescent="0.25">
      <c r="G2365" s="6"/>
    </row>
    <row r="2366" spans="7:7" x14ac:dyDescent="0.25">
      <c r="G2366" s="6"/>
    </row>
    <row r="2367" spans="7:7" x14ac:dyDescent="0.25">
      <c r="G2367" s="6"/>
    </row>
    <row r="2368" spans="7:7" x14ac:dyDescent="0.25">
      <c r="G2368" s="6"/>
    </row>
    <row r="2369" spans="7:7" x14ac:dyDescent="0.25">
      <c r="G2369" s="6"/>
    </row>
    <row r="2370" spans="7:7" x14ac:dyDescent="0.25">
      <c r="G2370" s="6"/>
    </row>
    <row r="2371" spans="7:7" x14ac:dyDescent="0.25">
      <c r="G2371" s="6"/>
    </row>
    <row r="2372" spans="7:7" x14ac:dyDescent="0.25">
      <c r="G2372" s="6"/>
    </row>
    <row r="2373" spans="7:7" x14ac:dyDescent="0.25">
      <c r="G2373" s="6"/>
    </row>
    <row r="2374" spans="7:7" x14ac:dyDescent="0.25">
      <c r="G2374" s="6"/>
    </row>
    <row r="2375" spans="7:7" x14ac:dyDescent="0.25">
      <c r="G2375" s="6"/>
    </row>
    <row r="2376" spans="7:7" x14ac:dyDescent="0.25">
      <c r="G2376" s="6"/>
    </row>
    <row r="2377" spans="7:7" x14ac:dyDescent="0.25">
      <c r="G2377" s="6"/>
    </row>
    <row r="2378" spans="7:7" x14ac:dyDescent="0.25">
      <c r="G2378" s="6"/>
    </row>
    <row r="2379" spans="7:7" x14ac:dyDescent="0.25">
      <c r="G2379" s="6"/>
    </row>
    <row r="2380" spans="7:7" x14ac:dyDescent="0.25">
      <c r="G2380" s="6"/>
    </row>
    <row r="2381" spans="7:7" x14ac:dyDescent="0.25">
      <c r="G2381" s="6"/>
    </row>
    <row r="2382" spans="7:7" x14ac:dyDescent="0.25">
      <c r="G2382" s="6"/>
    </row>
    <row r="2383" spans="7:7" x14ac:dyDescent="0.25">
      <c r="G2383" s="6"/>
    </row>
    <row r="2384" spans="7:7" x14ac:dyDescent="0.25">
      <c r="G2384" s="6"/>
    </row>
    <row r="2385" spans="7:7" x14ac:dyDescent="0.25">
      <c r="G2385" s="6"/>
    </row>
    <row r="2386" spans="7:7" x14ac:dyDescent="0.25">
      <c r="G2386" s="6"/>
    </row>
    <row r="2387" spans="7:7" x14ac:dyDescent="0.25">
      <c r="G2387" s="6"/>
    </row>
    <row r="2388" spans="7:7" x14ac:dyDescent="0.25">
      <c r="G2388" s="6"/>
    </row>
    <row r="2389" spans="7:7" x14ac:dyDescent="0.25">
      <c r="G2389" s="6"/>
    </row>
    <row r="2390" spans="7:7" x14ac:dyDescent="0.25">
      <c r="G2390" s="6"/>
    </row>
    <row r="2391" spans="7:7" x14ac:dyDescent="0.25">
      <c r="G2391" s="6"/>
    </row>
    <row r="2392" spans="7:7" x14ac:dyDescent="0.25">
      <c r="G2392" s="6"/>
    </row>
    <row r="2393" spans="7:7" x14ac:dyDescent="0.25">
      <c r="G2393" s="6"/>
    </row>
    <row r="2394" spans="7:7" x14ac:dyDescent="0.25">
      <c r="G2394" s="6"/>
    </row>
    <row r="2395" spans="7:7" x14ac:dyDescent="0.25">
      <c r="G2395" s="6"/>
    </row>
    <row r="2396" spans="7:7" x14ac:dyDescent="0.25">
      <c r="G2396" s="6"/>
    </row>
    <row r="2397" spans="7:7" x14ac:dyDescent="0.25">
      <c r="G2397" s="6"/>
    </row>
    <row r="2398" spans="7:7" x14ac:dyDescent="0.25">
      <c r="G2398" s="6"/>
    </row>
    <row r="2399" spans="7:7" x14ac:dyDescent="0.25">
      <c r="G2399" s="6"/>
    </row>
    <row r="2400" spans="7:7" x14ac:dyDescent="0.25">
      <c r="G2400" s="6"/>
    </row>
    <row r="2401" spans="7:7" x14ac:dyDescent="0.25">
      <c r="G2401" s="6"/>
    </row>
    <row r="2402" spans="7:7" x14ac:dyDescent="0.25">
      <c r="G2402" s="6"/>
    </row>
    <row r="2403" spans="7:7" x14ac:dyDescent="0.25">
      <c r="G2403" s="6"/>
    </row>
    <row r="2404" spans="7:7" x14ac:dyDescent="0.25">
      <c r="G2404" s="6"/>
    </row>
    <row r="2405" spans="7:7" x14ac:dyDescent="0.25">
      <c r="G2405" s="6"/>
    </row>
    <row r="2406" spans="7:7" x14ac:dyDescent="0.25">
      <c r="G2406" s="6"/>
    </row>
    <row r="2407" spans="7:7" x14ac:dyDescent="0.25">
      <c r="G2407" s="6"/>
    </row>
    <row r="2408" spans="7:7" x14ac:dyDescent="0.25">
      <c r="G2408" s="6"/>
    </row>
    <row r="2409" spans="7:7" x14ac:dyDescent="0.25">
      <c r="G2409" s="6"/>
    </row>
    <row r="2410" spans="7:7" x14ac:dyDescent="0.25">
      <c r="G2410" s="6"/>
    </row>
    <row r="2411" spans="7:7" x14ac:dyDescent="0.25">
      <c r="G2411" s="6"/>
    </row>
    <row r="2412" spans="7:7" x14ac:dyDescent="0.25">
      <c r="G2412" s="6"/>
    </row>
    <row r="2413" spans="7:7" x14ac:dyDescent="0.25">
      <c r="G2413" s="6"/>
    </row>
    <row r="2414" spans="7:7" x14ac:dyDescent="0.25">
      <c r="G2414" s="6"/>
    </row>
    <row r="2415" spans="7:7" x14ac:dyDescent="0.25">
      <c r="G2415" s="6"/>
    </row>
    <row r="2416" spans="7:7" x14ac:dyDescent="0.25">
      <c r="G2416" s="6"/>
    </row>
    <row r="2417" spans="7:7" x14ac:dyDescent="0.25">
      <c r="G2417" s="6"/>
    </row>
    <row r="2418" spans="7:7" x14ac:dyDescent="0.25">
      <c r="G2418" s="6"/>
    </row>
    <row r="2419" spans="7:7" x14ac:dyDescent="0.25">
      <c r="G2419" s="6"/>
    </row>
    <row r="2420" spans="7:7" x14ac:dyDescent="0.25">
      <c r="G2420" s="6"/>
    </row>
    <row r="2421" spans="7:7" x14ac:dyDescent="0.25">
      <c r="G2421" s="6"/>
    </row>
    <row r="2422" spans="7:7" x14ac:dyDescent="0.25">
      <c r="G2422" s="6"/>
    </row>
    <row r="2423" spans="7:7" x14ac:dyDescent="0.25">
      <c r="G2423" s="6"/>
    </row>
    <row r="2424" spans="7:7" x14ac:dyDescent="0.25">
      <c r="G2424" s="6"/>
    </row>
    <row r="2425" spans="7:7" x14ac:dyDescent="0.25">
      <c r="G2425" s="6"/>
    </row>
    <row r="2426" spans="7:7" x14ac:dyDescent="0.25">
      <c r="G2426" s="6"/>
    </row>
    <row r="2427" spans="7:7" x14ac:dyDescent="0.25">
      <c r="G2427" s="6"/>
    </row>
    <row r="2428" spans="7:7" x14ac:dyDescent="0.25">
      <c r="G2428" s="6"/>
    </row>
    <row r="2429" spans="7:7" x14ac:dyDescent="0.25">
      <c r="G2429" s="6"/>
    </row>
    <row r="2430" spans="7:7" x14ac:dyDescent="0.25">
      <c r="G2430" s="6"/>
    </row>
    <row r="2431" spans="7:7" x14ac:dyDescent="0.25">
      <c r="G2431" s="6"/>
    </row>
    <row r="2432" spans="7:7" x14ac:dyDescent="0.25">
      <c r="G2432" s="6"/>
    </row>
    <row r="2433" spans="7:7" x14ac:dyDescent="0.25">
      <c r="G2433" s="6"/>
    </row>
    <row r="2434" spans="7:7" x14ac:dyDescent="0.25">
      <c r="G2434" s="6"/>
    </row>
    <row r="2435" spans="7:7" x14ac:dyDescent="0.25">
      <c r="G2435" s="6"/>
    </row>
    <row r="2436" spans="7:7" x14ac:dyDescent="0.25">
      <c r="G2436" s="6"/>
    </row>
    <row r="2437" spans="7:7" x14ac:dyDescent="0.25">
      <c r="G2437" s="6"/>
    </row>
    <row r="2438" spans="7:7" x14ac:dyDescent="0.25">
      <c r="G2438" s="6"/>
    </row>
    <row r="2439" spans="7:7" x14ac:dyDescent="0.25">
      <c r="G2439" s="6"/>
    </row>
    <row r="2440" spans="7:7" x14ac:dyDescent="0.25">
      <c r="G2440" s="6"/>
    </row>
    <row r="2441" spans="7:7" x14ac:dyDescent="0.25">
      <c r="G2441" s="6"/>
    </row>
    <row r="2442" spans="7:7" x14ac:dyDescent="0.25">
      <c r="G2442" s="6"/>
    </row>
    <row r="2443" spans="7:7" x14ac:dyDescent="0.25">
      <c r="G2443" s="6"/>
    </row>
    <row r="2444" spans="7:7" x14ac:dyDescent="0.25">
      <c r="G2444" s="6"/>
    </row>
    <row r="2445" spans="7:7" x14ac:dyDescent="0.25">
      <c r="G2445" s="6"/>
    </row>
    <row r="2446" spans="7:7" x14ac:dyDescent="0.25">
      <c r="G2446" s="6"/>
    </row>
    <row r="2447" spans="7:7" x14ac:dyDescent="0.25">
      <c r="G2447" s="6"/>
    </row>
    <row r="2448" spans="7:7" x14ac:dyDescent="0.25">
      <c r="G2448" s="6"/>
    </row>
    <row r="2449" spans="7:7" x14ac:dyDescent="0.25">
      <c r="G2449" s="6"/>
    </row>
    <row r="2450" spans="7:7" x14ac:dyDescent="0.25">
      <c r="G2450" s="6"/>
    </row>
    <row r="2451" spans="7:7" x14ac:dyDescent="0.25">
      <c r="G2451" s="6"/>
    </row>
    <row r="2452" spans="7:7" x14ac:dyDescent="0.25">
      <c r="G2452" s="6"/>
    </row>
    <row r="2453" spans="7:7" x14ac:dyDescent="0.25">
      <c r="G2453" s="6"/>
    </row>
    <row r="2454" spans="7:7" x14ac:dyDescent="0.25">
      <c r="G2454" s="6"/>
    </row>
    <row r="2455" spans="7:7" x14ac:dyDescent="0.25">
      <c r="G2455" s="6"/>
    </row>
    <row r="2456" spans="7:7" x14ac:dyDescent="0.25">
      <c r="G2456" s="6"/>
    </row>
    <row r="2457" spans="7:7" x14ac:dyDescent="0.25">
      <c r="G2457" s="6"/>
    </row>
    <row r="2458" spans="7:7" x14ac:dyDescent="0.25">
      <c r="G2458" s="6"/>
    </row>
    <row r="2459" spans="7:7" x14ac:dyDescent="0.25">
      <c r="G2459" s="6"/>
    </row>
    <row r="2460" spans="7:7" x14ac:dyDescent="0.25">
      <c r="G2460" s="6"/>
    </row>
    <row r="2461" spans="7:7" x14ac:dyDescent="0.25">
      <c r="G2461" s="6"/>
    </row>
    <row r="2462" spans="7:7" x14ac:dyDescent="0.25">
      <c r="G2462" s="6"/>
    </row>
    <row r="2463" spans="7:7" x14ac:dyDescent="0.25">
      <c r="G2463" s="6"/>
    </row>
    <row r="2464" spans="7:7" x14ac:dyDescent="0.25">
      <c r="G2464" s="6"/>
    </row>
    <row r="2465" spans="7:7" x14ac:dyDescent="0.25">
      <c r="G2465" s="6"/>
    </row>
    <row r="2466" spans="7:7" x14ac:dyDescent="0.25">
      <c r="G2466" s="6"/>
    </row>
    <row r="2467" spans="7:7" x14ac:dyDescent="0.25">
      <c r="G2467" s="6"/>
    </row>
    <row r="2468" spans="7:7" x14ac:dyDescent="0.25">
      <c r="G2468" s="6"/>
    </row>
    <row r="2469" spans="7:7" x14ac:dyDescent="0.25">
      <c r="G2469" s="6"/>
    </row>
    <row r="2470" spans="7:7" x14ac:dyDescent="0.25">
      <c r="G2470" s="6"/>
    </row>
    <row r="2471" spans="7:7" x14ac:dyDescent="0.25">
      <c r="G2471" s="6"/>
    </row>
    <row r="2472" spans="7:7" x14ac:dyDescent="0.25">
      <c r="G2472" s="6"/>
    </row>
    <row r="2473" spans="7:7" x14ac:dyDescent="0.25">
      <c r="G2473" s="6"/>
    </row>
    <row r="2474" spans="7:7" x14ac:dyDescent="0.25">
      <c r="G2474" s="6"/>
    </row>
    <row r="2475" spans="7:7" x14ac:dyDescent="0.25">
      <c r="G2475" s="6"/>
    </row>
    <row r="2476" spans="7:7" x14ac:dyDescent="0.25">
      <c r="G2476" s="6"/>
    </row>
    <row r="2477" spans="7:7" x14ac:dyDescent="0.25">
      <c r="G2477" s="6"/>
    </row>
    <row r="2478" spans="7:7" x14ac:dyDescent="0.25">
      <c r="G2478" s="6"/>
    </row>
    <row r="2479" spans="7:7" x14ac:dyDescent="0.25">
      <c r="G2479" s="6"/>
    </row>
    <row r="2480" spans="7:7" x14ac:dyDescent="0.25">
      <c r="G2480" s="6"/>
    </row>
    <row r="2481" spans="7:7" x14ac:dyDescent="0.25">
      <c r="G2481" s="6"/>
    </row>
    <row r="2482" spans="7:7" x14ac:dyDescent="0.25">
      <c r="G2482" s="6"/>
    </row>
    <row r="2483" spans="7:7" x14ac:dyDescent="0.25">
      <c r="G2483" s="6"/>
    </row>
    <row r="2484" spans="7:7" x14ac:dyDescent="0.25">
      <c r="G2484" s="6"/>
    </row>
    <row r="2485" spans="7:7" x14ac:dyDescent="0.25">
      <c r="G2485" s="6"/>
    </row>
    <row r="2486" spans="7:7" x14ac:dyDescent="0.25">
      <c r="G2486" s="6"/>
    </row>
    <row r="2487" spans="7:7" x14ac:dyDescent="0.25">
      <c r="G2487" s="6"/>
    </row>
    <row r="2488" spans="7:7" x14ac:dyDescent="0.25">
      <c r="G2488" s="6"/>
    </row>
    <row r="2489" spans="7:7" x14ac:dyDescent="0.25">
      <c r="G2489" s="6"/>
    </row>
    <row r="2490" spans="7:7" x14ac:dyDescent="0.25">
      <c r="G2490" s="6"/>
    </row>
    <row r="2491" spans="7:7" x14ac:dyDescent="0.25">
      <c r="G2491" s="6"/>
    </row>
    <row r="2492" spans="7:7" x14ac:dyDescent="0.25">
      <c r="G2492" s="6"/>
    </row>
    <row r="2493" spans="7:7" x14ac:dyDescent="0.25">
      <c r="G2493" s="6"/>
    </row>
    <row r="2494" spans="7:7" x14ac:dyDescent="0.25">
      <c r="G2494" s="6"/>
    </row>
    <row r="2495" spans="7:7" x14ac:dyDescent="0.25">
      <c r="G2495" s="6"/>
    </row>
    <row r="2496" spans="7:7" x14ac:dyDescent="0.25">
      <c r="G2496" s="6"/>
    </row>
    <row r="2497" spans="7:7" x14ac:dyDescent="0.25">
      <c r="G2497" s="6"/>
    </row>
    <row r="2498" spans="7:7" x14ac:dyDescent="0.25">
      <c r="G2498" s="6"/>
    </row>
    <row r="2499" spans="7:7" x14ac:dyDescent="0.25">
      <c r="G2499" s="6"/>
    </row>
    <row r="2500" spans="7:7" x14ac:dyDescent="0.25">
      <c r="G2500" s="6"/>
    </row>
    <row r="2501" spans="7:7" x14ac:dyDescent="0.25">
      <c r="G2501" s="6"/>
    </row>
    <row r="2502" spans="7:7" x14ac:dyDescent="0.25">
      <c r="G2502" s="6"/>
    </row>
    <row r="2503" spans="7:7" x14ac:dyDescent="0.25">
      <c r="G2503" s="6"/>
    </row>
    <row r="2504" spans="7:7" x14ac:dyDescent="0.25">
      <c r="G2504" s="6"/>
    </row>
    <row r="2505" spans="7:7" x14ac:dyDescent="0.25">
      <c r="G2505" s="6"/>
    </row>
    <row r="2506" spans="7:7" x14ac:dyDescent="0.25">
      <c r="G2506" s="6"/>
    </row>
    <row r="2507" spans="7:7" x14ac:dyDescent="0.25">
      <c r="G2507" s="6"/>
    </row>
    <row r="2508" spans="7:7" x14ac:dyDescent="0.25">
      <c r="G2508" s="6"/>
    </row>
    <row r="2509" spans="7:7" x14ac:dyDescent="0.25">
      <c r="G2509" s="6"/>
    </row>
    <row r="2510" spans="7:7" x14ac:dyDescent="0.25">
      <c r="G2510" s="6"/>
    </row>
    <row r="2511" spans="7:7" x14ac:dyDescent="0.25">
      <c r="G2511" s="6"/>
    </row>
    <row r="2512" spans="7:7" x14ac:dyDescent="0.25">
      <c r="G2512" s="6"/>
    </row>
    <row r="2513" spans="7:7" x14ac:dyDescent="0.25">
      <c r="G2513" s="6"/>
    </row>
    <row r="2514" spans="7:7" x14ac:dyDescent="0.25">
      <c r="G2514" s="6"/>
    </row>
    <row r="2515" spans="7:7" x14ac:dyDescent="0.25">
      <c r="G2515" s="6"/>
    </row>
    <row r="2516" spans="7:7" x14ac:dyDescent="0.25">
      <c r="G2516" s="6"/>
    </row>
    <row r="2517" spans="7:7" x14ac:dyDescent="0.25">
      <c r="G2517" s="6"/>
    </row>
    <row r="2518" spans="7:7" x14ac:dyDescent="0.25">
      <c r="G2518" s="6"/>
    </row>
    <row r="2519" spans="7:7" x14ac:dyDescent="0.25">
      <c r="G2519" s="6"/>
    </row>
    <row r="2520" spans="7:7" x14ac:dyDescent="0.25">
      <c r="G2520" s="6"/>
    </row>
    <row r="2521" spans="7:7" x14ac:dyDescent="0.25">
      <c r="G2521" s="6"/>
    </row>
    <row r="2522" spans="7:7" x14ac:dyDescent="0.25">
      <c r="G2522" s="6"/>
    </row>
    <row r="2523" spans="7:7" x14ac:dyDescent="0.25">
      <c r="G2523" s="6"/>
    </row>
    <row r="2524" spans="7:7" x14ac:dyDescent="0.25">
      <c r="G2524" s="6"/>
    </row>
    <row r="2525" spans="7:7" x14ac:dyDescent="0.25">
      <c r="G2525" s="6"/>
    </row>
    <row r="2526" spans="7:7" x14ac:dyDescent="0.25">
      <c r="G2526" s="6"/>
    </row>
    <row r="2527" spans="7:7" x14ac:dyDescent="0.25">
      <c r="G2527" s="6"/>
    </row>
    <row r="2528" spans="7:7" x14ac:dyDescent="0.25">
      <c r="G2528" s="6"/>
    </row>
    <row r="2529" spans="7:7" x14ac:dyDescent="0.25">
      <c r="G2529" s="6"/>
    </row>
    <row r="2530" spans="7:7" x14ac:dyDescent="0.25">
      <c r="G2530" s="6"/>
    </row>
    <row r="2531" spans="7:7" x14ac:dyDescent="0.25">
      <c r="G2531" s="6"/>
    </row>
    <row r="2532" spans="7:7" x14ac:dyDescent="0.25">
      <c r="G2532" s="6"/>
    </row>
    <row r="2533" spans="7:7" x14ac:dyDescent="0.25">
      <c r="G2533" s="6"/>
    </row>
    <row r="2534" spans="7:7" x14ac:dyDescent="0.25">
      <c r="G2534" s="6"/>
    </row>
    <row r="2535" spans="7:7" x14ac:dyDescent="0.25">
      <c r="G2535" s="6"/>
    </row>
    <row r="2536" spans="7:7" x14ac:dyDescent="0.25">
      <c r="G2536" s="6"/>
    </row>
    <row r="2537" spans="7:7" x14ac:dyDescent="0.25">
      <c r="G2537" s="6"/>
    </row>
    <row r="2538" spans="7:7" x14ac:dyDescent="0.25">
      <c r="G2538" s="6"/>
    </row>
    <row r="2539" spans="7:7" x14ac:dyDescent="0.25">
      <c r="G2539" s="6"/>
    </row>
    <row r="2540" spans="7:7" x14ac:dyDescent="0.25">
      <c r="G2540" s="6"/>
    </row>
    <row r="2541" spans="7:7" x14ac:dyDescent="0.25">
      <c r="G2541" s="6"/>
    </row>
    <row r="2542" spans="7:7" x14ac:dyDescent="0.25">
      <c r="G2542" s="6"/>
    </row>
    <row r="2543" spans="7:7" x14ac:dyDescent="0.25">
      <c r="G2543" s="6"/>
    </row>
    <row r="2544" spans="7:7" x14ac:dyDescent="0.25">
      <c r="G2544" s="6"/>
    </row>
    <row r="2545" spans="7:7" x14ac:dyDescent="0.25">
      <c r="G2545" s="6"/>
    </row>
    <row r="2546" spans="7:7" x14ac:dyDescent="0.25">
      <c r="G2546" s="6"/>
    </row>
    <row r="2547" spans="7:7" x14ac:dyDescent="0.25">
      <c r="G2547" s="6"/>
    </row>
    <row r="2548" spans="7:7" x14ac:dyDescent="0.25">
      <c r="G2548" s="6"/>
    </row>
    <row r="2549" spans="7:7" x14ac:dyDescent="0.25">
      <c r="G2549" s="6"/>
    </row>
    <row r="2550" spans="7:7" x14ac:dyDescent="0.25">
      <c r="G2550" s="6"/>
    </row>
    <row r="2551" spans="7:7" x14ac:dyDescent="0.25">
      <c r="G2551" s="6"/>
    </row>
    <row r="2552" spans="7:7" x14ac:dyDescent="0.25">
      <c r="G2552" s="6"/>
    </row>
    <row r="2553" spans="7:7" x14ac:dyDescent="0.25">
      <c r="G2553" s="6"/>
    </row>
    <row r="2554" spans="7:7" x14ac:dyDescent="0.25">
      <c r="G2554" s="6"/>
    </row>
    <row r="2555" spans="7:7" x14ac:dyDescent="0.25">
      <c r="G2555" s="6"/>
    </row>
    <row r="2556" spans="7:7" x14ac:dyDescent="0.25">
      <c r="G2556" s="6"/>
    </row>
    <row r="2557" spans="7:7" x14ac:dyDescent="0.25">
      <c r="G2557" s="6"/>
    </row>
    <row r="2558" spans="7:7" x14ac:dyDescent="0.25">
      <c r="G2558" s="6"/>
    </row>
    <row r="2559" spans="7:7" x14ac:dyDescent="0.25">
      <c r="G2559" s="6"/>
    </row>
    <row r="2560" spans="7:7" x14ac:dyDescent="0.25">
      <c r="G2560" s="6"/>
    </row>
    <row r="2561" spans="7:7" x14ac:dyDescent="0.25">
      <c r="G2561" s="6"/>
    </row>
    <row r="2562" spans="7:7" x14ac:dyDescent="0.25">
      <c r="G2562" s="6"/>
    </row>
    <row r="2563" spans="7:7" x14ac:dyDescent="0.25">
      <c r="G2563" s="6"/>
    </row>
    <row r="2564" spans="7:7" x14ac:dyDescent="0.25">
      <c r="G2564" s="6"/>
    </row>
    <row r="2565" spans="7:7" x14ac:dyDescent="0.25">
      <c r="G2565" s="6"/>
    </row>
    <row r="2566" spans="7:7" x14ac:dyDescent="0.25">
      <c r="G2566" s="6"/>
    </row>
    <row r="2567" spans="7:7" x14ac:dyDescent="0.25">
      <c r="G2567" s="6"/>
    </row>
    <row r="2568" spans="7:7" x14ac:dyDescent="0.25">
      <c r="G2568" s="6"/>
    </row>
    <row r="2569" spans="7:7" x14ac:dyDescent="0.25">
      <c r="G2569" s="6"/>
    </row>
    <row r="2570" spans="7:7" x14ac:dyDescent="0.25">
      <c r="G2570" s="6"/>
    </row>
    <row r="2571" spans="7:7" x14ac:dyDescent="0.25">
      <c r="G2571" s="6"/>
    </row>
    <row r="2572" spans="7:7" x14ac:dyDescent="0.25">
      <c r="G2572" s="6"/>
    </row>
    <row r="2573" spans="7:7" x14ac:dyDescent="0.25">
      <c r="G2573" s="6"/>
    </row>
    <row r="2574" spans="7:7" x14ac:dyDescent="0.25">
      <c r="G2574" s="6"/>
    </row>
    <row r="2575" spans="7:7" x14ac:dyDescent="0.25">
      <c r="G2575" s="6"/>
    </row>
    <row r="2576" spans="7:7" x14ac:dyDescent="0.25">
      <c r="G2576" s="6"/>
    </row>
    <row r="2577" spans="7:7" x14ac:dyDescent="0.25">
      <c r="G2577" s="6"/>
    </row>
    <row r="2578" spans="7:7" x14ac:dyDescent="0.25">
      <c r="G2578" s="6"/>
    </row>
    <row r="2579" spans="7:7" x14ac:dyDescent="0.25">
      <c r="G2579" s="6"/>
    </row>
    <row r="2580" spans="7:7" x14ac:dyDescent="0.25">
      <c r="G2580" s="6"/>
    </row>
    <row r="2581" spans="7:7" x14ac:dyDescent="0.25">
      <c r="G2581" s="6"/>
    </row>
    <row r="2582" spans="7:7" x14ac:dyDescent="0.25">
      <c r="G2582" s="6"/>
    </row>
    <row r="2583" spans="7:7" x14ac:dyDescent="0.25">
      <c r="G2583" s="6"/>
    </row>
    <row r="2584" spans="7:7" x14ac:dyDescent="0.25">
      <c r="G2584" s="6"/>
    </row>
    <row r="2585" spans="7:7" x14ac:dyDescent="0.25">
      <c r="G2585" s="6"/>
    </row>
    <row r="2586" spans="7:7" x14ac:dyDescent="0.25">
      <c r="G2586" s="6"/>
    </row>
    <row r="2587" spans="7:7" x14ac:dyDescent="0.25">
      <c r="G2587" s="6"/>
    </row>
    <row r="2588" spans="7:7" x14ac:dyDescent="0.25">
      <c r="G2588" s="6"/>
    </row>
    <row r="2589" spans="7:7" x14ac:dyDescent="0.25">
      <c r="G2589" s="6"/>
    </row>
    <row r="2590" spans="7:7" x14ac:dyDescent="0.25">
      <c r="G2590" s="6"/>
    </row>
    <row r="2591" spans="7:7" x14ac:dyDescent="0.25">
      <c r="G2591" s="6"/>
    </row>
    <row r="2592" spans="7:7" x14ac:dyDescent="0.25">
      <c r="G2592" s="6"/>
    </row>
    <row r="2593" spans="7:7" x14ac:dyDescent="0.25">
      <c r="G2593" s="6"/>
    </row>
    <row r="2594" spans="7:7" x14ac:dyDescent="0.25">
      <c r="G2594" s="6"/>
    </row>
    <row r="2595" spans="7:7" x14ac:dyDescent="0.25">
      <c r="G2595" s="6"/>
    </row>
    <row r="2596" spans="7:7" x14ac:dyDescent="0.25">
      <c r="G2596" s="6"/>
    </row>
    <row r="2597" spans="7:7" x14ac:dyDescent="0.25">
      <c r="G2597" s="6"/>
    </row>
    <row r="2598" spans="7:7" x14ac:dyDescent="0.25">
      <c r="G2598" s="6"/>
    </row>
    <row r="2599" spans="7:7" x14ac:dyDescent="0.25">
      <c r="G2599" s="6"/>
    </row>
    <row r="2600" spans="7:7" x14ac:dyDescent="0.25">
      <c r="G2600" s="6"/>
    </row>
    <row r="2601" spans="7:7" x14ac:dyDescent="0.25">
      <c r="G2601" s="6"/>
    </row>
    <row r="2602" spans="7:7" x14ac:dyDescent="0.25">
      <c r="G2602" s="6"/>
    </row>
    <row r="2603" spans="7:7" x14ac:dyDescent="0.25">
      <c r="G2603" s="6"/>
    </row>
    <row r="2604" spans="7:7" x14ac:dyDescent="0.25">
      <c r="G2604" s="6"/>
    </row>
    <row r="2605" spans="7:7" x14ac:dyDescent="0.25">
      <c r="G2605" s="6"/>
    </row>
    <row r="2606" spans="7:7" x14ac:dyDescent="0.25">
      <c r="G2606" s="6"/>
    </row>
    <row r="2607" spans="7:7" x14ac:dyDescent="0.25">
      <c r="G2607" s="6"/>
    </row>
    <row r="2608" spans="7:7" x14ac:dyDescent="0.25">
      <c r="G2608" s="6"/>
    </row>
    <row r="2609" spans="7:7" x14ac:dyDescent="0.25">
      <c r="G2609" s="6"/>
    </row>
    <row r="2610" spans="7:7" x14ac:dyDescent="0.25">
      <c r="G2610" s="6"/>
    </row>
    <row r="2611" spans="7:7" x14ac:dyDescent="0.25">
      <c r="G2611" s="6"/>
    </row>
    <row r="2612" spans="7:7" x14ac:dyDescent="0.25">
      <c r="G2612" s="6"/>
    </row>
    <row r="2613" spans="7:7" x14ac:dyDescent="0.25">
      <c r="G2613" s="6"/>
    </row>
    <row r="2614" spans="7:7" x14ac:dyDescent="0.25">
      <c r="G2614" s="6"/>
    </row>
    <row r="2615" spans="7:7" x14ac:dyDescent="0.25">
      <c r="G2615" s="6"/>
    </row>
    <row r="2616" spans="7:7" x14ac:dyDescent="0.25">
      <c r="G2616" s="6"/>
    </row>
    <row r="2617" spans="7:7" x14ac:dyDescent="0.25">
      <c r="G2617" s="6"/>
    </row>
    <row r="2618" spans="7:7" x14ac:dyDescent="0.25">
      <c r="G2618" s="6"/>
    </row>
    <row r="2619" spans="7:7" x14ac:dyDescent="0.25">
      <c r="G2619" s="6"/>
    </row>
    <row r="2620" spans="7:7" x14ac:dyDescent="0.25">
      <c r="G2620" s="6"/>
    </row>
    <row r="2621" spans="7:7" x14ac:dyDescent="0.25">
      <c r="G2621" s="6"/>
    </row>
    <row r="2622" spans="7:7" x14ac:dyDescent="0.25">
      <c r="G2622" s="6"/>
    </row>
    <row r="2623" spans="7:7" x14ac:dyDescent="0.25">
      <c r="G2623" s="6"/>
    </row>
    <row r="2624" spans="7:7" x14ac:dyDescent="0.25">
      <c r="G2624" s="6"/>
    </row>
    <row r="2625" spans="7:7" x14ac:dyDescent="0.25">
      <c r="G2625" s="6"/>
    </row>
    <row r="2626" spans="7:7" x14ac:dyDescent="0.25">
      <c r="G2626" s="6"/>
    </row>
    <row r="2627" spans="7:7" x14ac:dyDescent="0.25">
      <c r="G2627" s="6"/>
    </row>
    <row r="2628" spans="7:7" x14ac:dyDescent="0.25">
      <c r="G2628" s="6"/>
    </row>
    <row r="2629" spans="7:7" x14ac:dyDescent="0.25">
      <c r="G2629" s="6"/>
    </row>
    <row r="2630" spans="7:7" x14ac:dyDescent="0.25">
      <c r="G2630" s="6"/>
    </row>
    <row r="2631" spans="7:7" x14ac:dyDescent="0.25">
      <c r="G2631" s="6"/>
    </row>
    <row r="2632" spans="7:7" x14ac:dyDescent="0.25">
      <c r="G2632" s="6"/>
    </row>
    <row r="2633" spans="7:7" x14ac:dyDescent="0.25">
      <c r="G2633" s="6"/>
    </row>
    <row r="2634" spans="7:7" x14ac:dyDescent="0.25">
      <c r="G2634" s="6"/>
    </row>
    <row r="2635" spans="7:7" x14ac:dyDescent="0.25">
      <c r="G2635" s="6"/>
    </row>
    <row r="2636" spans="7:7" x14ac:dyDescent="0.25">
      <c r="G2636" s="6"/>
    </row>
    <row r="2637" spans="7:7" x14ac:dyDescent="0.25">
      <c r="G2637" s="6"/>
    </row>
    <row r="2638" spans="7:7" x14ac:dyDescent="0.25">
      <c r="G2638" s="6"/>
    </row>
    <row r="2639" spans="7:7" x14ac:dyDescent="0.25">
      <c r="G2639" s="6"/>
    </row>
    <row r="2640" spans="7:7" x14ac:dyDescent="0.25">
      <c r="G2640" s="6"/>
    </row>
    <row r="2641" spans="7:7" x14ac:dyDescent="0.25">
      <c r="G2641" s="6"/>
    </row>
    <row r="2642" spans="7:7" x14ac:dyDescent="0.25">
      <c r="G2642" s="6"/>
    </row>
    <row r="2643" spans="7:7" x14ac:dyDescent="0.25">
      <c r="G2643" s="6"/>
    </row>
    <row r="2644" spans="7:7" x14ac:dyDescent="0.25">
      <c r="G2644" s="6"/>
    </row>
    <row r="2645" spans="7:7" x14ac:dyDescent="0.25">
      <c r="G2645" s="6"/>
    </row>
    <row r="2646" spans="7:7" x14ac:dyDescent="0.25">
      <c r="G2646" s="6"/>
    </row>
    <row r="2647" spans="7:7" x14ac:dyDescent="0.25">
      <c r="G2647" s="6"/>
    </row>
    <row r="2648" spans="7:7" x14ac:dyDescent="0.25">
      <c r="G2648" s="6"/>
    </row>
    <row r="2649" spans="7:7" x14ac:dyDescent="0.25">
      <c r="G2649" s="6"/>
    </row>
    <row r="2650" spans="7:7" x14ac:dyDescent="0.25">
      <c r="G2650" s="6"/>
    </row>
    <row r="2651" spans="7:7" x14ac:dyDescent="0.25">
      <c r="G2651" s="6"/>
    </row>
    <row r="2652" spans="7:7" x14ac:dyDescent="0.25">
      <c r="G2652" s="6"/>
    </row>
    <row r="2653" spans="7:7" x14ac:dyDescent="0.25">
      <c r="G2653" s="6"/>
    </row>
    <row r="2654" spans="7:7" x14ac:dyDescent="0.25">
      <c r="G2654" s="6"/>
    </row>
    <row r="2655" spans="7:7" x14ac:dyDescent="0.25">
      <c r="G2655" s="6"/>
    </row>
    <row r="2656" spans="7:7" x14ac:dyDescent="0.25">
      <c r="G2656" s="6"/>
    </row>
    <row r="2657" spans="7:7" x14ac:dyDescent="0.25">
      <c r="G2657" s="6"/>
    </row>
    <row r="2658" spans="7:7" x14ac:dyDescent="0.25">
      <c r="G2658" s="6"/>
    </row>
    <row r="2659" spans="7:7" x14ac:dyDescent="0.25">
      <c r="G2659" s="6"/>
    </row>
    <row r="2660" spans="7:7" x14ac:dyDescent="0.25">
      <c r="G2660" s="6"/>
    </row>
    <row r="2661" spans="7:7" x14ac:dyDescent="0.25">
      <c r="G2661" s="6"/>
    </row>
    <row r="2662" spans="7:7" x14ac:dyDescent="0.25">
      <c r="G2662" s="6"/>
    </row>
    <row r="2663" spans="7:7" x14ac:dyDescent="0.25">
      <c r="G2663" s="6"/>
    </row>
    <row r="2664" spans="7:7" x14ac:dyDescent="0.25">
      <c r="G2664" s="6"/>
    </row>
    <row r="2665" spans="7:7" x14ac:dyDescent="0.25">
      <c r="G2665" s="6"/>
    </row>
    <row r="2666" spans="7:7" x14ac:dyDescent="0.25">
      <c r="G2666" s="6"/>
    </row>
    <row r="2667" spans="7:7" x14ac:dyDescent="0.25">
      <c r="G2667" s="6"/>
    </row>
    <row r="2668" spans="7:7" x14ac:dyDescent="0.25">
      <c r="G2668" s="6"/>
    </row>
    <row r="2669" spans="7:7" x14ac:dyDescent="0.25">
      <c r="G2669" s="6"/>
    </row>
    <row r="2670" spans="7:7" x14ac:dyDescent="0.25">
      <c r="G2670" s="6"/>
    </row>
    <row r="2671" spans="7:7" x14ac:dyDescent="0.25">
      <c r="G2671" s="6"/>
    </row>
    <row r="2672" spans="7:7" x14ac:dyDescent="0.25">
      <c r="G2672" s="6"/>
    </row>
    <row r="2673" spans="7:7" x14ac:dyDescent="0.25">
      <c r="G2673" s="6"/>
    </row>
    <row r="2674" spans="7:7" x14ac:dyDescent="0.25">
      <c r="G2674" s="6"/>
    </row>
    <row r="2675" spans="7:7" x14ac:dyDescent="0.25">
      <c r="G2675" s="6"/>
    </row>
    <row r="2676" spans="7:7" x14ac:dyDescent="0.25">
      <c r="G2676" s="6"/>
    </row>
    <row r="2677" spans="7:7" x14ac:dyDescent="0.25">
      <c r="G2677" s="6"/>
    </row>
    <row r="2678" spans="7:7" x14ac:dyDescent="0.25">
      <c r="G2678" s="6"/>
    </row>
    <row r="2679" spans="7:7" x14ac:dyDescent="0.25">
      <c r="G2679" s="6"/>
    </row>
    <row r="2680" spans="7:7" x14ac:dyDescent="0.25">
      <c r="G2680" s="6"/>
    </row>
    <row r="2681" spans="7:7" x14ac:dyDescent="0.25">
      <c r="G2681" s="6"/>
    </row>
  </sheetData>
  <mergeCells count="10">
    <mergeCell ref="A50:H50"/>
    <mergeCell ref="F11:H11"/>
    <mergeCell ref="G7:H7"/>
    <mergeCell ref="E7:F7"/>
    <mergeCell ref="G10:H10"/>
    <mergeCell ref="F12:H12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2"/>
  <sheetViews>
    <sheetView tabSelected="1" workbookViewId="0"/>
  </sheetViews>
  <sheetFormatPr baseColWidth="10" defaultColWidth="9.140625" defaultRowHeight="12.75" x14ac:dyDescent="0.2"/>
  <cols>
    <col min="1" max="1" width="17" customWidth="1"/>
    <col min="2" max="2" width="14.140625" customWidth="1"/>
    <col min="3" max="3" width="45.7109375" customWidth="1"/>
    <col min="4" max="4" width="16.5703125" customWidth="1"/>
  </cols>
  <sheetData>
    <row r="1" spans="1:7" x14ac:dyDescent="0.2">
      <c r="A1" t="s">
        <v>186</v>
      </c>
    </row>
    <row r="2" spans="1:7" x14ac:dyDescent="0.2">
      <c r="A2" t="s">
        <v>1</v>
      </c>
    </row>
    <row r="3" spans="1:7" x14ac:dyDescent="0.2">
      <c r="A3" t="s">
        <v>3</v>
      </c>
    </row>
    <row r="4" spans="1:7" x14ac:dyDescent="0.2">
      <c r="A4" t="s">
        <v>5</v>
      </c>
    </row>
    <row r="5" spans="1:7" x14ac:dyDescent="0.2">
      <c r="A5" t="s">
        <v>8</v>
      </c>
    </row>
    <row r="7" spans="1:7" x14ac:dyDescent="0.2">
      <c r="A7" t="s">
        <v>187</v>
      </c>
      <c r="B7" t="s">
        <v>174</v>
      </c>
    </row>
    <row r="8" spans="1:7" x14ac:dyDescent="0.2">
      <c r="A8" t="s">
        <v>188</v>
      </c>
      <c r="B8">
        <v>10117</v>
      </c>
    </row>
    <row r="9" spans="1:7" x14ac:dyDescent="0.2">
      <c r="A9" t="s">
        <v>189</v>
      </c>
      <c r="B9" s="74">
        <v>46091</v>
      </c>
    </row>
    <row r="11" spans="1:7" x14ac:dyDescent="0.2">
      <c r="C11" t="s">
        <v>190</v>
      </c>
    </row>
    <row r="12" spans="1:7" x14ac:dyDescent="0.2">
      <c r="A12" t="s">
        <v>191</v>
      </c>
    </row>
    <row r="14" spans="1:7" x14ac:dyDescent="0.2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42</v>
      </c>
    </row>
    <row r="15" spans="1:7" x14ac:dyDescent="0.2">
      <c r="A15">
        <v>1</v>
      </c>
      <c r="B15" s="74">
        <v>45961</v>
      </c>
      <c r="C15" t="s">
        <v>198</v>
      </c>
      <c r="D15">
        <v>12</v>
      </c>
      <c r="E15" t="s">
        <v>199</v>
      </c>
      <c r="F15">
        <v>45000</v>
      </c>
      <c r="G15">
        <v>232.2</v>
      </c>
    </row>
    <row r="16" spans="1:7" x14ac:dyDescent="0.2">
      <c r="A16">
        <v>2</v>
      </c>
      <c r="B16" s="74">
        <v>46022</v>
      </c>
      <c r="C16" t="s">
        <v>200</v>
      </c>
      <c r="D16">
        <v>13</v>
      </c>
      <c r="E16" t="s">
        <v>199</v>
      </c>
      <c r="F16">
        <v>45000</v>
      </c>
      <c r="G16">
        <v>251.55</v>
      </c>
    </row>
    <row r="17" spans="1:7" x14ac:dyDescent="0.2">
      <c r="A17">
        <v>3</v>
      </c>
      <c r="B17" s="74">
        <v>46059</v>
      </c>
      <c r="C17" t="s">
        <v>201</v>
      </c>
      <c r="D17">
        <v>14</v>
      </c>
      <c r="E17" t="s">
        <v>199</v>
      </c>
      <c r="F17">
        <v>45000</v>
      </c>
      <c r="G17">
        <v>270.89999999999998</v>
      </c>
    </row>
    <row r="18" spans="1:7" x14ac:dyDescent="0.2">
      <c r="A18">
        <v>4</v>
      </c>
      <c r="B18" s="74">
        <v>46059</v>
      </c>
      <c r="C18" t="s">
        <v>202</v>
      </c>
      <c r="D18">
        <v>4.5</v>
      </c>
      <c r="E18" t="s">
        <v>203</v>
      </c>
      <c r="F18">
        <v>120</v>
      </c>
      <c r="G18">
        <v>540</v>
      </c>
    </row>
    <row r="19" spans="1:7" x14ac:dyDescent="0.2">
      <c r="A19">
        <v>5</v>
      </c>
      <c r="B19" s="74">
        <v>46059</v>
      </c>
      <c r="C19" t="s">
        <v>204</v>
      </c>
      <c r="D19">
        <v>0</v>
      </c>
      <c r="E19" t="s">
        <v>199</v>
      </c>
      <c r="F19">
        <v>0</v>
      </c>
      <c r="G19">
        <v>60</v>
      </c>
    </row>
    <row r="20" spans="1:7" x14ac:dyDescent="0.2">
      <c r="F20" t="s">
        <v>205</v>
      </c>
      <c r="G20">
        <v>1354.65</v>
      </c>
    </row>
    <row r="21" spans="1:7" x14ac:dyDescent="0.2">
      <c r="F21" t="s">
        <v>206</v>
      </c>
      <c r="G21">
        <v>257.38</v>
      </c>
    </row>
    <row r="22" spans="1:7" x14ac:dyDescent="0.2">
      <c r="F22" t="s">
        <v>207</v>
      </c>
      <c r="G22">
        <v>1612.03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42</vt:i4>
      </vt:variant>
    </vt:vector>
  </HeadingPairs>
  <TitlesOfParts>
    <vt:vector size="42" baseType="lpstr">
      <vt:lpstr>JA 2017</vt:lpstr>
      <vt:lpstr>ESt 2017</vt:lpstr>
      <vt:lpstr>Fibu IV-2018</vt:lpstr>
      <vt:lpstr>Fibu I-2019</vt:lpstr>
      <vt:lpstr>ESt 2017 Anl V</vt:lpstr>
      <vt:lpstr>Fibu I+II-2019</vt:lpstr>
      <vt:lpstr>Fibu III+IV-2019</vt:lpstr>
      <vt:lpstr>JA 2018</vt:lpstr>
      <vt:lpstr>ESt 2018</vt:lpstr>
      <vt:lpstr>Fibu I-2020</vt:lpstr>
      <vt:lpstr>Fibu II-2020</vt:lpstr>
      <vt:lpstr>Fibu III-2020</vt:lpstr>
      <vt:lpstr>Fibu IV-2020</vt:lpstr>
      <vt:lpstr>JA 2019</vt:lpstr>
      <vt:lpstr>ESt 2019</vt:lpstr>
      <vt:lpstr>Fibu I+II-2021</vt:lpstr>
      <vt:lpstr>Fibu III-2021</vt:lpstr>
      <vt:lpstr>Fibu IV-2021</vt:lpstr>
      <vt:lpstr>JA 2020</vt:lpstr>
      <vt:lpstr>Fibu I-2022</vt:lpstr>
      <vt:lpstr>ESt 2020</vt:lpstr>
      <vt:lpstr>Fibu II-2022</vt:lpstr>
      <vt:lpstr>Fibu III-2022</vt:lpstr>
      <vt:lpstr>JA 2021</vt:lpstr>
      <vt:lpstr>ESt 2021</vt:lpstr>
      <vt:lpstr>Fibu IV-2022</vt:lpstr>
      <vt:lpstr>GrSt 2022</vt:lpstr>
      <vt:lpstr>Fibu I-2023</vt:lpstr>
      <vt:lpstr>Fibu II-2023</vt:lpstr>
      <vt:lpstr>Fibu III-2023</vt:lpstr>
      <vt:lpstr>Fibu IV-2023</vt:lpstr>
      <vt:lpstr>Fibu I-2024</vt:lpstr>
      <vt:lpstr>JA 2022</vt:lpstr>
      <vt:lpstr>ESt 2022</vt:lpstr>
      <vt:lpstr>Fibu II-2024</vt:lpstr>
      <vt:lpstr>Fibu III-2024</vt:lpstr>
      <vt:lpstr>Fibu IV-2024</vt:lpstr>
      <vt:lpstr>Fibu I-2025</vt:lpstr>
      <vt:lpstr>EÜR 2023</vt:lpstr>
      <vt:lpstr>ESt 2023</vt:lpstr>
      <vt:lpstr>Fibu II-2025</vt:lpstr>
      <vt:lpstr>Fibu II-2025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Ahting</dc:creator>
  <cp:lastModifiedBy>Charis</cp:lastModifiedBy>
  <cp:lastPrinted>2026-03-10T15:04:24Z</cp:lastPrinted>
  <dcterms:created xsi:type="dcterms:W3CDTF">2005-12-09T14:54:17Z</dcterms:created>
  <dcterms:modified xsi:type="dcterms:W3CDTF">2026-04-19T21:04:20Z</dcterms:modified>
</cp:coreProperties>
</file>