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Charis\Projekte\excel2zugferd\Musterrechnungen 21.03.2026\"/>
    </mc:Choice>
  </mc:AlternateContent>
  <xr:revisionPtr revIDLastSave="0" documentId="8_{95F2A938-606A-44CF-9511-18B8C445A626}" xr6:coauthVersionLast="47" xr6:coauthVersionMax="47" xr10:uidLastSave="{00000000-0000-0000-0000-000000000000}"/>
  <bookViews>
    <workbookView xWindow="990" yWindow="765" windowWidth="27780" windowHeight="13635" tabRatio="734" activeTab="2" xr2:uid="{DD8D04E0-A40E-4242-92B0-C1AC96EB49EA}"/>
  </bookViews>
  <sheets>
    <sheet name="Löhne I-2025 (2)" sheetId="150" r:id="rId1"/>
    <sheet name="Löhne I-2025" sheetId="141" r:id="rId2"/>
    <sheet name="Fibu I-2025 (2)" sheetId="151" r:id="rId3"/>
    <sheet name="Fibu I-2025" sheetId="142" r:id="rId4"/>
    <sheet name="Fibu II-2025" sheetId="143" r:id="rId5"/>
    <sheet name="Löhne II-2025" sheetId="144" r:id="rId6"/>
    <sheet name="Löhne III-2025" sheetId="145" r:id="rId7"/>
    <sheet name="Fibu III-2025" sheetId="147" r:id="rId8"/>
    <sheet name="Fibu IV-2025" sheetId="148" r:id="rId9"/>
    <sheet name="Löhne IV-2025" sheetId="149" r:id="rId10"/>
  </sheets>
  <calcPr calcId="191029"/>
</workbook>
</file>

<file path=xl/calcChain.xml><?xml version="1.0" encoding="utf-8"?>
<calcChain xmlns="http://schemas.openxmlformats.org/spreadsheetml/2006/main">
  <c r="G14" i="151" l="1"/>
  <c r="G16" i="151"/>
  <c r="G15" i="151"/>
  <c r="F14" i="151"/>
  <c r="F15" i="151" s="1"/>
  <c r="F16" i="151" s="1"/>
  <c r="G17" i="150"/>
  <c r="G18" i="150"/>
  <c r="G16" i="150"/>
  <c r="G15" i="150"/>
  <c r="G14" i="150"/>
  <c r="H27" i="148"/>
  <c r="H37" i="149"/>
  <c r="H34" i="149"/>
  <c r="H30" i="149"/>
  <c r="H26" i="149"/>
  <c r="E37" i="149"/>
  <c r="H25" i="148"/>
  <c r="E26" i="148"/>
  <c r="E27" i="148"/>
  <c r="E24" i="147"/>
  <c r="E27" i="147"/>
  <c r="E30" i="147"/>
  <c r="H24" i="147"/>
  <c r="G27" i="147"/>
  <c r="H27" i="147"/>
  <c r="H37" i="145"/>
  <c r="H34" i="145"/>
  <c r="H30" i="145"/>
  <c r="H26" i="145"/>
  <c r="H39" i="145"/>
  <c r="H33" i="144"/>
  <c r="H36" i="144"/>
  <c r="H30" i="144"/>
  <c r="H26" i="144"/>
  <c r="H23" i="144"/>
  <c r="G27" i="143"/>
  <c r="G30" i="143"/>
  <c r="H30" i="143"/>
  <c r="H37" i="143"/>
  <c r="H24" i="143"/>
  <c r="E24" i="143"/>
  <c r="E27" i="143"/>
  <c r="E30" i="143"/>
  <c r="H30" i="142"/>
  <c r="H27" i="142"/>
  <c r="H24" i="142"/>
  <c r="E24" i="142"/>
  <c r="E27" i="142"/>
  <c r="E30" i="142"/>
  <c r="H18" i="141"/>
  <c r="T12" i="141"/>
  <c r="H29" i="141"/>
  <c r="H25" i="141"/>
  <c r="H23" i="141"/>
  <c r="H20" i="141"/>
  <c r="E36" i="141" s="1"/>
  <c r="H38" i="141"/>
  <c r="H39" i="141" s="1"/>
  <c r="H40" i="141" s="1"/>
  <c r="H37" i="142"/>
  <c r="H38" i="142"/>
  <c r="H39" i="142"/>
  <c r="E37" i="145"/>
  <c r="H43" i="144"/>
  <c r="E41" i="144"/>
  <c r="H30" i="147"/>
  <c r="H37" i="147"/>
  <c r="H38" i="147"/>
  <c r="H39" i="147"/>
  <c r="H27" i="143"/>
  <c r="H44" i="144"/>
  <c r="H45" i="144"/>
  <c r="H26" i="148"/>
  <c r="H37" i="148"/>
  <c r="H39" i="149"/>
  <c r="H41" i="149"/>
  <c r="H40" i="149"/>
  <c r="H39" i="143"/>
  <c r="H38" i="143"/>
  <c r="H38" i="148"/>
  <c r="H39" i="148"/>
  <c r="H40" i="145"/>
  <c r="H41" i="145"/>
  <c r="G17" i="151" l="1"/>
  <c r="G18" i="151" s="1"/>
  <c r="G19" i="151" s="1"/>
  <c r="G20" i="150"/>
  <c r="G21" i="150" s="1"/>
  <c r="G22" i="150" s="1"/>
  <c r="F19" i="150"/>
</calcChain>
</file>

<file path=xl/sharedStrings.xml><?xml version="1.0" encoding="utf-8"?>
<sst xmlns="http://schemas.openxmlformats.org/spreadsheetml/2006/main" count="379" uniqueCount="111">
  <si>
    <t>Hartmut Ahting, Steuerberater, Heerstrasse 50, 60488 Frankfurt</t>
  </si>
  <si>
    <t>Rg-Datum:</t>
  </si>
  <si>
    <t xml:space="preserve">Kunden-Nr.: </t>
  </si>
  <si>
    <t>Rg-Nr.:</t>
  </si>
  <si>
    <t xml:space="preserve">Rechnung über Honorare </t>
  </si>
  <si>
    <t>verordnung wie folgt abzurechnen:</t>
  </si>
  <si>
    <t>Leistung</t>
  </si>
  <si>
    <t>Gebühr</t>
  </si>
  <si>
    <t>§§</t>
  </si>
  <si>
    <t>Gesamt</t>
  </si>
  <si>
    <t>USt 19%</t>
  </si>
  <si>
    <t>Rechnungsendbetrag</t>
  </si>
  <si>
    <t>Gegenstands-</t>
  </si>
  <si>
    <t>wert</t>
  </si>
  <si>
    <t>Tabelle</t>
  </si>
  <si>
    <t>Geb.-</t>
  </si>
  <si>
    <t>satz</t>
  </si>
  <si>
    <t xml:space="preserve">Buchführung einschl. Kontieren der Belege </t>
  </si>
  <si>
    <t>C</t>
  </si>
  <si>
    <t>Donnersbergstraße 25</t>
  </si>
  <si>
    <t>60528 Frankfurt</t>
  </si>
  <si>
    <t>Franz Pfaff Innenausbau GmbH</t>
  </si>
  <si>
    <t>Arbeit-</t>
  </si>
  <si>
    <t>nehmer</t>
  </si>
  <si>
    <t>Zeitgeb.</t>
  </si>
  <si>
    <t xml:space="preserve">Auslagenersatz für Post- und </t>
  </si>
  <si>
    <t>Telekommunikation</t>
  </si>
  <si>
    <t>Umsatzsteuer 19%</t>
  </si>
  <si>
    <t xml:space="preserve">Für die nachfolgend aufgeführten Leistungen erlaube ich mir nach der Steuerberatervergütungs- </t>
  </si>
  <si>
    <t xml:space="preserve"> - Lohnabrechnungen inkl. </t>
  </si>
  <si>
    <t xml:space="preserve">   Sozialvers.-meldungen</t>
  </si>
  <si>
    <t xml:space="preserve">IBAN: </t>
  </si>
  <si>
    <t>DE 13 50070024 0 4092862 00</t>
  </si>
  <si>
    <t>DEUTDEDBFRA</t>
  </si>
  <si>
    <t>Bitte überweisen Sie den Betrag ohne Abzüge innerhalb von 14 Tagen auf das angegebene Konto.</t>
  </si>
  <si>
    <t>am</t>
  </si>
  <si>
    <t>BIC:</t>
  </si>
  <si>
    <t>am/in:</t>
  </si>
  <si>
    <t>Hilfeleistung bei sonstigen Tätigkeiten im Zusammen-</t>
  </si>
  <si>
    <t>hang mit dem Lohnsteuerabzug/der Lohnbuchführung</t>
  </si>
  <si>
    <t xml:space="preserve">Steuernummer: 014 801 32096           </t>
  </si>
  <si>
    <t xml:space="preserve">Steuernummer: 014 801 32096      </t>
  </si>
  <si>
    <t xml:space="preserve">Löhne/Gehälter 01/2025 </t>
  </si>
  <si>
    <t xml:space="preserve">Löhne/Gehälter 02/2025 </t>
  </si>
  <si>
    <t>02/2025</t>
  </si>
  <si>
    <t xml:space="preserve">Löhne/Gehälter 03/2025 </t>
  </si>
  <si>
    <t>- Antrag auf Saison-KUG 02/2025</t>
  </si>
  <si>
    <t>I/2025</t>
  </si>
  <si>
    <t>10113-2025-004</t>
  </si>
  <si>
    <t xml:space="preserve"> - Einrichten v. Lohnkonten (Vasile)</t>
  </si>
  <si>
    <t>01/2025</t>
  </si>
  <si>
    <t xml:space="preserve"> - Einrichten v. Lohnkonten (Bajiric)</t>
  </si>
  <si>
    <t xml:space="preserve">Steuernummer: 014 801 32096    </t>
  </si>
  <si>
    <t>10113-2025-005</t>
  </si>
  <si>
    <t>für 01/2025 am</t>
  </si>
  <si>
    <t>für 02/2025am</t>
  </si>
  <si>
    <t>für 03/2025 am</t>
  </si>
  <si>
    <t>10113-2025-006</t>
  </si>
  <si>
    <t>für 04/2025 am</t>
  </si>
  <si>
    <t>für 05/2025 am</t>
  </si>
  <si>
    <t>für 06/2025 am</t>
  </si>
  <si>
    <t xml:space="preserve">Löhne/Gehälter 04/2025 </t>
  </si>
  <si>
    <t xml:space="preserve">Löhne/Gehälter 05/2025 </t>
  </si>
  <si>
    <t xml:space="preserve">Löhne/Gehälter 06/2025 </t>
  </si>
  <si>
    <t>II/2025</t>
  </si>
  <si>
    <t>04/2025</t>
  </si>
  <si>
    <t xml:space="preserve"> - Einrichten von Lohnkonten </t>
  </si>
  <si>
    <t xml:space="preserve">   (Gribencea)</t>
  </si>
  <si>
    <t>06/2025</t>
  </si>
  <si>
    <t xml:space="preserve">   (Donica, Ciobanu)</t>
  </si>
  <si>
    <t xml:space="preserve">Löhne/Gehälter 07/2025 </t>
  </si>
  <si>
    <t xml:space="preserve">Löhne/Gehälter 08/2025 </t>
  </si>
  <si>
    <t xml:space="preserve">Löhne/Gehälter 09/2025 </t>
  </si>
  <si>
    <t>III/2025</t>
  </si>
  <si>
    <t>10113-2025-007</t>
  </si>
  <si>
    <t>10113-2025-008</t>
  </si>
  <si>
    <t>für 07/2025 am</t>
  </si>
  <si>
    <t>für 08/2025 am</t>
  </si>
  <si>
    <t>für 09/2025 am</t>
  </si>
  <si>
    <t>10113-2025-009</t>
  </si>
  <si>
    <t>Buchführung einschl. Kontieren der Belege für:</t>
  </si>
  <si>
    <t>10113-2026-001</t>
  </si>
  <si>
    <t xml:space="preserve">Löhne/Gehälter 10/2025 </t>
  </si>
  <si>
    <t xml:space="preserve">Löhne/Gehälter 11/2025 </t>
  </si>
  <si>
    <t xml:space="preserve">Löhne/Gehälter 12/2025 </t>
  </si>
  <si>
    <t>IV/2025</t>
  </si>
  <si>
    <t>10113-2026-002</t>
  </si>
  <si>
    <t>An:</t>
  </si>
  <si>
    <t>§34 /- Lohnabrechnungen inkl. Sozialvers.-meldungen</t>
  </si>
  <si>
    <t>§34 / Löhne/Gehälter 01/2025 - Einrichten v. Lohnkonten (Vasile)</t>
  </si>
  <si>
    <t>§34 / Löhne/Gehälter 02/2025  - Einrichten v. Lohnkonten (Bajiric)</t>
  </si>
  <si>
    <t>§34 / -Lohnabrechnungen inkl. Sozialvers.-meldungen</t>
  </si>
  <si>
    <t>§34 / Löhne/Gehälter 03/2025  - Lohnabrechnungen inkl. Sozialvers.-meldungen</t>
  </si>
  <si>
    <t xml:space="preserve">§16 / Auslagenersatz für Post- und Telekommunikation </t>
  </si>
  <si>
    <t>Summe</t>
  </si>
  <si>
    <t>Bruttobetrag</t>
  </si>
  <si>
    <t>Pos.</t>
  </si>
  <si>
    <t>Rechnungs-Nr:</t>
  </si>
  <si>
    <t>Kunden-Nr:</t>
  </si>
  <si>
    <t>Rechnungsdatum:</t>
  </si>
  <si>
    <t>§§ / Leistung</t>
  </si>
  <si>
    <t>Stk.</t>
  </si>
  <si>
    <t>Einheit</t>
  </si>
  <si>
    <t>Datum</t>
  </si>
  <si>
    <t>Arbeit-nehmer</t>
  </si>
  <si>
    <t>Wert</t>
  </si>
  <si>
    <t>§33 / Buchführung einschl. Kontieren der Belege für 01/2025 - Tabelle C</t>
  </si>
  <si>
    <t>§33 / Buchführung einschl. Kontieren der Belege für 02/2025 - Tabelle C</t>
  </si>
  <si>
    <t>§33 / Buchführung einschl. Kontieren der Belege für 03/2025 - Tabelle C</t>
  </si>
  <si>
    <t xml:space="preserve">Für die nachfolgend aufgeführten Leistungen erlaube ich mir nach der Steuerberatervergütungsverordnung wie folgt abzurechnen: </t>
  </si>
  <si>
    <t>Gebühren-satz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</si>
</sst>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164" formatCode="d/\ mmmm\ yyyy"/>
    <numFmt numFmtId="165" formatCode="#,##0.00\ [$€-1]"/>
    <numFmt numFmtId="166" formatCode="#,##0.0"/>
    <numFmt numFmtId="167" formatCode="0\ &quot;AN&quot;"/>
    <numFmt numFmtId="168" formatCode="#,##0.00\ &quot;€/AN&quot;"/>
    <numFmt numFmtId="169" formatCode="#,##0.00\ &quot;€/Std.&quot;"/>
    <numFmt numFmtId="170" formatCode="0.00\ &quot;Std&quot;"/>
    <numFmt numFmtId="171" formatCode="mmmm\ yyyy"/>
    <numFmt numFmtId="172" formatCode="#,##0.00\ &quot;€&quot;"/>
    <numFmt numFmtId="174" formatCode="dd/mm/yy;@"/>
  </numFmts>
  <fonts count="16" x14ac:knownFonts="1">
    <font>
      <sz val="10"/>
      <name val="Arial"/>
    </font>
    <font>
      <sz val="10"/>
      <name val="Arial"/>
      <family val="2"/>
    </font>
    <font>
      <sz val="6"/>
      <color indexed="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sz val="10"/>
      <name val="Times New Roman"/>
      <family val="1"/>
    </font>
    <font>
      <sz val="11.5"/>
      <name val="Times New Roman"/>
      <family val="1"/>
    </font>
    <font>
      <sz val="11.5"/>
      <name val="Arial"/>
      <family val="2"/>
    </font>
    <font>
      <b/>
      <sz val="11.5"/>
      <name val="Times New Roman"/>
      <family val="1"/>
    </font>
    <font>
      <sz val="10.5"/>
      <name val="Times New Roman"/>
      <family val="1"/>
    </font>
    <font>
      <sz val="10.5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14" fillId="0" borderId="0" applyFont="0" applyFill="0" applyBorder="0" applyAlignment="0" applyProtection="0"/>
  </cellStyleXfs>
  <cellXfs count="161">
    <xf numFmtId="0" fontId="0" fillId="0" borderId="0" xfId="0"/>
    <xf numFmtId="0" fontId="2" fillId="0" borderId="0" xfId="0" applyFont="1"/>
    <xf numFmtId="0" fontId="3" fillId="0" borderId="0" xfId="0" applyFont="1"/>
    <xf numFmtId="3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2" fontId="5" fillId="0" borderId="0" xfId="0" applyNumberFormat="1" applyFont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4" fontId="5" fillId="0" borderId="0" xfId="0" applyNumberFormat="1" applyFont="1" applyAlignment="1">
      <alignment horizontal="left"/>
    </xf>
    <xf numFmtId="165" fontId="5" fillId="0" borderId="4" xfId="0" applyNumberFormat="1" applyFont="1" applyBorder="1"/>
    <xf numFmtId="0" fontId="9" fillId="0" borderId="0" xfId="0" applyFont="1"/>
    <xf numFmtId="0" fontId="10" fillId="0" borderId="0" xfId="0" applyFont="1"/>
    <xf numFmtId="3" fontId="9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4" fontId="9" fillId="0" borderId="0" xfId="0" applyNumberFormat="1" applyFont="1" applyAlignment="1">
      <alignment horizontal="center"/>
    </xf>
    <xf numFmtId="4" fontId="9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9" fillId="0" borderId="1" xfId="0" applyFont="1" applyBorder="1"/>
    <xf numFmtId="3" fontId="9" fillId="0" borderId="1" xfId="0" applyNumberFormat="1" applyFont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12" fillId="0" borderId="0" xfId="0" applyFont="1"/>
    <xf numFmtId="14" fontId="12" fillId="0" borderId="0" xfId="0" applyNumberFormat="1" applyFont="1" applyAlignment="1">
      <alignment horizontal="center"/>
    </xf>
    <xf numFmtId="17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4" fontId="12" fillId="0" borderId="0" xfId="0" applyNumberFormat="1" applyFont="1"/>
    <xf numFmtId="0" fontId="12" fillId="0" borderId="0" xfId="0" quotePrefix="1" applyFont="1"/>
    <xf numFmtId="168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/>
    <xf numFmtId="165" fontId="12" fillId="0" borderId="1" xfId="0" applyNumberFormat="1" applyFont="1" applyBorder="1" applyAlignment="1">
      <alignment horizontal="center"/>
    </xf>
    <xf numFmtId="0" fontId="12" fillId="0" borderId="1" xfId="0" applyFont="1" applyBorder="1"/>
    <xf numFmtId="4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/>
    <xf numFmtId="0" fontId="13" fillId="0" borderId="0" xfId="0" applyFont="1"/>
    <xf numFmtId="3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left"/>
    </xf>
    <xf numFmtId="3" fontId="12" fillId="0" borderId="4" xfId="0" applyNumberFormat="1" applyFont="1" applyBorder="1" applyAlignment="1">
      <alignment horizontal="left"/>
    </xf>
    <xf numFmtId="4" fontId="12" fillId="0" borderId="4" xfId="0" applyNumberFormat="1" applyFont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165" fontId="12" fillId="0" borderId="4" xfId="0" applyNumberFormat="1" applyFont="1" applyBorder="1"/>
    <xf numFmtId="3" fontId="12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4" fontId="5" fillId="0" borderId="5" xfId="0" applyNumberFormat="1" applyFont="1" applyBorder="1" applyAlignment="1">
      <alignment horizontal="left"/>
    </xf>
    <xf numFmtId="170" fontId="12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center"/>
    </xf>
    <xf numFmtId="4" fontId="5" fillId="0" borderId="6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7" fontId="5" fillId="0" borderId="0" xfId="0" applyNumberFormat="1" applyFont="1" applyAlignment="1">
      <alignment horizontal="center"/>
    </xf>
    <xf numFmtId="3" fontId="5" fillId="0" borderId="0" xfId="0" applyNumberFormat="1" applyFont="1"/>
    <xf numFmtId="166" fontId="5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7" fillId="0" borderId="0" xfId="0" applyFont="1" applyAlignment="1">
      <alignment horizontal="center"/>
    </xf>
    <xf numFmtId="3" fontId="5" fillId="0" borderId="4" xfId="0" applyNumberFormat="1" applyFont="1" applyBorder="1" applyAlignment="1">
      <alignment horizontal="left"/>
    </xf>
    <xf numFmtId="4" fontId="5" fillId="0" borderId="4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center"/>
    </xf>
    <xf numFmtId="14" fontId="12" fillId="0" borderId="0" xfId="0" quotePrefix="1" applyNumberFormat="1" applyFont="1" applyAlignment="1">
      <alignment horizontal="center"/>
    </xf>
    <xf numFmtId="14" fontId="5" fillId="0" borderId="0" xfId="0" applyNumberFormat="1" applyFont="1"/>
    <xf numFmtId="14" fontId="12" fillId="0" borderId="0" xfId="0" applyNumberFormat="1" applyFont="1"/>
    <xf numFmtId="14" fontId="5" fillId="0" borderId="0" xfId="0" applyNumberFormat="1" applyFont="1" applyAlignment="1">
      <alignment horizontal="left"/>
    </xf>
    <xf numFmtId="171" fontId="5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4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quotePrefix="1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65" fontId="12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165" fontId="12" fillId="0" borderId="4" xfId="0" applyNumberFormat="1" applyFont="1" applyBorder="1" applyAlignment="1">
      <alignment horizontal="right" vertical="top"/>
    </xf>
    <xf numFmtId="4" fontId="12" fillId="0" borderId="0" xfId="0" applyNumberFormat="1" applyFont="1" applyAlignment="1">
      <alignment horizontal="left" vertical="top"/>
    </xf>
    <xf numFmtId="44" fontId="15" fillId="0" borderId="0" xfId="2" applyFont="1" applyBorder="1" applyAlignment="1">
      <alignment horizontal="right"/>
    </xf>
    <xf numFmtId="1" fontId="12" fillId="0" borderId="0" xfId="0" applyNumberFormat="1" applyFont="1" applyAlignment="1">
      <alignment horizontal="left" vertical="top"/>
    </xf>
    <xf numFmtId="165" fontId="5" fillId="0" borderId="0" xfId="0" applyNumberFormat="1" applyFont="1" applyAlignment="1">
      <alignment horizontal="right" vertical="top"/>
    </xf>
    <xf numFmtId="4" fontId="5" fillId="0" borderId="0" xfId="0" applyNumberFormat="1" applyFont="1" applyAlignment="1">
      <alignment vertical="top"/>
    </xf>
    <xf numFmtId="0" fontId="12" fillId="0" borderId="0" xfId="0" applyFont="1" applyAlignment="1">
      <alignment horizontal="center" vertical="top"/>
    </xf>
    <xf numFmtId="0" fontId="4" fillId="2" borderId="0" xfId="0" applyFont="1" applyFill="1"/>
    <xf numFmtId="0" fontId="9" fillId="2" borderId="0" xfId="0" applyFont="1" applyFill="1"/>
    <xf numFmtId="0" fontId="11" fillId="2" borderId="0" xfId="0" applyFont="1" applyFill="1" applyAlignment="1">
      <alignment horizontal="center"/>
    </xf>
    <xf numFmtId="3" fontId="11" fillId="2" borderId="0" xfId="0" applyNumberFormat="1" applyFont="1" applyFill="1" applyAlignment="1">
      <alignment horizontal="center" wrapText="1"/>
    </xf>
    <xf numFmtId="4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right"/>
    </xf>
    <xf numFmtId="3" fontId="11" fillId="2" borderId="0" xfId="0" applyNumberFormat="1" applyFont="1" applyFill="1" applyAlignment="1">
      <alignment horizontal="right" wrapText="1"/>
    </xf>
    <xf numFmtId="4" fontId="11" fillId="2" borderId="0" xfId="0" applyNumberFormat="1" applyFont="1" applyFill="1" applyAlignment="1">
      <alignment horizontal="right"/>
    </xf>
    <xf numFmtId="0" fontId="11" fillId="2" borderId="0" xfId="0" applyFont="1" applyFill="1" applyAlignment="1">
      <alignment horizontal="left"/>
    </xf>
    <xf numFmtId="1" fontId="12" fillId="0" borderId="0" xfId="0" applyNumberFormat="1" applyFont="1" applyAlignment="1">
      <alignment horizontal="center" vertical="top"/>
    </xf>
    <xf numFmtId="172" fontId="12" fillId="0" borderId="0" xfId="0" applyNumberFormat="1" applyFont="1" applyAlignment="1">
      <alignment horizontal="right" vertical="top"/>
    </xf>
    <xf numFmtId="0" fontId="11" fillId="2" borderId="0" xfId="0" applyFont="1" applyFill="1"/>
    <xf numFmtId="1" fontId="12" fillId="0" borderId="0" xfId="0" applyNumberFormat="1" applyFont="1" applyAlignment="1">
      <alignment vertical="top"/>
    </xf>
    <xf numFmtId="1" fontId="12" fillId="0" borderId="0" xfId="0" quotePrefix="1" applyNumberFormat="1" applyFont="1" applyAlignment="1">
      <alignment vertical="top" wrapText="1"/>
    </xf>
    <xf numFmtId="0" fontId="10" fillId="2" borderId="0" xfId="0" applyFont="1" applyFill="1"/>
    <xf numFmtId="3" fontId="9" fillId="2" borderId="0" xfId="0" applyNumberFormat="1" applyFont="1" applyFill="1" applyAlignment="1">
      <alignment horizontal="center"/>
    </xf>
    <xf numFmtId="4" fontId="9" fillId="2" borderId="0" xfId="0" applyNumberFormat="1" applyFont="1" applyFill="1" applyAlignment="1">
      <alignment horizontal="center"/>
    </xf>
    <xf numFmtId="4" fontId="9" fillId="2" borderId="0" xfId="0" applyNumberFormat="1" applyFont="1" applyFill="1"/>
    <xf numFmtId="0" fontId="11" fillId="0" borderId="0" xfId="0" applyFont="1" applyAlignment="1">
      <alignment horizontal="left"/>
    </xf>
    <xf numFmtId="3" fontId="11" fillId="0" borderId="0" xfId="0" applyNumberFormat="1" applyFont="1" applyAlignment="1">
      <alignment horizontal="center" wrapText="1"/>
    </xf>
    <xf numFmtId="4" fontId="11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right" wrapText="1"/>
    </xf>
    <xf numFmtId="4" fontId="11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4" fontId="5" fillId="0" borderId="8" xfId="0" applyNumberFormat="1" applyFont="1" applyBorder="1" applyAlignment="1">
      <alignment horizontal="left"/>
    </xf>
    <xf numFmtId="4" fontId="5" fillId="0" borderId="3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4" fontId="9" fillId="0" borderId="8" xfId="0" applyNumberFormat="1" applyFont="1" applyBorder="1" applyAlignment="1">
      <alignment horizontal="left"/>
    </xf>
    <xf numFmtId="4" fontId="9" fillId="0" borderId="3" xfId="0" applyNumberFormat="1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74" fontId="12" fillId="0" borderId="0" xfId="0" quotePrefix="1" applyNumberFormat="1" applyFont="1" applyAlignment="1">
      <alignment horizontal="center" vertical="top"/>
    </xf>
    <xf numFmtId="174" fontId="12" fillId="0" borderId="0" xfId="0" applyNumberFormat="1" applyFont="1" applyAlignment="1">
      <alignment horizontal="center" vertical="top"/>
    </xf>
    <xf numFmtId="174" fontId="5" fillId="0" borderId="0" xfId="0" applyNumberFormat="1" applyFont="1" applyAlignment="1">
      <alignment horizontal="center" vertical="top"/>
    </xf>
    <xf numFmtId="174" fontId="13" fillId="0" borderId="0" xfId="0" applyNumberFormat="1" applyFont="1" applyAlignment="1">
      <alignment horizontal="left" vertical="top"/>
    </xf>
    <xf numFmtId="174" fontId="12" fillId="0" borderId="0" xfId="0" applyNumberFormat="1" applyFont="1" applyAlignment="1">
      <alignment horizontal="left" vertical="top"/>
    </xf>
  </cellXfs>
  <cellStyles count="3">
    <cellStyle name="Standard" xfId="0" builtinId="0"/>
    <cellStyle name="Standard 2" xfId="1" xr:uid="{0374ECB6-895A-4EBA-8AE8-C337AD0FD7A4}"/>
    <cellStyle name="Währung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142875</xdr:rowOff>
    </xdr:from>
    <xdr:to>
      <xdr:col>1</xdr:col>
      <xdr:colOff>1514475</xdr:colOff>
      <xdr:row>47</xdr:row>
      <xdr:rowOff>57150</xdr:rowOff>
    </xdr:to>
    <xdr:pic>
      <xdr:nvPicPr>
        <xdr:cNvPr id="3094" name="Grafik 2">
          <a:extLst>
            <a:ext uri="{FF2B5EF4-FFF2-40B4-BE49-F238E27FC236}">
              <a16:creationId xmlns:a16="http://schemas.microsoft.com/office/drawing/2014/main" id="{4137C658-21C6-5D52-998B-62624E84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3775"/>
          <a:ext cx="23622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161925</xdr:rowOff>
    </xdr:from>
    <xdr:to>
      <xdr:col>2</xdr:col>
      <xdr:colOff>457200</xdr:colOff>
      <xdr:row>48</xdr:row>
      <xdr:rowOff>47625</xdr:rowOff>
    </xdr:to>
    <xdr:pic>
      <xdr:nvPicPr>
        <xdr:cNvPr id="4118" name="Grafik 2">
          <a:extLst>
            <a:ext uri="{FF2B5EF4-FFF2-40B4-BE49-F238E27FC236}">
              <a16:creationId xmlns:a16="http://schemas.microsoft.com/office/drawing/2014/main" id="{D3CEADD5-A6DA-E27A-4B5E-D13B35B8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75333">
          <a:off x="0" y="7315200"/>
          <a:ext cx="26003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285750</xdr:rowOff>
    </xdr:from>
    <xdr:to>
      <xdr:col>2</xdr:col>
      <xdr:colOff>428625</xdr:colOff>
      <xdr:row>47</xdr:row>
      <xdr:rowOff>171450</xdr:rowOff>
    </xdr:to>
    <xdr:pic>
      <xdr:nvPicPr>
        <xdr:cNvPr id="7184" name="Grafik 2">
          <a:extLst>
            <a:ext uri="{FF2B5EF4-FFF2-40B4-BE49-F238E27FC236}">
              <a16:creationId xmlns:a16="http://schemas.microsoft.com/office/drawing/2014/main" id="{F701D103-A9A9-47FC-327E-4D8A09780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3275"/>
          <a:ext cx="27051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142875</xdr:rowOff>
    </xdr:from>
    <xdr:to>
      <xdr:col>2</xdr:col>
      <xdr:colOff>85725</xdr:colOff>
      <xdr:row>52</xdr:row>
      <xdr:rowOff>57150</xdr:rowOff>
    </xdr:to>
    <xdr:pic>
      <xdr:nvPicPr>
        <xdr:cNvPr id="5139" name="Grafik 2">
          <a:extLst>
            <a:ext uri="{FF2B5EF4-FFF2-40B4-BE49-F238E27FC236}">
              <a16:creationId xmlns:a16="http://schemas.microsoft.com/office/drawing/2014/main" id="{DA9A1857-A719-78D2-ED9D-D3CB09C55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8075"/>
          <a:ext cx="23622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142875</xdr:rowOff>
    </xdr:from>
    <xdr:to>
      <xdr:col>2</xdr:col>
      <xdr:colOff>85725</xdr:colOff>
      <xdr:row>48</xdr:row>
      <xdr:rowOff>57150</xdr:rowOff>
    </xdr:to>
    <xdr:pic>
      <xdr:nvPicPr>
        <xdr:cNvPr id="8210" name="Grafik 2">
          <a:extLst>
            <a:ext uri="{FF2B5EF4-FFF2-40B4-BE49-F238E27FC236}">
              <a16:creationId xmlns:a16="http://schemas.microsoft.com/office/drawing/2014/main" id="{DCD22CB8-66AF-3FF7-360C-31962971A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5650"/>
          <a:ext cx="23622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41</xdr:row>
      <xdr:rowOff>180975</xdr:rowOff>
    </xdr:from>
    <xdr:to>
      <xdr:col>2</xdr:col>
      <xdr:colOff>342900</xdr:colOff>
      <xdr:row>48</xdr:row>
      <xdr:rowOff>66675</xdr:rowOff>
    </xdr:to>
    <xdr:pic>
      <xdr:nvPicPr>
        <xdr:cNvPr id="12292" name="Grafik 2">
          <a:extLst>
            <a:ext uri="{FF2B5EF4-FFF2-40B4-BE49-F238E27FC236}">
              <a16:creationId xmlns:a16="http://schemas.microsoft.com/office/drawing/2014/main" id="{9101976E-0B17-096A-9939-0FD284261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63558">
          <a:off x="57150" y="7572375"/>
          <a:ext cx="25622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142875</xdr:rowOff>
    </xdr:from>
    <xdr:to>
      <xdr:col>2</xdr:col>
      <xdr:colOff>85725</xdr:colOff>
      <xdr:row>48</xdr:row>
      <xdr:rowOff>57150</xdr:rowOff>
    </xdr:to>
    <xdr:pic>
      <xdr:nvPicPr>
        <xdr:cNvPr id="13319" name="Grafik 2">
          <a:extLst>
            <a:ext uri="{FF2B5EF4-FFF2-40B4-BE49-F238E27FC236}">
              <a16:creationId xmlns:a16="http://schemas.microsoft.com/office/drawing/2014/main" id="{8940FB22-CDF6-D326-066C-5392A013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4225"/>
          <a:ext cx="23622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6969-6015-4259-91D9-C972455EC2D8}">
  <dimension ref="A1:Q34"/>
  <sheetViews>
    <sheetView workbookViewId="0">
      <selection activeCell="B21" sqref="B21"/>
    </sheetView>
  </sheetViews>
  <sheetFormatPr baseColWidth="10" defaultColWidth="11.5703125" defaultRowHeight="15.75" x14ac:dyDescent="0.25"/>
  <cols>
    <col min="1" max="1" width="28.28515625" style="6" customWidth="1"/>
    <col min="2" max="2" width="14.5703125" style="6" customWidth="1"/>
    <col min="3" max="3" width="47" style="6" customWidth="1"/>
    <col min="4" max="4" width="10.7109375" style="4" customWidth="1"/>
    <col min="5" max="5" width="15" style="5" customWidth="1"/>
    <col min="6" max="6" width="19.28515625" style="5" customWidth="1"/>
    <col min="7" max="7" width="14.28515625" style="6" customWidth="1"/>
    <col min="8" max="8" width="26.140625" style="6" customWidth="1"/>
    <col min="9" max="16384" width="11.5703125" style="6"/>
  </cols>
  <sheetData>
    <row r="1" spans="1:17" x14ac:dyDescent="0.25">
      <c r="A1" s="101" t="s">
        <v>87</v>
      </c>
    </row>
    <row r="2" spans="1:17" s="24" customFormat="1" ht="15" x14ac:dyDescent="0.25">
      <c r="A2" s="24" t="s">
        <v>21</v>
      </c>
      <c r="C2" s="25"/>
    </row>
    <row r="3" spans="1:17" s="24" customFormat="1" ht="15" x14ac:dyDescent="0.25">
      <c r="A3" s="24" t="s">
        <v>19</v>
      </c>
      <c r="C3" s="25"/>
    </row>
    <row r="4" spans="1:17" s="24" customFormat="1" ht="15" x14ac:dyDescent="0.25">
      <c r="A4" s="24" t="s">
        <v>20</v>
      </c>
      <c r="C4" s="25"/>
      <c r="D4" s="22"/>
      <c r="E4" s="124"/>
      <c r="F4" s="124"/>
      <c r="G4" s="124"/>
    </row>
    <row r="5" spans="1:17" s="24" customFormat="1" ht="15" x14ac:dyDescent="0.25">
      <c r="D5" s="22"/>
      <c r="E5" s="124"/>
      <c r="F5" s="124"/>
      <c r="G5" s="124"/>
      <c r="J5" s="38"/>
      <c r="K5" s="43"/>
      <c r="L5" s="39"/>
      <c r="M5" s="40"/>
      <c r="N5" s="62"/>
      <c r="O5" s="38"/>
      <c r="P5" s="61"/>
      <c r="Q5" s="46"/>
    </row>
    <row r="6" spans="1:17" s="24" customFormat="1" ht="15" x14ac:dyDescent="0.25">
      <c r="A6" s="102" t="s">
        <v>97</v>
      </c>
      <c r="B6" s="84" t="s">
        <v>48</v>
      </c>
      <c r="D6" s="22"/>
      <c r="E6" s="9"/>
      <c r="F6" s="9"/>
      <c r="G6" s="9"/>
    </row>
    <row r="7" spans="1:17" s="24" customFormat="1" ht="15" x14ac:dyDescent="0.25">
      <c r="A7" s="102" t="s">
        <v>98</v>
      </c>
      <c r="B7" s="84">
        <v>10113</v>
      </c>
      <c r="D7" s="28"/>
      <c r="E7" s="29"/>
      <c r="F7" s="29"/>
    </row>
    <row r="8" spans="1:17" ht="17.25" customHeight="1" x14ac:dyDescent="0.25">
      <c r="A8" s="102" t="s">
        <v>99</v>
      </c>
      <c r="B8" s="86">
        <v>45853</v>
      </c>
    </row>
    <row r="9" spans="1:17" ht="17.25" customHeight="1" x14ac:dyDescent="0.25">
      <c r="A9" s="85"/>
      <c r="B9" s="85"/>
      <c r="C9" s="86"/>
    </row>
    <row r="10" spans="1:17" s="24" customFormat="1" ht="21" customHeight="1" x14ac:dyDescent="0.25">
      <c r="C10" s="106" t="s">
        <v>4</v>
      </c>
      <c r="D10" s="26"/>
      <c r="E10" s="28"/>
      <c r="F10" s="28"/>
    </row>
    <row r="11" spans="1:17" s="24" customFormat="1" ht="21" customHeight="1" x14ac:dyDescent="0.25">
      <c r="A11" s="102" t="s">
        <v>109</v>
      </c>
      <c r="B11" s="115"/>
      <c r="C11" s="102"/>
      <c r="D11" s="116"/>
      <c r="E11" s="117"/>
      <c r="F11" s="118"/>
      <c r="G11" s="102"/>
    </row>
    <row r="12" spans="1:17" s="24" customFormat="1" ht="21" customHeight="1" x14ac:dyDescent="0.25">
      <c r="D12" s="26"/>
      <c r="E12" s="28"/>
      <c r="F12" s="28"/>
    </row>
    <row r="13" spans="1:17" s="24" customFormat="1" ht="33.75" customHeight="1" x14ac:dyDescent="0.25">
      <c r="A13" s="112" t="s">
        <v>96</v>
      </c>
      <c r="B13" s="103" t="s">
        <v>103</v>
      </c>
      <c r="C13" s="109" t="s">
        <v>100</v>
      </c>
      <c r="D13" s="104" t="s">
        <v>104</v>
      </c>
      <c r="E13" s="105" t="s">
        <v>102</v>
      </c>
      <c r="F13" s="107" t="s">
        <v>105</v>
      </c>
      <c r="G13" s="108" t="s">
        <v>7</v>
      </c>
      <c r="H13" s="31"/>
      <c r="I13" s="31"/>
    </row>
    <row r="14" spans="1:17" s="38" customFormat="1" ht="30.75" customHeight="1" x14ac:dyDescent="0.2">
      <c r="A14" s="113">
        <v>1</v>
      </c>
      <c r="B14" s="156">
        <v>45658</v>
      </c>
      <c r="C14" s="89" t="s">
        <v>89</v>
      </c>
      <c r="D14" s="110">
        <v>1</v>
      </c>
      <c r="E14" s="100" t="s">
        <v>101</v>
      </c>
      <c r="F14" s="111">
        <v>9</v>
      </c>
      <c r="G14" s="92">
        <f>+D14*F14</f>
        <v>9</v>
      </c>
      <c r="H14" s="88"/>
    </row>
    <row r="15" spans="1:17" s="38" customFormat="1" ht="38.25" customHeight="1" x14ac:dyDescent="0.2">
      <c r="A15" s="113">
        <v>2</v>
      </c>
      <c r="B15" s="157">
        <v>45681</v>
      </c>
      <c r="C15" s="89" t="s">
        <v>88</v>
      </c>
      <c r="D15" s="110">
        <v>15</v>
      </c>
      <c r="E15" s="100" t="s">
        <v>101</v>
      </c>
      <c r="F15" s="111">
        <v>15</v>
      </c>
      <c r="G15" s="92">
        <f>+D15*F15</f>
        <v>225</v>
      </c>
      <c r="H15" s="88"/>
    </row>
    <row r="16" spans="1:17" s="38" customFormat="1" ht="27" x14ac:dyDescent="0.2">
      <c r="A16" s="113">
        <v>3</v>
      </c>
      <c r="B16" s="156">
        <v>45689</v>
      </c>
      <c r="C16" s="89" t="s">
        <v>90</v>
      </c>
      <c r="D16" s="110">
        <v>2</v>
      </c>
      <c r="E16" s="100" t="s">
        <v>101</v>
      </c>
      <c r="F16" s="111">
        <v>9</v>
      </c>
      <c r="G16" s="92">
        <f>+D16*F16</f>
        <v>18</v>
      </c>
      <c r="H16" s="88"/>
    </row>
    <row r="17" spans="1:11" s="38" customFormat="1" ht="13.5" x14ac:dyDescent="0.2">
      <c r="A17" s="114">
        <v>4</v>
      </c>
      <c r="B17" s="157">
        <v>45708</v>
      </c>
      <c r="C17" s="89" t="s">
        <v>91</v>
      </c>
      <c r="D17" s="110">
        <v>17</v>
      </c>
      <c r="E17" s="100" t="s">
        <v>101</v>
      </c>
      <c r="F17" s="111">
        <v>15</v>
      </c>
      <c r="G17" s="92">
        <f>+D17*F17</f>
        <v>255</v>
      </c>
      <c r="H17" s="88"/>
    </row>
    <row r="18" spans="1:11" s="38" customFormat="1" ht="27" x14ac:dyDescent="0.2">
      <c r="A18" s="113">
        <v>5</v>
      </c>
      <c r="B18" s="157">
        <v>45740</v>
      </c>
      <c r="C18" s="89" t="s">
        <v>92</v>
      </c>
      <c r="D18" s="110">
        <v>17</v>
      </c>
      <c r="E18" s="100" t="s">
        <v>101</v>
      </c>
      <c r="F18" s="111">
        <v>15</v>
      </c>
      <c r="G18" s="92">
        <f>+D18*F18</f>
        <v>255</v>
      </c>
      <c r="H18" s="88"/>
    </row>
    <row r="19" spans="1:11" s="38" customFormat="1" ht="24.75" customHeight="1" x14ac:dyDescent="0.2">
      <c r="A19" s="113">
        <v>6</v>
      </c>
      <c r="B19" s="157">
        <v>45658</v>
      </c>
      <c r="C19" s="89" t="s">
        <v>93</v>
      </c>
      <c r="D19" s="110">
        <v>0</v>
      </c>
      <c r="E19" s="100" t="s">
        <v>101</v>
      </c>
      <c r="F19" s="92">
        <f>SUM(G14:G18)*0.2</f>
        <v>152.4</v>
      </c>
      <c r="G19" s="92">
        <v>60</v>
      </c>
      <c r="H19" s="88"/>
    </row>
    <row r="20" spans="1:11" s="38" customFormat="1" ht="15" x14ac:dyDescent="0.25">
      <c r="A20" s="90"/>
      <c r="B20" s="90"/>
      <c r="C20" s="90"/>
      <c r="E20" s="90"/>
      <c r="F20" s="96" t="s">
        <v>94</v>
      </c>
      <c r="G20" s="92">
        <f>SUM(G14:G19)</f>
        <v>822</v>
      </c>
      <c r="H20" s="88"/>
      <c r="I20" s="46"/>
      <c r="K20" s="46"/>
    </row>
    <row r="21" spans="1:11" s="38" customFormat="1" ht="15" x14ac:dyDescent="0.25">
      <c r="A21" s="88"/>
      <c r="B21" s="88"/>
      <c r="C21" s="88"/>
      <c r="E21" s="90"/>
      <c r="F21" s="96" t="s">
        <v>27</v>
      </c>
      <c r="G21" s="92">
        <f>+G20*0.19</f>
        <v>156.18</v>
      </c>
      <c r="H21" s="88"/>
    </row>
    <row r="22" spans="1:11" s="38" customFormat="1" thickBot="1" x14ac:dyDescent="0.3">
      <c r="A22" s="88"/>
      <c r="B22" s="88"/>
      <c r="C22" s="88"/>
      <c r="E22" s="95"/>
      <c r="F22" s="96" t="s">
        <v>95</v>
      </c>
      <c r="G22" s="94">
        <f>SUM(G20:G21)</f>
        <v>978.18000000000006</v>
      </c>
      <c r="H22" s="88"/>
      <c r="I22" s="46"/>
    </row>
    <row r="23" spans="1:11" s="38" customFormat="1" ht="5.25" customHeight="1" thickTop="1" x14ac:dyDescent="0.2">
      <c r="A23" s="88"/>
      <c r="B23" s="88"/>
      <c r="C23" s="88"/>
      <c r="D23" s="87"/>
      <c r="E23" s="95"/>
      <c r="F23" s="95"/>
      <c r="G23" s="92"/>
      <c r="H23" s="88"/>
      <c r="I23" s="46"/>
    </row>
    <row r="24" spans="1:11" s="38" customFormat="1" ht="15" x14ac:dyDescent="0.2">
      <c r="A24" s="91"/>
      <c r="B24" s="91"/>
      <c r="C24" s="90"/>
      <c r="D24" s="95"/>
      <c r="E24" s="95"/>
      <c r="F24" s="95"/>
      <c r="G24" s="93"/>
      <c r="H24" s="88"/>
    </row>
    <row r="25" spans="1:11" s="7" customFormat="1" ht="15" x14ac:dyDescent="0.25">
      <c r="D25" s="9"/>
      <c r="E25" s="8"/>
      <c r="F25" s="8"/>
    </row>
    <row r="26" spans="1:11" s="7" customFormat="1" ht="15" customHeight="1" x14ac:dyDescent="0.25">
      <c r="D26" s="9"/>
      <c r="E26" s="8"/>
      <c r="F26" s="8"/>
    </row>
    <row r="27" spans="1:11" s="7" customFormat="1" ht="19.5" customHeight="1" x14ac:dyDescent="0.25">
      <c r="D27" s="9"/>
      <c r="E27" s="8"/>
      <c r="F27" s="8"/>
    </row>
    <row r="29" spans="1:11" s="38" customFormat="1" ht="13.5" x14ac:dyDescent="0.2"/>
    <row r="30" spans="1:11" s="38" customFormat="1" ht="13.5" x14ac:dyDescent="0.2">
      <c r="D30" s="44"/>
      <c r="G30" s="46"/>
    </row>
    <row r="31" spans="1:11" s="38" customFormat="1" ht="8.25" customHeight="1" x14ac:dyDescent="0.2">
      <c r="D31" s="44"/>
      <c r="G31" s="46"/>
    </row>
    <row r="32" spans="1:11" s="38" customFormat="1" ht="13.5" x14ac:dyDescent="0.2">
      <c r="A32" s="125"/>
      <c r="B32" s="125"/>
      <c r="C32" s="125"/>
      <c r="D32" s="125"/>
      <c r="E32" s="125"/>
      <c r="F32" s="125"/>
      <c r="G32" s="125"/>
    </row>
    <row r="34" s="6" customFormat="1" x14ac:dyDescent="0.25"/>
  </sheetData>
  <mergeCells count="3">
    <mergeCell ref="E4:G4"/>
    <mergeCell ref="E5:G5"/>
    <mergeCell ref="A32:G32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77A7-A681-4516-94E3-184D13CF4DA3}">
  <dimension ref="A1:T52"/>
  <sheetViews>
    <sheetView workbookViewId="0">
      <selection activeCell="A13" sqref="A13"/>
    </sheetView>
  </sheetViews>
  <sheetFormatPr baseColWidth="10" defaultColWidth="11.5703125" defaultRowHeight="15.75" x14ac:dyDescent="0.25"/>
  <cols>
    <col min="1" max="1" width="12.7109375" style="6" customWidth="1"/>
    <col min="2" max="2" width="30.5703125" style="6" customWidth="1"/>
    <col min="3" max="3" width="10.140625" style="6" customWidth="1"/>
    <col min="4" max="4" width="3" style="3" customWidth="1"/>
    <col min="5" max="5" width="13" style="4" bestFit="1" customWidth="1"/>
    <col min="6" max="6" width="7" style="5" customWidth="1"/>
    <col min="7" max="7" width="9.140625" style="6" customWidth="1"/>
    <col min="8" max="8" width="10.7109375" style="6" bestFit="1" customWidth="1"/>
    <col min="9" max="9" width="1.140625" style="6" customWidth="1"/>
    <col min="10" max="16384" width="11.5703125" style="6"/>
  </cols>
  <sheetData>
    <row r="1" spans="1:20" x14ac:dyDescent="0.25">
      <c r="A1" s="6" t="s">
        <v>87</v>
      </c>
    </row>
    <row r="2" spans="1:20" s="24" customFormat="1" ht="15" x14ac:dyDescent="0.25">
      <c r="A2" s="24" t="s">
        <v>21</v>
      </c>
      <c r="B2" s="25"/>
      <c r="D2" s="26"/>
    </row>
    <row r="3" spans="1:20" s="24" customFormat="1" ht="15" x14ac:dyDescent="0.25">
      <c r="A3" s="24" t="s">
        <v>19</v>
      </c>
      <c r="B3" s="25"/>
      <c r="D3" s="26"/>
    </row>
    <row r="4" spans="1:20" s="24" customFormat="1" ht="15" x14ac:dyDescent="0.25">
      <c r="A4" s="24" t="s">
        <v>20</v>
      </c>
      <c r="B4" s="25"/>
      <c r="D4" s="26"/>
      <c r="E4" s="22"/>
      <c r="F4" s="124"/>
      <c r="G4" s="124"/>
      <c r="H4" s="124"/>
    </row>
    <row r="5" spans="1:20" s="24" customFormat="1" ht="15" x14ac:dyDescent="0.25">
      <c r="D5" s="26"/>
      <c r="E5" s="22"/>
      <c r="F5" s="124"/>
      <c r="G5" s="124"/>
      <c r="H5" s="124"/>
      <c r="K5" s="38"/>
      <c r="L5" s="43"/>
      <c r="M5" s="39"/>
      <c r="N5" s="40"/>
      <c r="O5" s="62"/>
      <c r="P5" s="38"/>
      <c r="Q5" s="61"/>
      <c r="R5" s="46"/>
    </row>
    <row r="6" spans="1:20" s="24" customFormat="1" ht="15" x14ac:dyDescent="0.25">
      <c r="A6" s="83" t="s">
        <v>3</v>
      </c>
      <c r="B6" s="84" t="s">
        <v>48</v>
      </c>
      <c r="C6" s="84"/>
      <c r="E6" s="22"/>
      <c r="F6" s="9"/>
      <c r="G6" s="9"/>
      <c r="H6" s="9"/>
    </row>
    <row r="7" spans="1:20" s="24" customFormat="1" ht="15" x14ac:dyDescent="0.25">
      <c r="A7" s="83" t="s">
        <v>2</v>
      </c>
      <c r="B7" s="84">
        <v>10113</v>
      </c>
      <c r="C7" s="84"/>
      <c r="E7" s="28"/>
      <c r="F7" s="29"/>
    </row>
    <row r="8" spans="1:20" ht="17.25" customHeight="1" x14ac:dyDescent="0.25">
      <c r="A8" s="85" t="s">
        <v>1</v>
      </c>
      <c r="B8" s="86">
        <v>45853</v>
      </c>
      <c r="C8" s="86"/>
      <c r="D8" s="6"/>
    </row>
    <row r="9" spans="1:20" ht="17.25" customHeight="1" x14ac:dyDescent="0.25">
      <c r="A9" s="85"/>
      <c r="B9" s="86"/>
      <c r="C9" s="86"/>
      <c r="D9" s="6"/>
    </row>
    <row r="10" spans="1:20" s="31" customFormat="1" ht="14.25" x14ac:dyDescent="0.2">
      <c r="A10" s="126" t="s">
        <v>4</v>
      </c>
      <c r="B10" s="126"/>
      <c r="C10" s="126"/>
      <c r="D10" s="126"/>
      <c r="E10" s="126"/>
      <c r="F10" s="126"/>
      <c r="G10" s="126"/>
      <c r="H10" s="126"/>
      <c r="M10" s="38">
        <v>34</v>
      </c>
      <c r="N10" s="38" t="s">
        <v>38</v>
      </c>
      <c r="O10" s="39"/>
      <c r="P10" s="40"/>
      <c r="Q10" s="38"/>
      <c r="R10" s="38"/>
      <c r="S10" s="38"/>
      <c r="T10" s="38"/>
    </row>
    <row r="11" spans="1:20" s="31" customFormat="1" ht="14.25" x14ac:dyDescent="0.2">
      <c r="A11" s="30"/>
      <c r="B11" s="30"/>
      <c r="C11" s="30"/>
      <c r="D11" s="30"/>
      <c r="E11" s="30"/>
      <c r="F11" s="30"/>
      <c r="G11" s="30"/>
      <c r="H11" s="30"/>
      <c r="M11" s="38"/>
      <c r="N11" s="38" t="s">
        <v>39</v>
      </c>
      <c r="O11" s="39"/>
      <c r="P11" s="40"/>
      <c r="Q11" s="44"/>
      <c r="R11" s="38"/>
      <c r="S11" s="45"/>
      <c r="T11" s="46"/>
    </row>
    <row r="12" spans="1:20" s="24" customFormat="1" ht="15" x14ac:dyDescent="0.25">
      <c r="A12" s="24" t="s">
        <v>28</v>
      </c>
      <c r="B12" s="25"/>
      <c r="D12" s="26"/>
      <c r="E12" s="28"/>
      <c r="F12" s="29"/>
      <c r="M12" s="38"/>
      <c r="N12" s="43" t="s">
        <v>46</v>
      </c>
      <c r="O12" s="39" t="s">
        <v>47</v>
      </c>
      <c r="P12" s="40"/>
      <c r="Q12" s="62">
        <v>80</v>
      </c>
      <c r="R12" s="38" t="s">
        <v>24</v>
      </c>
      <c r="S12" s="61">
        <v>0.5</v>
      </c>
      <c r="T12" s="46">
        <f>+S12*Q12</f>
        <v>40</v>
      </c>
    </row>
    <row r="13" spans="1:20" s="24" customFormat="1" ht="15" x14ac:dyDescent="0.25">
      <c r="B13" s="25"/>
      <c r="D13" s="26"/>
      <c r="E13" s="28"/>
      <c r="F13" s="29"/>
      <c r="M13" s="38"/>
      <c r="N13" s="43"/>
      <c r="O13" s="39"/>
      <c r="P13" s="40"/>
      <c r="Q13" s="38"/>
      <c r="R13" s="38"/>
      <c r="S13" s="38"/>
      <c r="T13" s="38"/>
    </row>
    <row r="14" spans="1:20" s="24" customFormat="1" ht="18.75" customHeight="1" x14ac:dyDescent="0.25">
      <c r="D14" s="26"/>
      <c r="E14" s="26"/>
      <c r="F14" s="28"/>
      <c r="G14" s="26"/>
    </row>
    <row r="15" spans="1:20" s="24" customFormat="1" ht="15" x14ac:dyDescent="0.25">
      <c r="A15" s="32" t="s">
        <v>6</v>
      </c>
      <c r="B15" s="33"/>
      <c r="C15" s="32"/>
      <c r="D15" s="26"/>
      <c r="E15" s="26" t="s">
        <v>12</v>
      </c>
      <c r="F15" s="28" t="s">
        <v>14</v>
      </c>
      <c r="G15" s="26" t="s">
        <v>22</v>
      </c>
      <c r="H15" s="28" t="s">
        <v>7</v>
      </c>
    </row>
    <row r="16" spans="1:20" s="24" customFormat="1" ht="15" x14ac:dyDescent="0.25">
      <c r="A16" s="34" t="s">
        <v>8</v>
      </c>
      <c r="B16" s="34"/>
      <c r="C16" s="27" t="s">
        <v>37</v>
      </c>
      <c r="D16" s="35"/>
      <c r="E16" s="36" t="s">
        <v>13</v>
      </c>
      <c r="F16" s="36"/>
      <c r="G16" s="37" t="s">
        <v>23</v>
      </c>
      <c r="H16" s="27"/>
    </row>
    <row r="17" spans="1:9" s="38" customFormat="1" ht="13.5" x14ac:dyDescent="0.2">
      <c r="A17" s="38">
        <v>34</v>
      </c>
      <c r="B17" s="38" t="s">
        <v>42</v>
      </c>
      <c r="D17" s="40"/>
    </row>
    <row r="18" spans="1:9" s="38" customFormat="1" ht="13.5" x14ac:dyDescent="0.2">
      <c r="B18" s="43" t="s">
        <v>49</v>
      </c>
      <c r="C18" s="78" t="s">
        <v>50</v>
      </c>
      <c r="D18" s="40"/>
      <c r="E18" s="44">
        <v>9</v>
      </c>
      <c r="G18" s="45">
        <v>1</v>
      </c>
      <c r="H18" s="46">
        <f>+G18*E18</f>
        <v>9</v>
      </c>
    </row>
    <row r="19" spans="1:9" s="38" customFormat="1" ht="13.5" x14ac:dyDescent="0.2">
      <c r="B19" s="43" t="s">
        <v>29</v>
      </c>
      <c r="C19" s="39"/>
      <c r="D19" s="40"/>
    </row>
    <row r="20" spans="1:9" s="38" customFormat="1" ht="13.5" x14ac:dyDescent="0.2">
      <c r="B20" s="38" t="s">
        <v>30</v>
      </c>
      <c r="C20" s="39">
        <v>45681</v>
      </c>
      <c r="D20" s="40"/>
      <c r="E20" s="44">
        <v>15</v>
      </c>
      <c r="G20" s="45">
        <v>15</v>
      </c>
      <c r="H20" s="46">
        <f>+G20*E20</f>
        <v>225</v>
      </c>
    </row>
    <row r="21" spans="1:9" s="38" customFormat="1" ht="5.25" customHeight="1" x14ac:dyDescent="0.2">
      <c r="C21" s="39"/>
      <c r="D21" s="40"/>
      <c r="E21" s="44"/>
      <c r="G21" s="45"/>
      <c r="H21" s="46"/>
    </row>
    <row r="22" spans="1:9" s="38" customFormat="1" ht="13.5" x14ac:dyDescent="0.2">
      <c r="A22" s="38">
        <v>34</v>
      </c>
      <c r="B22" s="38" t="s">
        <v>43</v>
      </c>
      <c r="D22" s="40"/>
    </row>
    <row r="23" spans="1:9" s="38" customFormat="1" ht="13.5" x14ac:dyDescent="0.2">
      <c r="B23" s="43" t="s">
        <v>51</v>
      </c>
      <c r="C23" s="78" t="s">
        <v>44</v>
      </c>
      <c r="D23" s="40"/>
      <c r="E23" s="44">
        <v>9</v>
      </c>
      <c r="G23" s="45">
        <v>2</v>
      </c>
      <c r="H23" s="46">
        <f>+G23*E23</f>
        <v>18</v>
      </c>
    </row>
    <row r="24" spans="1:9" s="38" customFormat="1" ht="13.5" x14ac:dyDescent="0.2">
      <c r="B24" s="43" t="s">
        <v>29</v>
      </c>
      <c r="C24" s="39"/>
      <c r="D24" s="40"/>
    </row>
    <row r="25" spans="1:9" s="38" customFormat="1" ht="13.5" x14ac:dyDescent="0.2">
      <c r="B25" s="38" t="s">
        <v>30</v>
      </c>
      <c r="C25" s="39">
        <v>45708</v>
      </c>
      <c r="D25" s="40"/>
      <c r="E25" s="44">
        <v>15</v>
      </c>
      <c r="G25" s="45">
        <v>17</v>
      </c>
      <c r="H25" s="46">
        <f>+G25*E25</f>
        <v>255</v>
      </c>
    </row>
    <row r="26" spans="1:9" s="38" customFormat="1" ht="5.25" customHeight="1" x14ac:dyDescent="0.2">
      <c r="C26" s="39"/>
      <c r="D26" s="40"/>
      <c r="E26" s="44"/>
      <c r="G26" s="45"/>
      <c r="H26" s="46"/>
    </row>
    <row r="27" spans="1:9" s="38" customFormat="1" ht="13.5" x14ac:dyDescent="0.2">
      <c r="A27" s="38">
        <v>34</v>
      </c>
      <c r="B27" s="38" t="s">
        <v>45</v>
      </c>
      <c r="D27" s="40"/>
    </row>
    <row r="28" spans="1:9" s="38" customFormat="1" ht="13.5" x14ac:dyDescent="0.2">
      <c r="B28" s="43" t="s">
        <v>29</v>
      </c>
      <c r="C28" s="39"/>
      <c r="D28" s="40"/>
    </row>
    <row r="29" spans="1:9" s="38" customFormat="1" ht="13.5" x14ac:dyDescent="0.2">
      <c r="B29" s="38" t="s">
        <v>30</v>
      </c>
      <c r="C29" s="39">
        <v>45740</v>
      </c>
      <c r="D29" s="40"/>
      <c r="E29" s="44">
        <v>15</v>
      </c>
      <c r="G29" s="45">
        <v>17</v>
      </c>
      <c r="H29" s="46">
        <f>+G29*E29</f>
        <v>255</v>
      </c>
    </row>
    <row r="30" spans="1:9" s="38" customFormat="1" ht="5.25" customHeight="1" x14ac:dyDescent="0.2">
      <c r="C30" s="39"/>
      <c r="D30" s="40"/>
      <c r="E30" s="44"/>
      <c r="G30" s="45"/>
      <c r="H30" s="46"/>
    </row>
    <row r="31" spans="1:9" s="38" customFormat="1" ht="15" x14ac:dyDescent="0.25">
      <c r="I31" s="24"/>
    </row>
    <row r="32" spans="1:9" s="38" customFormat="1" ht="15" x14ac:dyDescent="0.25">
      <c r="I32" s="24"/>
    </row>
    <row r="33" spans="1:12" s="38" customFormat="1" ht="15" x14ac:dyDescent="0.25">
      <c r="C33" s="80"/>
      <c r="D33" s="40"/>
      <c r="E33" s="62"/>
      <c r="G33" s="61"/>
      <c r="H33" s="46"/>
      <c r="I33" s="24"/>
    </row>
    <row r="34" spans="1:12" s="38" customFormat="1" ht="3" customHeight="1" x14ac:dyDescent="0.2">
      <c r="C34" s="39"/>
      <c r="D34" s="40"/>
    </row>
    <row r="35" spans="1:12" s="38" customFormat="1" ht="13.5" x14ac:dyDescent="0.2">
      <c r="A35" s="38">
        <v>16</v>
      </c>
      <c r="B35" s="38" t="s">
        <v>25</v>
      </c>
      <c r="C35" s="39"/>
      <c r="D35" s="40"/>
      <c r="E35" s="44"/>
      <c r="G35" s="45"/>
      <c r="H35" s="46"/>
    </row>
    <row r="36" spans="1:12" s="38" customFormat="1" ht="13.5" x14ac:dyDescent="0.2">
      <c r="B36" s="38" t="s">
        <v>26</v>
      </c>
      <c r="C36" s="39" t="s">
        <v>47</v>
      </c>
      <c r="D36" s="40"/>
      <c r="E36" s="46">
        <f>SUM(H17:H30)*0.2</f>
        <v>152.4</v>
      </c>
      <c r="G36" s="46"/>
      <c r="H36" s="46">
        <v>60</v>
      </c>
    </row>
    <row r="37" spans="1:12" s="38" customFormat="1" ht="6.75" customHeight="1" x14ac:dyDescent="0.2">
      <c r="C37" s="40"/>
      <c r="D37" s="40"/>
      <c r="E37" s="47"/>
      <c r="F37" s="48"/>
      <c r="G37" s="49"/>
      <c r="H37" s="50"/>
    </row>
    <row r="38" spans="1:12" s="38" customFormat="1" ht="13.5" x14ac:dyDescent="0.2">
      <c r="A38" s="51"/>
      <c r="B38" s="51"/>
      <c r="E38" s="38" t="s">
        <v>9</v>
      </c>
      <c r="F38" s="51"/>
      <c r="G38" s="52"/>
      <c r="H38" s="46">
        <f>SUM(H17:H37)</f>
        <v>822</v>
      </c>
      <c r="J38" s="46"/>
      <c r="L38" s="46"/>
    </row>
    <row r="39" spans="1:12" s="38" customFormat="1" ht="13.5" x14ac:dyDescent="0.2">
      <c r="E39" s="53" t="s">
        <v>10</v>
      </c>
      <c r="F39" s="51"/>
      <c r="G39" s="52"/>
      <c r="H39" s="46">
        <f>+H38*0.19</f>
        <v>156.18</v>
      </c>
    </row>
    <row r="40" spans="1:12" s="38" customFormat="1" ht="14.25" thickBot="1" x14ac:dyDescent="0.25">
      <c r="E40" s="54" t="s">
        <v>11</v>
      </c>
      <c r="F40" s="55"/>
      <c r="G40" s="56"/>
      <c r="H40" s="57">
        <f>SUM(H38:H39)</f>
        <v>978.18000000000006</v>
      </c>
      <c r="J40" s="46"/>
    </row>
    <row r="41" spans="1:12" s="38" customFormat="1" ht="5.25" customHeight="1" thickTop="1" x14ac:dyDescent="0.2">
      <c r="E41" s="58"/>
      <c r="F41" s="41"/>
      <c r="G41" s="52"/>
      <c r="H41" s="46"/>
      <c r="J41" s="46"/>
    </row>
    <row r="42" spans="1:12" s="38" customFormat="1" ht="15" x14ac:dyDescent="0.25">
      <c r="A42" s="7" t="s">
        <v>34</v>
      </c>
      <c r="B42" s="51"/>
      <c r="D42" s="52"/>
      <c r="E42" s="41"/>
      <c r="F42" s="42"/>
    </row>
    <row r="43" spans="1:12" s="7" customFormat="1" ht="15" x14ac:dyDescent="0.25">
      <c r="D43" s="8"/>
      <c r="E43" s="9"/>
      <c r="F43" s="8"/>
      <c r="G43" s="10"/>
    </row>
    <row r="44" spans="1:12" s="7" customFormat="1" ht="15" customHeight="1" x14ac:dyDescent="0.25">
      <c r="D44" s="8"/>
      <c r="E44" s="9"/>
      <c r="F44" s="8"/>
      <c r="G44" s="10"/>
    </row>
    <row r="45" spans="1:12" s="7" customFormat="1" ht="19.5" customHeight="1" x14ac:dyDescent="0.25">
      <c r="B45" s="17"/>
      <c r="D45" s="8"/>
      <c r="E45" s="9"/>
      <c r="F45" s="8"/>
      <c r="G45" s="10"/>
    </row>
    <row r="47" spans="1:12" s="38" customFormat="1" ht="13.5" x14ac:dyDescent="0.2"/>
    <row r="48" spans="1:12" s="38" customFormat="1" ht="13.5" x14ac:dyDescent="0.2">
      <c r="C48" s="39"/>
      <c r="D48" s="40"/>
      <c r="E48" s="44"/>
      <c r="G48" s="45"/>
      <c r="H48" s="46"/>
    </row>
    <row r="49" spans="1:8" s="38" customFormat="1" ht="8.25" customHeight="1" x14ac:dyDescent="0.2">
      <c r="C49" s="39"/>
      <c r="D49" s="40"/>
      <c r="E49" s="44"/>
      <c r="G49" s="45"/>
      <c r="H49" s="46"/>
    </row>
    <row r="50" spans="1:8" s="38" customFormat="1" ht="13.5" x14ac:dyDescent="0.2">
      <c r="A50" s="125" t="s">
        <v>52</v>
      </c>
      <c r="B50" s="125"/>
      <c r="C50" s="125"/>
      <c r="D50" s="125"/>
      <c r="E50" s="125"/>
      <c r="F50" s="125"/>
      <c r="G50" s="125"/>
      <c r="H50" s="125"/>
    </row>
    <row r="52" spans="1:8" x14ac:dyDescent="0.25">
      <c r="D52" s="6"/>
      <c r="E52" s="6"/>
      <c r="F52" s="6"/>
    </row>
  </sheetData>
  <mergeCells count="4">
    <mergeCell ref="F4:H4"/>
    <mergeCell ref="F5:H5"/>
    <mergeCell ref="A10:H10"/>
    <mergeCell ref="A50:H50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CBF7-F42E-4407-B2AA-7D730CB56A8A}">
  <dimension ref="A1:G20"/>
  <sheetViews>
    <sheetView tabSelected="1" workbookViewId="0">
      <selection activeCell="C18" sqref="C18"/>
    </sheetView>
  </sheetViews>
  <sheetFormatPr baseColWidth="10" defaultColWidth="11.5703125" defaultRowHeight="15.75" x14ac:dyDescent="0.25"/>
  <cols>
    <col min="1" max="1" width="29.28515625" style="6" customWidth="1"/>
    <col min="2" max="2" width="22" style="6" customWidth="1"/>
    <col min="3" max="3" width="29.85546875" style="6" customWidth="1"/>
    <col min="4" max="4" width="13" style="3" customWidth="1"/>
    <col min="5" max="5" width="16.42578125" style="4" customWidth="1"/>
    <col min="6" max="6" width="16.42578125" style="5" customWidth="1"/>
    <col min="7" max="7" width="12.28515625" style="6" customWidth="1"/>
    <col min="8" max="8" width="23.28515625" style="6" customWidth="1"/>
    <col min="9" max="16384" width="11.5703125" style="6"/>
  </cols>
  <sheetData>
    <row r="1" spans="1:7" x14ac:dyDescent="0.25">
      <c r="A1" s="101" t="s">
        <v>87</v>
      </c>
    </row>
    <row r="2" spans="1:7" x14ac:dyDescent="0.25">
      <c r="A2" s="7" t="s">
        <v>21</v>
      </c>
      <c r="B2" s="13"/>
    </row>
    <row r="3" spans="1:7" x14ac:dyDescent="0.25">
      <c r="A3" s="7" t="s">
        <v>19</v>
      </c>
      <c r="B3" s="13"/>
    </row>
    <row r="4" spans="1:7" x14ac:dyDescent="0.25">
      <c r="A4" s="7" t="s">
        <v>20</v>
      </c>
      <c r="B4" s="13"/>
      <c r="C4" s="2"/>
    </row>
    <row r="5" spans="1:7" ht="17.25" customHeight="1" x14ac:dyDescent="0.25">
      <c r="A5" s="1"/>
      <c r="B5" s="2"/>
      <c r="C5" s="2"/>
    </row>
    <row r="6" spans="1:7" s="7" customFormat="1" ht="15" x14ac:dyDescent="0.25">
      <c r="A6" s="102" t="s">
        <v>97</v>
      </c>
      <c r="B6" s="20" t="s">
        <v>53</v>
      </c>
      <c r="C6" s="20"/>
      <c r="D6" s="8"/>
      <c r="E6" s="127"/>
      <c r="F6" s="127"/>
      <c r="G6" s="86"/>
    </row>
    <row r="7" spans="1:7" s="7" customFormat="1" ht="15" x14ac:dyDescent="0.25">
      <c r="A7" s="102" t="s">
        <v>98</v>
      </c>
      <c r="B7" s="84">
        <v>10113</v>
      </c>
      <c r="D7" s="8"/>
      <c r="E7" s="128"/>
      <c r="F7" s="128"/>
      <c r="G7" s="20"/>
    </row>
    <row r="8" spans="1:7" s="7" customFormat="1" ht="15" x14ac:dyDescent="0.25">
      <c r="A8" s="102" t="s">
        <v>99</v>
      </c>
      <c r="B8" s="86">
        <v>45853</v>
      </c>
      <c r="D8" s="8"/>
      <c r="E8" s="128"/>
      <c r="F8" s="128"/>
      <c r="G8" s="20"/>
    </row>
    <row r="9" spans="1:7" s="7" customFormat="1" ht="15" x14ac:dyDescent="0.25">
      <c r="D9" s="8"/>
      <c r="E9" s="22"/>
      <c r="F9" s="124"/>
      <c r="G9" s="124"/>
    </row>
    <row r="10" spans="1:7" s="24" customFormat="1" ht="21" customHeight="1" x14ac:dyDescent="0.25">
      <c r="C10" s="106" t="s">
        <v>4</v>
      </c>
      <c r="D10" s="26"/>
      <c r="E10" s="28"/>
      <c r="F10" s="28"/>
    </row>
    <row r="11" spans="1:7" s="24" customFormat="1" ht="21" customHeight="1" x14ac:dyDescent="0.25">
      <c r="A11" s="102" t="s">
        <v>109</v>
      </c>
      <c r="B11" s="115"/>
      <c r="C11" s="102"/>
      <c r="D11" s="116"/>
      <c r="E11" s="117"/>
      <c r="F11" s="118"/>
      <c r="G11" s="102"/>
    </row>
    <row r="12" spans="1:7" s="7" customFormat="1" ht="15" x14ac:dyDescent="0.25">
      <c r="A12" s="31"/>
      <c r="B12" s="30"/>
      <c r="C12" s="119"/>
      <c r="D12" s="120"/>
      <c r="E12" s="121"/>
      <c r="F12" s="122"/>
      <c r="G12" s="123"/>
    </row>
    <row r="13" spans="1:7" ht="38.25" customHeight="1" x14ac:dyDescent="0.25">
      <c r="A13" s="112" t="s">
        <v>96</v>
      </c>
      <c r="B13" s="103" t="s">
        <v>103</v>
      </c>
      <c r="C13" s="109" t="s">
        <v>100</v>
      </c>
      <c r="D13" s="104" t="s">
        <v>110</v>
      </c>
      <c r="E13" s="105" t="s">
        <v>102</v>
      </c>
      <c r="F13" s="107" t="s">
        <v>105</v>
      </c>
      <c r="G13" s="108" t="s">
        <v>7</v>
      </c>
    </row>
    <row r="14" spans="1:7" ht="51.75" customHeight="1" x14ac:dyDescent="0.25">
      <c r="A14" s="97">
        <v>1</v>
      </c>
      <c r="B14" s="158">
        <v>45726</v>
      </c>
      <c r="C14" s="89" t="s">
        <v>106</v>
      </c>
      <c r="D14" s="99">
        <v>4</v>
      </c>
      <c r="E14" s="100" t="s">
        <v>101</v>
      </c>
      <c r="F14" s="98">
        <f>338453*4</f>
        <v>1353812</v>
      </c>
      <c r="G14" s="98">
        <f>D14/10*1061</f>
        <v>424.40000000000003</v>
      </c>
    </row>
    <row r="15" spans="1:7" ht="46.5" customHeight="1" x14ac:dyDescent="0.25">
      <c r="A15" s="97">
        <v>2</v>
      </c>
      <c r="B15" s="158">
        <v>45755</v>
      </c>
      <c r="C15" s="89" t="s">
        <v>107</v>
      </c>
      <c r="D15" s="99">
        <v>4.5</v>
      </c>
      <c r="E15" s="100" t="s">
        <v>101</v>
      </c>
      <c r="F15" s="98">
        <f>+F14</f>
        <v>1353812</v>
      </c>
      <c r="G15" s="98">
        <f>D15/10*1061</f>
        <v>477.45</v>
      </c>
    </row>
    <row r="16" spans="1:7" ht="53.25" customHeight="1" x14ac:dyDescent="0.25">
      <c r="A16" s="97">
        <v>3</v>
      </c>
      <c r="B16" s="158">
        <v>45782</v>
      </c>
      <c r="C16" s="89" t="s">
        <v>108</v>
      </c>
      <c r="D16" s="99">
        <v>3</v>
      </c>
      <c r="E16" s="100" t="s">
        <v>101</v>
      </c>
      <c r="F16" s="98">
        <f>+F15</f>
        <v>1353812</v>
      </c>
      <c r="G16" s="98">
        <f>D16/10*1061</f>
        <v>318.3</v>
      </c>
    </row>
    <row r="17" spans="1:7" x14ac:dyDescent="0.25">
      <c r="A17" s="90"/>
      <c r="B17" s="159"/>
      <c r="C17" s="90"/>
      <c r="D17" s="38"/>
      <c r="E17" s="90"/>
      <c r="F17" s="96" t="s">
        <v>94</v>
      </c>
      <c r="G17" s="92">
        <f>SUM(G14:G16)</f>
        <v>1220.1500000000001</v>
      </c>
    </row>
    <row r="18" spans="1:7" x14ac:dyDescent="0.25">
      <c r="A18" s="88"/>
      <c r="B18" s="160"/>
      <c r="C18" s="88"/>
      <c r="D18" s="38"/>
      <c r="E18" s="90"/>
      <c r="F18" s="96" t="s">
        <v>27</v>
      </c>
      <c r="G18" s="92">
        <f>+G17*0.19</f>
        <v>231.82850000000002</v>
      </c>
    </row>
    <row r="19" spans="1:7" ht="16.5" thickBot="1" x14ac:dyDescent="0.3">
      <c r="A19" s="88"/>
      <c r="B19" s="88"/>
      <c r="C19" s="88"/>
      <c r="D19" s="38"/>
      <c r="E19" s="95"/>
      <c r="F19" s="96" t="s">
        <v>95</v>
      </c>
      <c r="G19" s="94">
        <f>SUM(G17:G18)</f>
        <v>1451.9785000000002</v>
      </c>
    </row>
    <row r="20" spans="1:7" ht="16.5" thickTop="1" x14ac:dyDescent="0.25">
      <c r="A20" s="88"/>
      <c r="B20" s="88"/>
      <c r="C20" s="88"/>
      <c r="D20" s="87"/>
      <c r="E20" s="95"/>
      <c r="F20" s="95"/>
      <c r="G20" s="92"/>
    </row>
  </sheetData>
  <mergeCells count="4">
    <mergeCell ref="F9:G9"/>
    <mergeCell ref="E6:F6"/>
    <mergeCell ref="E7:F7"/>
    <mergeCell ref="E8:F8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7258-78B6-4638-9FCC-B2858464703B}">
  <dimension ref="A5:Q51"/>
  <sheetViews>
    <sheetView topLeftCell="A14" workbookViewId="0">
      <selection activeCell="H30" sqref="H30"/>
    </sheetView>
  </sheetViews>
  <sheetFormatPr baseColWidth="10" defaultColWidth="11.5703125" defaultRowHeight="15.75" x14ac:dyDescent="0.25"/>
  <cols>
    <col min="1" max="1" width="3.5703125" style="6" customWidth="1"/>
    <col min="2" max="2" width="28.5703125" style="6" customWidth="1"/>
    <col min="3" max="3" width="10.7109375" style="6" customWidth="1"/>
    <col min="4" max="4" width="3" style="3" customWidth="1"/>
    <col min="5" max="5" width="16.42578125" style="4" customWidth="1"/>
    <col min="6" max="6" width="7" style="5" customWidth="1"/>
    <col min="7" max="7" width="8.7109375" style="6" customWidth="1"/>
    <col min="8" max="8" width="10.7109375" style="6" bestFit="1" customWidth="1"/>
    <col min="9" max="9" width="1.140625" style="6" customWidth="1"/>
    <col min="10" max="16384" width="11.5703125" style="6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x14ac:dyDescent="0.25">
      <c r="A7" s="7" t="s">
        <v>21</v>
      </c>
      <c r="B7" s="13"/>
      <c r="D7" s="8"/>
      <c r="E7" s="129" t="s">
        <v>1</v>
      </c>
      <c r="F7" s="130"/>
      <c r="G7" s="131">
        <v>45853</v>
      </c>
      <c r="H7" s="132"/>
    </row>
    <row r="8" spans="1:8" s="7" customFormat="1" ht="15" x14ac:dyDescent="0.25">
      <c r="A8" s="7" t="s">
        <v>19</v>
      </c>
      <c r="B8" s="13"/>
      <c r="D8" s="8"/>
      <c r="E8" s="133" t="s">
        <v>2</v>
      </c>
      <c r="F8" s="128"/>
      <c r="G8" s="134">
        <v>10113</v>
      </c>
      <c r="H8" s="135"/>
    </row>
    <row r="9" spans="1:8" s="7" customFormat="1" ht="15" x14ac:dyDescent="0.25">
      <c r="B9" s="13"/>
      <c r="D9" s="8"/>
      <c r="E9" s="136" t="s">
        <v>3</v>
      </c>
      <c r="F9" s="137"/>
      <c r="G9" s="138" t="s">
        <v>53</v>
      </c>
      <c r="H9" s="139"/>
    </row>
    <row r="10" spans="1:8" s="7" customFormat="1" ht="15" x14ac:dyDescent="0.25">
      <c r="A10" s="7" t="s">
        <v>20</v>
      </c>
      <c r="B10" s="13"/>
      <c r="D10" s="8"/>
      <c r="E10" s="63" t="s">
        <v>31</v>
      </c>
      <c r="F10" s="140" t="s">
        <v>32</v>
      </c>
      <c r="G10" s="140"/>
      <c r="H10" s="141"/>
    </row>
    <row r="11" spans="1:8" s="7" customFormat="1" ht="15" x14ac:dyDescent="0.25">
      <c r="D11" s="8"/>
      <c r="E11" s="60" t="s">
        <v>36</v>
      </c>
      <c r="F11" s="142" t="s">
        <v>33</v>
      </c>
      <c r="G11" s="142"/>
      <c r="H11" s="143"/>
    </row>
    <row r="12" spans="1:8" s="7" customFormat="1" ht="15" x14ac:dyDescent="0.25">
      <c r="D12" s="8"/>
      <c r="E12" s="9"/>
      <c r="F12" s="10"/>
    </row>
    <row r="13" spans="1:8" s="7" customFormat="1" ht="15" x14ac:dyDescent="0.25">
      <c r="D13" s="8"/>
      <c r="E13" s="9"/>
      <c r="F13" s="10"/>
    </row>
    <row r="14" spans="1:8" s="7" customFormat="1" ht="15" x14ac:dyDescent="0.25">
      <c r="D14" s="8"/>
      <c r="E14" s="9"/>
      <c r="F14" s="10"/>
    </row>
    <row r="15" spans="1:8" s="7" customFormat="1" ht="15" x14ac:dyDescent="0.25">
      <c r="D15" s="8"/>
      <c r="E15" s="9"/>
      <c r="F15" s="10"/>
    </row>
    <row r="16" spans="1:8" s="12" customFormat="1" ht="14.25" x14ac:dyDescent="0.2">
      <c r="A16" s="144" t="s">
        <v>4</v>
      </c>
      <c r="B16" s="144"/>
      <c r="C16" s="144"/>
      <c r="D16" s="144"/>
      <c r="E16" s="144"/>
      <c r="F16" s="144"/>
      <c r="G16" s="144"/>
      <c r="H16" s="144"/>
    </row>
    <row r="17" spans="1:17" s="12" customFormat="1" ht="14.25" x14ac:dyDescent="0.2">
      <c r="A17" s="11"/>
      <c r="B17" s="11"/>
      <c r="C17" s="11"/>
      <c r="D17" s="11"/>
      <c r="E17" s="11"/>
      <c r="F17" s="11"/>
      <c r="G17" s="11"/>
      <c r="H17" s="11"/>
    </row>
    <row r="18" spans="1:17" s="12" customFormat="1" ht="14.25" x14ac:dyDescent="0.2">
      <c r="A18" s="11"/>
      <c r="B18" s="11"/>
      <c r="C18" s="11"/>
      <c r="D18" s="11"/>
      <c r="E18" s="11"/>
      <c r="F18" s="11"/>
      <c r="G18" s="11"/>
      <c r="H18" s="11"/>
    </row>
    <row r="19" spans="1:17" s="7" customFormat="1" ht="15" x14ac:dyDescent="0.25">
      <c r="A19" s="7" t="s">
        <v>28</v>
      </c>
      <c r="B19" s="13"/>
      <c r="D19" s="8"/>
      <c r="E19" s="9"/>
      <c r="F19" s="10"/>
    </row>
    <row r="20" spans="1:17" s="7" customFormat="1" ht="15" x14ac:dyDescent="0.25">
      <c r="A20" s="7" t="s">
        <v>5</v>
      </c>
      <c r="B20" s="13"/>
      <c r="D20" s="8"/>
      <c r="E20" s="9"/>
      <c r="F20" s="10"/>
    </row>
    <row r="21" spans="1:17" s="7" customFormat="1" ht="8.25" customHeight="1" x14ac:dyDescent="0.25">
      <c r="D21" s="8"/>
      <c r="E21" s="8"/>
      <c r="F21" s="9"/>
      <c r="G21" s="8"/>
    </row>
    <row r="22" spans="1:17" s="7" customFormat="1" ht="15" x14ac:dyDescent="0.25">
      <c r="A22" s="14" t="s">
        <v>6</v>
      </c>
      <c r="B22" s="15"/>
      <c r="C22" s="14"/>
      <c r="D22" s="8"/>
      <c r="E22" s="8" t="s">
        <v>12</v>
      </c>
      <c r="F22" s="9" t="s">
        <v>14</v>
      </c>
      <c r="G22" s="8" t="s">
        <v>15</v>
      </c>
      <c r="H22" s="9" t="s">
        <v>7</v>
      </c>
      <c r="L22" s="66"/>
      <c r="M22" s="66"/>
      <c r="N22" s="59"/>
      <c r="O22" s="9"/>
      <c r="P22" s="16"/>
      <c r="Q22" s="21"/>
    </row>
    <row r="23" spans="1:17" s="7" customFormat="1" ht="15" x14ac:dyDescent="0.25">
      <c r="A23" s="17" t="s">
        <v>8</v>
      </c>
      <c r="B23" s="17"/>
      <c r="C23" s="17" t="s">
        <v>35</v>
      </c>
      <c r="D23" s="18"/>
      <c r="E23" s="19" t="s">
        <v>13</v>
      </c>
      <c r="F23" s="19"/>
      <c r="G23" s="65" t="s">
        <v>16</v>
      </c>
      <c r="H23" s="64"/>
      <c r="K23" s="67"/>
      <c r="L23" s="66"/>
      <c r="M23" s="66"/>
      <c r="N23" s="59"/>
      <c r="O23" s="9"/>
      <c r="P23" s="68"/>
      <c r="Q23" s="21"/>
    </row>
    <row r="24" spans="1:17" s="7" customFormat="1" ht="15" x14ac:dyDescent="0.25">
      <c r="A24" s="7">
        <v>33</v>
      </c>
      <c r="B24" s="7" t="s">
        <v>17</v>
      </c>
      <c r="C24" s="66"/>
      <c r="D24" s="66"/>
      <c r="E24" s="59">
        <f>338453*4</f>
        <v>1353812</v>
      </c>
      <c r="F24" s="20" t="s">
        <v>18</v>
      </c>
      <c r="G24" s="9">
        <v>4</v>
      </c>
      <c r="H24" s="21">
        <f>G24/10*1061</f>
        <v>424.40000000000003</v>
      </c>
      <c r="K24" s="67"/>
      <c r="L24" s="66"/>
      <c r="M24" s="66"/>
      <c r="N24" s="59"/>
      <c r="O24" s="9"/>
      <c r="P24" s="68"/>
      <c r="Q24" s="21"/>
    </row>
    <row r="25" spans="1:17" s="7" customFormat="1" ht="15" x14ac:dyDescent="0.25">
      <c r="B25" s="7" t="s">
        <v>54</v>
      </c>
      <c r="C25" s="79">
        <v>45726</v>
      </c>
      <c r="E25" s="59"/>
      <c r="F25" s="20"/>
      <c r="G25" s="9"/>
      <c r="H25" s="21"/>
    </row>
    <row r="26" spans="1:17" s="7" customFormat="1" ht="6.75" customHeight="1" x14ac:dyDescent="0.25">
      <c r="B26" s="67"/>
      <c r="C26" s="66"/>
      <c r="D26" s="66"/>
      <c r="E26" s="59"/>
      <c r="F26" s="9"/>
      <c r="G26" s="68"/>
      <c r="H26" s="21"/>
    </row>
    <row r="27" spans="1:17" s="7" customFormat="1" ht="15" x14ac:dyDescent="0.25">
      <c r="A27" s="7">
        <v>33</v>
      </c>
      <c r="B27" s="7" t="s">
        <v>17</v>
      </c>
      <c r="C27" s="66"/>
      <c r="D27" s="66"/>
      <c r="E27" s="59">
        <f>+E24</f>
        <v>1353812</v>
      </c>
      <c r="F27" s="20" t="s">
        <v>18</v>
      </c>
      <c r="G27" s="9">
        <v>4.5</v>
      </c>
      <c r="H27" s="21">
        <f>G27/10*1061</f>
        <v>477.45</v>
      </c>
    </row>
    <row r="28" spans="1:17" s="7" customFormat="1" ht="15" x14ac:dyDescent="0.25">
      <c r="B28" s="7" t="s">
        <v>55</v>
      </c>
      <c r="C28" s="145">
        <v>45755</v>
      </c>
      <c r="D28" s="145"/>
      <c r="E28" s="59"/>
      <c r="F28" s="20"/>
      <c r="G28" s="9"/>
      <c r="H28" s="21"/>
    </row>
    <row r="29" spans="1:17" s="7" customFormat="1" ht="6.75" customHeight="1" x14ac:dyDescent="0.25">
      <c r="B29" s="67"/>
      <c r="C29" s="66"/>
      <c r="D29" s="66"/>
      <c r="E29" s="59"/>
      <c r="F29" s="9"/>
      <c r="G29" s="68"/>
      <c r="H29" s="21"/>
    </row>
    <row r="30" spans="1:17" s="7" customFormat="1" ht="15" x14ac:dyDescent="0.25">
      <c r="A30" s="7">
        <v>33</v>
      </c>
      <c r="B30" s="7" t="s">
        <v>17</v>
      </c>
      <c r="C30" s="66"/>
      <c r="D30" s="66"/>
      <c r="E30" s="59">
        <f>+E27</f>
        <v>1353812</v>
      </c>
      <c r="F30" s="20" t="s">
        <v>18</v>
      </c>
      <c r="G30" s="9">
        <v>3</v>
      </c>
      <c r="H30" s="21">
        <f>G30/10*1061</f>
        <v>318.3</v>
      </c>
    </row>
    <row r="31" spans="1:17" s="7" customFormat="1" ht="15" x14ac:dyDescent="0.25">
      <c r="B31" s="7" t="s">
        <v>56</v>
      </c>
      <c r="C31" s="145">
        <v>45782</v>
      </c>
      <c r="D31" s="145"/>
      <c r="E31" s="59"/>
      <c r="F31" s="20"/>
      <c r="G31" s="9"/>
      <c r="H31" s="21"/>
    </row>
    <row r="32" spans="1:17" s="7" customFormat="1" ht="6.75" customHeight="1" x14ac:dyDescent="0.25">
      <c r="B32" s="67"/>
      <c r="C32" s="66"/>
      <c r="D32" s="66"/>
      <c r="E32" s="59"/>
      <c r="F32" s="9"/>
      <c r="G32" s="68"/>
      <c r="H32" s="21"/>
    </row>
    <row r="33" spans="1:10" s="7" customFormat="1" ht="15" x14ac:dyDescent="0.25">
      <c r="B33" s="67"/>
      <c r="E33" s="59"/>
      <c r="F33" s="20"/>
      <c r="G33" s="9"/>
      <c r="H33" s="21"/>
    </row>
    <row r="34" spans="1:10" s="7" customFormat="1" ht="15" x14ac:dyDescent="0.25"/>
    <row r="35" spans="1:10" s="7" customFormat="1" ht="15" x14ac:dyDescent="0.25"/>
    <row r="36" spans="1:10" s="7" customFormat="1" ht="6.75" customHeight="1" x14ac:dyDescent="0.25">
      <c r="C36" s="66"/>
      <c r="D36" s="66"/>
      <c r="E36" s="69"/>
      <c r="F36" s="19"/>
      <c r="G36" s="70"/>
      <c r="H36" s="71"/>
    </row>
    <row r="37" spans="1:10" s="7" customFormat="1" ht="15" x14ac:dyDescent="0.25">
      <c r="A37" s="13"/>
      <c r="B37" s="13"/>
      <c r="E37" s="7" t="s">
        <v>9</v>
      </c>
      <c r="F37" s="72"/>
      <c r="G37" s="8"/>
      <c r="H37" s="21">
        <f>SUM(H24:H36)</f>
        <v>1220.1500000000001</v>
      </c>
      <c r="J37" s="21"/>
    </row>
    <row r="38" spans="1:10" s="7" customFormat="1" ht="15" x14ac:dyDescent="0.25">
      <c r="E38" s="22" t="s">
        <v>10</v>
      </c>
      <c r="F38" s="72"/>
      <c r="G38" s="8"/>
      <c r="H38" s="21">
        <f>+H37*0.19</f>
        <v>231.82850000000002</v>
      </c>
    </row>
    <row r="39" spans="1:10" s="7" customFormat="1" thickBot="1" x14ac:dyDescent="0.3">
      <c r="E39" s="73" t="s">
        <v>11</v>
      </c>
      <c r="F39" s="74"/>
      <c r="G39" s="75"/>
      <c r="H39" s="23">
        <f>SUM(H37:H38)</f>
        <v>1451.9785000000002</v>
      </c>
      <c r="J39" s="21"/>
    </row>
    <row r="40" spans="1:10" s="7" customFormat="1" ht="6.75" customHeight="1" thickTop="1" x14ac:dyDescent="0.25">
      <c r="E40" s="76"/>
      <c r="F40" s="9"/>
      <c r="G40" s="8"/>
      <c r="H40" s="21"/>
    </row>
    <row r="41" spans="1:10" s="7" customFormat="1" ht="15" x14ac:dyDescent="0.25">
      <c r="A41" s="7" t="s">
        <v>34</v>
      </c>
      <c r="B41" s="13"/>
      <c r="D41" s="8"/>
      <c r="E41" s="9"/>
      <c r="F41" s="10"/>
    </row>
    <row r="42" spans="1:10" s="7" customFormat="1" ht="15" x14ac:dyDescent="0.25">
      <c r="D42" s="8"/>
      <c r="E42" s="9"/>
      <c r="F42" s="10"/>
    </row>
    <row r="43" spans="1:10" s="7" customFormat="1" ht="15" x14ac:dyDescent="0.25">
      <c r="D43" s="8"/>
      <c r="E43" s="9"/>
      <c r="F43" s="8"/>
      <c r="G43" s="10"/>
    </row>
    <row r="44" spans="1:10" s="7" customFormat="1" ht="15" x14ac:dyDescent="0.25">
      <c r="D44" s="8"/>
      <c r="E44" s="9"/>
      <c r="F44" s="8"/>
      <c r="G44" s="10"/>
    </row>
    <row r="45" spans="1:10" s="7" customFormat="1" ht="15" x14ac:dyDescent="0.25">
      <c r="D45" s="8"/>
      <c r="E45" s="9"/>
      <c r="F45" s="8"/>
      <c r="G45" s="10"/>
    </row>
    <row r="46" spans="1:10" s="7" customFormat="1" ht="15" x14ac:dyDescent="0.25">
      <c r="B46" s="17"/>
      <c r="D46" s="8"/>
      <c r="E46" s="9"/>
      <c r="F46" s="8"/>
      <c r="G46" s="10"/>
    </row>
    <row r="47" spans="1:10" s="7" customFormat="1" ht="15" x14ac:dyDescent="0.25"/>
    <row r="48" spans="1:10" ht="10.5" customHeight="1" x14ac:dyDescent="0.25"/>
    <row r="51" spans="1:8" x14ac:dyDescent="0.25">
      <c r="A51" s="125" t="s">
        <v>40</v>
      </c>
      <c r="B51" s="125"/>
      <c r="C51" s="125"/>
      <c r="D51" s="125"/>
      <c r="E51" s="125"/>
      <c r="F51" s="125"/>
      <c r="G51" s="125"/>
      <c r="H51" s="125"/>
    </row>
  </sheetData>
  <mergeCells count="12">
    <mergeCell ref="A51:H51"/>
    <mergeCell ref="F10:H10"/>
    <mergeCell ref="F11:H11"/>
    <mergeCell ref="A16:H16"/>
    <mergeCell ref="C28:D28"/>
    <mergeCell ref="C31:D31"/>
    <mergeCell ref="E7:F7"/>
    <mergeCell ref="G7:H7"/>
    <mergeCell ref="E8:F8"/>
    <mergeCell ref="G8:H8"/>
    <mergeCell ref="E9:F9"/>
    <mergeCell ref="G9:H9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C220-D6B2-4AA7-9B26-C029A550D944}">
  <dimension ref="A5:Q51"/>
  <sheetViews>
    <sheetView workbookViewId="0">
      <selection activeCell="H24" sqref="H24"/>
    </sheetView>
  </sheetViews>
  <sheetFormatPr baseColWidth="10" defaultColWidth="11.5703125" defaultRowHeight="15.75" x14ac:dyDescent="0.25"/>
  <cols>
    <col min="1" max="1" width="3.5703125" style="6" customWidth="1"/>
    <col min="2" max="2" width="30.5703125" style="6" customWidth="1"/>
    <col min="3" max="3" width="10.7109375" style="6" customWidth="1"/>
    <col min="4" max="4" width="3" style="3" customWidth="1"/>
    <col min="5" max="5" width="14.42578125" style="4" customWidth="1"/>
    <col min="6" max="6" width="7" style="5" customWidth="1"/>
    <col min="7" max="7" width="8.7109375" style="6" customWidth="1"/>
    <col min="8" max="8" width="10.7109375" style="6" bestFit="1" customWidth="1"/>
    <col min="9" max="9" width="1.140625" style="6" customWidth="1"/>
    <col min="10" max="16384" width="11.5703125" style="6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x14ac:dyDescent="0.25">
      <c r="A7" s="7" t="s">
        <v>21</v>
      </c>
      <c r="B7" s="13"/>
      <c r="D7" s="8"/>
      <c r="E7" s="129" t="s">
        <v>1</v>
      </c>
      <c r="F7" s="130"/>
      <c r="G7" s="131">
        <v>45951</v>
      </c>
      <c r="H7" s="132"/>
    </row>
    <row r="8" spans="1:8" s="7" customFormat="1" ht="15" x14ac:dyDescent="0.25">
      <c r="A8" s="7" t="s">
        <v>19</v>
      </c>
      <c r="B8" s="13"/>
      <c r="D8" s="8"/>
      <c r="E8" s="133" t="s">
        <v>2</v>
      </c>
      <c r="F8" s="128"/>
      <c r="G8" s="134">
        <v>10113</v>
      </c>
      <c r="H8" s="135"/>
    </row>
    <row r="9" spans="1:8" s="7" customFormat="1" ht="15" x14ac:dyDescent="0.25">
      <c r="B9" s="13"/>
      <c r="D9" s="8"/>
      <c r="E9" s="136" t="s">
        <v>3</v>
      </c>
      <c r="F9" s="137"/>
      <c r="G9" s="138" t="s">
        <v>57</v>
      </c>
      <c r="H9" s="139"/>
    </row>
    <row r="10" spans="1:8" s="7" customFormat="1" ht="15" x14ac:dyDescent="0.25">
      <c r="A10" s="7" t="s">
        <v>20</v>
      </c>
      <c r="B10" s="13"/>
      <c r="D10" s="8"/>
      <c r="E10" s="63" t="s">
        <v>31</v>
      </c>
      <c r="F10" s="140" t="s">
        <v>32</v>
      </c>
      <c r="G10" s="140"/>
      <c r="H10" s="141"/>
    </row>
    <row r="11" spans="1:8" s="7" customFormat="1" ht="15" x14ac:dyDescent="0.25">
      <c r="D11" s="8"/>
      <c r="E11" s="60" t="s">
        <v>36</v>
      </c>
      <c r="F11" s="142" t="s">
        <v>33</v>
      </c>
      <c r="G11" s="142"/>
      <c r="H11" s="143"/>
    </row>
    <row r="12" spans="1:8" s="7" customFormat="1" ht="15" x14ac:dyDescent="0.25">
      <c r="D12" s="8"/>
      <c r="E12" s="9"/>
      <c r="F12" s="10"/>
    </row>
    <row r="13" spans="1:8" s="7" customFormat="1" ht="15" x14ac:dyDescent="0.25">
      <c r="D13" s="8"/>
      <c r="E13" s="9"/>
      <c r="F13" s="10"/>
    </row>
    <row r="14" spans="1:8" s="7" customFormat="1" ht="15" x14ac:dyDescent="0.25">
      <c r="D14" s="8"/>
      <c r="E14" s="9"/>
      <c r="F14" s="10"/>
    </row>
    <row r="15" spans="1:8" s="7" customFormat="1" ht="15" x14ac:dyDescent="0.25">
      <c r="D15" s="8"/>
      <c r="E15" s="9"/>
      <c r="F15" s="10"/>
    </row>
    <row r="16" spans="1:8" s="12" customFormat="1" ht="14.25" x14ac:dyDescent="0.2">
      <c r="A16" s="144" t="s">
        <v>4</v>
      </c>
      <c r="B16" s="144"/>
      <c r="C16" s="144"/>
      <c r="D16" s="144"/>
      <c r="E16" s="144"/>
      <c r="F16" s="144"/>
      <c r="G16" s="144"/>
      <c r="H16" s="144"/>
    </row>
    <row r="17" spans="1:17" s="12" customFormat="1" ht="14.25" x14ac:dyDescent="0.2">
      <c r="A17" s="11"/>
      <c r="B17" s="11"/>
      <c r="C17" s="11"/>
      <c r="D17" s="11"/>
      <c r="E17" s="11"/>
      <c r="F17" s="11"/>
      <c r="G17" s="11"/>
      <c r="H17" s="11"/>
    </row>
    <row r="18" spans="1:17" s="12" customFormat="1" ht="14.25" x14ac:dyDescent="0.2">
      <c r="A18" s="11"/>
      <c r="B18" s="11"/>
      <c r="C18" s="11"/>
      <c r="D18" s="11"/>
      <c r="E18" s="11"/>
      <c r="F18" s="11"/>
      <c r="G18" s="11"/>
      <c r="H18" s="11"/>
    </row>
    <row r="19" spans="1:17" s="7" customFormat="1" ht="15" x14ac:dyDescent="0.25">
      <c r="A19" s="7" t="s">
        <v>28</v>
      </c>
      <c r="B19" s="13"/>
      <c r="D19" s="8"/>
      <c r="E19" s="9"/>
      <c r="F19" s="10"/>
    </row>
    <row r="20" spans="1:17" s="7" customFormat="1" ht="15" x14ac:dyDescent="0.25">
      <c r="A20" s="7" t="s">
        <v>5</v>
      </c>
      <c r="B20" s="13"/>
      <c r="D20" s="8"/>
      <c r="E20" s="9"/>
      <c r="F20" s="10"/>
    </row>
    <row r="21" spans="1:17" s="7" customFormat="1" ht="8.25" customHeight="1" x14ac:dyDescent="0.25">
      <c r="D21" s="8"/>
      <c r="E21" s="8"/>
      <c r="F21" s="9"/>
      <c r="G21" s="8"/>
    </row>
    <row r="22" spans="1:17" s="7" customFormat="1" ht="15" x14ac:dyDescent="0.25">
      <c r="A22" s="14" t="s">
        <v>6</v>
      </c>
      <c r="B22" s="15"/>
      <c r="C22" s="14"/>
      <c r="D22" s="8"/>
      <c r="E22" s="8" t="s">
        <v>12</v>
      </c>
      <c r="F22" s="9" t="s">
        <v>14</v>
      </c>
      <c r="G22" s="8" t="s">
        <v>15</v>
      </c>
      <c r="H22" s="9" t="s">
        <v>7</v>
      </c>
    </row>
    <row r="23" spans="1:17" s="7" customFormat="1" ht="15" x14ac:dyDescent="0.25">
      <c r="A23" s="17" t="s">
        <v>8</v>
      </c>
      <c r="B23" s="17"/>
      <c r="C23" s="138" t="s">
        <v>35</v>
      </c>
      <c r="D23" s="138"/>
      <c r="E23" s="19" t="s">
        <v>13</v>
      </c>
      <c r="F23" s="19"/>
      <c r="G23" s="65" t="s">
        <v>16</v>
      </c>
      <c r="H23" s="64"/>
      <c r="L23" s="67"/>
      <c r="M23" s="66"/>
      <c r="N23" s="66"/>
      <c r="O23" s="59"/>
      <c r="P23" s="9"/>
      <c r="Q23" s="68"/>
    </row>
    <row r="24" spans="1:17" s="7" customFormat="1" ht="15" x14ac:dyDescent="0.25">
      <c r="A24" s="7">
        <v>33</v>
      </c>
      <c r="B24" s="7" t="s">
        <v>17</v>
      </c>
      <c r="C24" s="66"/>
      <c r="D24" s="66"/>
      <c r="E24" s="59">
        <f>ROUNDDOWN((994683.56/7*12*0.9)/100,)*100</f>
        <v>1534600</v>
      </c>
      <c r="F24" s="20" t="s">
        <v>18</v>
      </c>
      <c r="G24" s="9">
        <v>4</v>
      </c>
      <c r="H24" s="21">
        <f>G24/10*1197</f>
        <v>478.8</v>
      </c>
      <c r="L24" s="67"/>
      <c r="M24" s="66"/>
      <c r="N24" s="66"/>
      <c r="O24" s="59"/>
      <c r="P24" s="9"/>
      <c r="Q24" s="68"/>
    </row>
    <row r="25" spans="1:17" s="7" customFormat="1" ht="15" x14ac:dyDescent="0.25">
      <c r="B25" s="7" t="s">
        <v>58</v>
      </c>
      <c r="C25" s="145">
        <v>45807</v>
      </c>
      <c r="D25" s="145"/>
      <c r="E25" s="59"/>
      <c r="F25" s="20"/>
      <c r="G25" s="9"/>
      <c r="H25" s="21"/>
    </row>
    <row r="26" spans="1:17" s="7" customFormat="1" ht="6.75" customHeight="1" x14ac:dyDescent="0.25">
      <c r="B26" s="67"/>
      <c r="C26" s="66"/>
      <c r="D26" s="66"/>
      <c r="E26" s="59"/>
      <c r="F26" s="9"/>
      <c r="G26" s="68"/>
      <c r="H26" s="21"/>
    </row>
    <row r="27" spans="1:17" s="7" customFormat="1" ht="15" x14ac:dyDescent="0.25">
      <c r="A27" s="7">
        <v>33</v>
      </c>
      <c r="B27" s="7" t="s">
        <v>17</v>
      </c>
      <c r="C27" s="66"/>
      <c r="D27" s="66"/>
      <c r="E27" s="59">
        <f>+E24</f>
        <v>1534600</v>
      </c>
      <c r="F27" s="20" t="s">
        <v>18</v>
      </c>
      <c r="G27" s="9">
        <f>+G24</f>
        <v>4</v>
      </c>
      <c r="H27" s="21">
        <f>G27/10*1197</f>
        <v>478.8</v>
      </c>
    </row>
    <row r="28" spans="1:17" s="7" customFormat="1" ht="15" x14ac:dyDescent="0.25">
      <c r="B28" s="7" t="s">
        <v>59</v>
      </c>
      <c r="C28" s="145">
        <v>45845</v>
      </c>
      <c r="D28" s="145"/>
      <c r="E28" s="59"/>
      <c r="F28" s="20"/>
      <c r="G28" s="9"/>
      <c r="H28" s="21"/>
      <c r="L28" s="66"/>
      <c r="M28" s="66"/>
      <c r="N28" s="59"/>
      <c r="O28" s="9"/>
      <c r="P28" s="16"/>
      <c r="Q28" s="21"/>
    </row>
    <row r="29" spans="1:17" s="7" customFormat="1" ht="6.75" customHeight="1" x14ac:dyDescent="0.25">
      <c r="B29" s="67"/>
      <c r="C29" s="66"/>
      <c r="D29" s="66"/>
      <c r="E29" s="59"/>
      <c r="F29" s="9"/>
      <c r="G29" s="68"/>
      <c r="H29" s="21"/>
    </row>
    <row r="30" spans="1:17" s="7" customFormat="1" ht="15" x14ac:dyDescent="0.25">
      <c r="A30" s="7">
        <v>33</v>
      </c>
      <c r="B30" s="7" t="s">
        <v>17</v>
      </c>
      <c r="C30" s="66"/>
      <c r="D30" s="66"/>
      <c r="E30" s="59">
        <f>+E27</f>
        <v>1534600</v>
      </c>
      <c r="F30" s="20" t="s">
        <v>18</v>
      </c>
      <c r="G30" s="9">
        <f>+G27</f>
        <v>4</v>
      </c>
      <c r="H30" s="21">
        <f>G30/10*1197</f>
        <v>478.8</v>
      </c>
    </row>
    <row r="31" spans="1:17" s="7" customFormat="1" ht="15" x14ac:dyDescent="0.25">
      <c r="B31" s="7" t="s">
        <v>60</v>
      </c>
      <c r="C31" s="145">
        <v>45874</v>
      </c>
      <c r="D31" s="145"/>
      <c r="E31" s="59"/>
      <c r="F31" s="20"/>
      <c r="G31" s="9"/>
      <c r="H31" s="21"/>
    </row>
    <row r="32" spans="1:17" s="7" customFormat="1" ht="6.75" customHeight="1" x14ac:dyDescent="0.25">
      <c r="B32" s="67"/>
      <c r="C32" s="66"/>
      <c r="D32" s="66"/>
      <c r="E32" s="59"/>
      <c r="F32" s="9"/>
      <c r="G32" s="68"/>
      <c r="H32" s="21"/>
    </row>
    <row r="33" spans="1:10" s="7" customFormat="1" ht="15" x14ac:dyDescent="0.25">
      <c r="H33" s="21"/>
    </row>
    <row r="34" spans="1:10" s="7" customFormat="1" ht="15" x14ac:dyDescent="0.25">
      <c r="H34" s="21"/>
    </row>
    <row r="35" spans="1:10" s="7" customFormat="1" ht="15" x14ac:dyDescent="0.25"/>
    <row r="36" spans="1:10" s="7" customFormat="1" ht="6.75" customHeight="1" x14ac:dyDescent="0.25">
      <c r="C36" s="66"/>
      <c r="D36" s="66"/>
      <c r="E36" s="69"/>
      <c r="F36" s="19"/>
      <c r="G36" s="70"/>
      <c r="H36" s="71"/>
    </row>
    <row r="37" spans="1:10" s="7" customFormat="1" ht="15" x14ac:dyDescent="0.25">
      <c r="A37" s="13"/>
      <c r="B37" s="13"/>
      <c r="E37" s="7" t="s">
        <v>9</v>
      </c>
      <c r="F37" s="72"/>
      <c r="G37" s="8"/>
      <c r="H37" s="21">
        <f>SUM(H24:H36)</f>
        <v>1436.4</v>
      </c>
      <c r="J37" s="21"/>
    </row>
    <row r="38" spans="1:10" s="7" customFormat="1" ht="15" x14ac:dyDescent="0.25">
      <c r="E38" s="22" t="s">
        <v>10</v>
      </c>
      <c r="F38" s="72"/>
      <c r="G38" s="8"/>
      <c r="H38" s="21">
        <f>+H37*0.19</f>
        <v>272.916</v>
      </c>
    </row>
    <row r="39" spans="1:10" s="7" customFormat="1" thickBot="1" x14ac:dyDescent="0.3">
      <c r="E39" s="73" t="s">
        <v>11</v>
      </c>
      <c r="F39" s="74"/>
      <c r="G39" s="75"/>
      <c r="H39" s="23">
        <f>SUM(H37:H38)</f>
        <v>1709.316</v>
      </c>
      <c r="J39" s="21"/>
    </row>
    <row r="40" spans="1:10" s="7" customFormat="1" ht="6.75" customHeight="1" thickTop="1" x14ac:dyDescent="0.25">
      <c r="E40" s="76"/>
      <c r="F40" s="9"/>
      <c r="G40" s="8"/>
      <c r="H40" s="21"/>
    </row>
    <row r="41" spans="1:10" s="7" customFormat="1" ht="15" x14ac:dyDescent="0.25">
      <c r="A41" s="7" t="s">
        <v>34</v>
      </c>
      <c r="B41" s="13"/>
      <c r="D41" s="8"/>
      <c r="E41" s="9"/>
      <c r="F41" s="10"/>
    </row>
    <row r="42" spans="1:10" s="7" customFormat="1" ht="15" x14ac:dyDescent="0.25">
      <c r="D42" s="8"/>
      <c r="E42" s="9"/>
      <c r="F42" s="10"/>
    </row>
    <row r="43" spans="1:10" s="7" customFormat="1" ht="15" x14ac:dyDescent="0.25">
      <c r="D43" s="8"/>
      <c r="E43" s="9"/>
      <c r="F43" s="8"/>
      <c r="G43" s="10"/>
    </row>
    <row r="44" spans="1:10" s="7" customFormat="1" ht="15" x14ac:dyDescent="0.25">
      <c r="D44" s="8"/>
      <c r="E44" s="9"/>
      <c r="F44" s="8"/>
      <c r="G44" s="10"/>
    </row>
    <row r="45" spans="1:10" s="7" customFormat="1" ht="15" x14ac:dyDescent="0.25">
      <c r="D45" s="8"/>
      <c r="E45" s="9"/>
      <c r="F45" s="8"/>
      <c r="G45" s="10"/>
    </row>
    <row r="46" spans="1:10" s="7" customFormat="1" ht="15" x14ac:dyDescent="0.25">
      <c r="B46" s="17"/>
      <c r="D46" s="8"/>
      <c r="E46" s="9"/>
      <c r="F46" s="8"/>
      <c r="G46" s="10"/>
    </row>
    <row r="47" spans="1:10" s="7" customFormat="1" ht="15" x14ac:dyDescent="0.25"/>
    <row r="48" spans="1:10" ht="10.5" customHeight="1" x14ac:dyDescent="0.25"/>
    <row r="51" spans="1:8" x14ac:dyDescent="0.25">
      <c r="A51" s="125" t="s">
        <v>41</v>
      </c>
      <c r="B51" s="125"/>
      <c r="C51" s="125"/>
      <c r="D51" s="125"/>
      <c r="E51" s="125"/>
      <c r="F51" s="125"/>
      <c r="G51" s="125"/>
      <c r="H51" s="125"/>
    </row>
  </sheetData>
  <mergeCells count="14">
    <mergeCell ref="E7:F7"/>
    <mergeCell ref="G7:H7"/>
    <mergeCell ref="E8:F8"/>
    <mergeCell ref="G8:H8"/>
    <mergeCell ref="E9:F9"/>
    <mergeCell ref="G9:H9"/>
    <mergeCell ref="C31:D31"/>
    <mergeCell ref="A51:H51"/>
    <mergeCell ref="F10:H10"/>
    <mergeCell ref="F11:H11"/>
    <mergeCell ref="A16:H16"/>
    <mergeCell ref="C23:D23"/>
    <mergeCell ref="C25:D25"/>
    <mergeCell ref="C28:D28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6FDF-3C89-4B6A-BE59-4864595BE9FD}">
  <dimension ref="A5:T56"/>
  <sheetViews>
    <sheetView workbookViewId="0">
      <selection activeCell="M12" sqref="M12:M20"/>
    </sheetView>
  </sheetViews>
  <sheetFormatPr baseColWidth="10" defaultColWidth="11.5703125" defaultRowHeight="15.75" x14ac:dyDescent="0.25"/>
  <cols>
    <col min="1" max="1" width="3.5703125" style="6" customWidth="1"/>
    <col min="2" max="2" width="30.5703125" style="6" customWidth="1"/>
    <col min="3" max="3" width="10.140625" style="6" customWidth="1"/>
    <col min="4" max="4" width="3" style="3" customWidth="1"/>
    <col min="5" max="5" width="13" style="4" bestFit="1" customWidth="1"/>
    <col min="6" max="6" width="7" style="5" customWidth="1"/>
    <col min="7" max="7" width="9.140625" style="6" customWidth="1"/>
    <col min="8" max="8" width="10.7109375" style="6" bestFit="1" customWidth="1"/>
    <col min="9" max="9" width="1.140625" style="6" customWidth="1"/>
    <col min="10" max="16384" width="11.5703125" style="6"/>
  </cols>
  <sheetData>
    <row r="5" spans="1:20" x14ac:dyDescent="0.25">
      <c r="A5" s="1" t="s">
        <v>0</v>
      </c>
      <c r="B5" s="2"/>
      <c r="C5" s="2"/>
    </row>
    <row r="6" spans="1:20" ht="9" customHeight="1" x14ac:dyDescent="0.25">
      <c r="A6" s="1"/>
      <c r="B6" s="2"/>
      <c r="C6" s="2"/>
    </row>
    <row r="7" spans="1:20" s="24" customFormat="1" ht="15" x14ac:dyDescent="0.25">
      <c r="A7" s="24" t="s">
        <v>21</v>
      </c>
      <c r="B7" s="25"/>
      <c r="D7" s="26"/>
      <c r="E7" s="146" t="s">
        <v>1</v>
      </c>
      <c r="F7" s="147"/>
      <c r="G7" s="131">
        <v>45951</v>
      </c>
      <c r="H7" s="132"/>
    </row>
    <row r="8" spans="1:20" s="24" customFormat="1" ht="15" x14ac:dyDescent="0.25">
      <c r="A8" s="24" t="s">
        <v>19</v>
      </c>
      <c r="B8" s="25"/>
      <c r="D8" s="26"/>
      <c r="E8" s="148" t="s">
        <v>2</v>
      </c>
      <c r="F8" s="149"/>
      <c r="G8" s="150">
        <v>10113</v>
      </c>
      <c r="H8" s="151"/>
    </row>
    <row r="9" spans="1:20" s="24" customFormat="1" ht="15" x14ac:dyDescent="0.25">
      <c r="B9" s="25"/>
      <c r="D9" s="26"/>
      <c r="E9" s="152" t="s">
        <v>3</v>
      </c>
      <c r="F9" s="153"/>
      <c r="G9" s="154" t="s">
        <v>74</v>
      </c>
      <c r="H9" s="155"/>
    </row>
    <row r="10" spans="1:20" s="24" customFormat="1" ht="15" x14ac:dyDescent="0.25">
      <c r="A10" s="24" t="s">
        <v>20</v>
      </c>
      <c r="B10" s="25"/>
      <c r="D10" s="26"/>
      <c r="E10" s="63" t="s">
        <v>31</v>
      </c>
      <c r="F10" s="140" t="s">
        <v>32</v>
      </c>
      <c r="G10" s="140"/>
      <c r="H10" s="141"/>
    </row>
    <row r="11" spans="1:20" s="24" customFormat="1" ht="15" x14ac:dyDescent="0.25">
      <c r="D11" s="26"/>
      <c r="E11" s="60" t="s">
        <v>36</v>
      </c>
      <c r="F11" s="142" t="s">
        <v>33</v>
      </c>
      <c r="G11" s="142"/>
      <c r="H11" s="143"/>
      <c r="K11" s="38"/>
      <c r="L11" s="43"/>
      <c r="M11" s="39"/>
      <c r="N11" s="40"/>
      <c r="O11" s="62"/>
      <c r="P11" s="38"/>
      <c r="Q11" s="61"/>
      <c r="R11" s="46"/>
    </row>
    <row r="12" spans="1:20" s="24" customFormat="1" ht="15" x14ac:dyDescent="0.25">
      <c r="D12" s="26"/>
      <c r="E12" s="22"/>
      <c r="F12" s="9"/>
      <c r="G12" s="9"/>
      <c r="H12" s="9"/>
    </row>
    <row r="13" spans="1:20" s="24" customFormat="1" ht="15" x14ac:dyDescent="0.25">
      <c r="D13" s="26"/>
      <c r="E13" s="28"/>
      <c r="F13" s="29"/>
    </row>
    <row r="14" spans="1:20" ht="8.25" customHeight="1" x14ac:dyDescent="0.25"/>
    <row r="15" spans="1:20" s="31" customFormat="1" ht="14.25" x14ac:dyDescent="0.2">
      <c r="A15" s="126" t="s">
        <v>4</v>
      </c>
      <c r="B15" s="126"/>
      <c r="C15" s="126"/>
      <c r="D15" s="126"/>
      <c r="E15" s="126"/>
      <c r="F15" s="126"/>
      <c r="G15" s="126"/>
      <c r="H15" s="126"/>
      <c r="M15" s="38"/>
      <c r="N15" s="38"/>
      <c r="O15" s="39"/>
      <c r="P15" s="40"/>
      <c r="Q15" s="38"/>
      <c r="R15" s="38"/>
      <c r="S15" s="38"/>
      <c r="T15" s="38"/>
    </row>
    <row r="16" spans="1:20" s="31" customFormat="1" ht="14.25" x14ac:dyDescent="0.2">
      <c r="A16" s="30"/>
      <c r="B16" s="30"/>
      <c r="C16" s="30"/>
      <c r="D16" s="30"/>
      <c r="E16" s="30"/>
      <c r="F16" s="30"/>
      <c r="G16" s="30"/>
      <c r="H16" s="30"/>
      <c r="M16" s="38"/>
      <c r="N16" s="38"/>
      <c r="O16" s="39"/>
      <c r="P16" s="40"/>
      <c r="Q16" s="44"/>
      <c r="R16" s="38"/>
      <c r="S16" s="45"/>
      <c r="T16" s="46"/>
    </row>
    <row r="17" spans="1:20" s="24" customFormat="1" ht="15" x14ac:dyDescent="0.25">
      <c r="A17" s="24" t="s">
        <v>28</v>
      </c>
      <c r="B17" s="25"/>
      <c r="D17" s="26"/>
      <c r="E17" s="28"/>
      <c r="F17" s="29"/>
      <c r="M17" s="38"/>
      <c r="N17" s="43"/>
      <c r="O17" s="39"/>
      <c r="P17" s="40"/>
      <c r="Q17" s="62"/>
      <c r="R17" s="38"/>
      <c r="S17" s="61"/>
      <c r="T17" s="46"/>
    </row>
    <row r="18" spans="1:20" s="24" customFormat="1" ht="15" x14ac:dyDescent="0.25">
      <c r="A18" s="24" t="s">
        <v>5</v>
      </c>
      <c r="B18" s="25"/>
      <c r="D18" s="26"/>
      <c r="E18" s="28"/>
      <c r="F18" s="29"/>
      <c r="M18" s="38"/>
      <c r="N18" s="43"/>
      <c r="O18" s="39"/>
      <c r="P18" s="40"/>
      <c r="Q18" s="38"/>
      <c r="R18" s="38"/>
      <c r="S18" s="38"/>
      <c r="T18" s="38"/>
    </row>
    <row r="19" spans="1:20" s="24" customFormat="1" ht="4.5" customHeight="1" x14ac:dyDescent="0.25">
      <c r="D19" s="26"/>
      <c r="E19" s="26"/>
      <c r="F19" s="28"/>
      <c r="G19" s="26"/>
    </row>
    <row r="20" spans="1:20" s="24" customFormat="1" ht="15" x14ac:dyDescent="0.25">
      <c r="A20" s="32" t="s">
        <v>6</v>
      </c>
      <c r="B20" s="33"/>
      <c r="C20" s="32"/>
      <c r="D20" s="26"/>
      <c r="E20" s="26" t="s">
        <v>12</v>
      </c>
      <c r="F20" s="28" t="s">
        <v>14</v>
      </c>
      <c r="G20" s="26" t="s">
        <v>22</v>
      </c>
      <c r="H20" s="28" t="s">
        <v>7</v>
      </c>
    </row>
    <row r="21" spans="1:20" s="24" customFormat="1" ht="15" x14ac:dyDescent="0.25">
      <c r="A21" s="34" t="s">
        <v>8</v>
      </c>
      <c r="B21" s="34"/>
      <c r="C21" s="27" t="s">
        <v>37</v>
      </c>
      <c r="D21" s="35"/>
      <c r="E21" s="36" t="s">
        <v>13</v>
      </c>
      <c r="F21" s="36"/>
      <c r="G21" s="37" t="s">
        <v>23</v>
      </c>
      <c r="H21" s="27"/>
    </row>
    <row r="22" spans="1:20" s="38" customFormat="1" ht="13.5" x14ac:dyDescent="0.2">
      <c r="A22" s="38">
        <v>34</v>
      </c>
      <c r="B22" s="38" t="s">
        <v>61</v>
      </c>
      <c r="D22" s="40"/>
    </row>
    <row r="23" spans="1:20" s="38" customFormat="1" ht="13.5" x14ac:dyDescent="0.2">
      <c r="B23" s="43" t="s">
        <v>66</v>
      </c>
      <c r="D23" s="40"/>
      <c r="E23" s="44">
        <v>15</v>
      </c>
      <c r="G23" s="45">
        <v>1</v>
      </c>
      <c r="H23" s="46">
        <f>+G23*E23</f>
        <v>15</v>
      </c>
    </row>
    <row r="24" spans="1:20" s="38" customFormat="1" ht="13.5" x14ac:dyDescent="0.2">
      <c r="B24" s="43" t="s">
        <v>67</v>
      </c>
      <c r="C24" s="78" t="s">
        <v>65</v>
      </c>
      <c r="D24" s="40"/>
      <c r="E24" s="44"/>
      <c r="G24" s="45"/>
      <c r="H24" s="46"/>
    </row>
    <row r="25" spans="1:20" s="38" customFormat="1" ht="13.5" x14ac:dyDescent="0.2">
      <c r="B25" s="43" t="s">
        <v>29</v>
      </c>
      <c r="C25" s="39"/>
      <c r="D25" s="40"/>
    </row>
    <row r="26" spans="1:20" s="38" customFormat="1" ht="13.5" x14ac:dyDescent="0.2">
      <c r="B26" s="38" t="s">
        <v>30</v>
      </c>
      <c r="C26" s="39">
        <v>45770</v>
      </c>
      <c r="D26" s="40"/>
      <c r="E26" s="44">
        <v>15</v>
      </c>
      <c r="G26" s="45">
        <v>17</v>
      </c>
      <c r="H26" s="46">
        <f>+G26*E26</f>
        <v>255</v>
      </c>
    </row>
    <row r="27" spans="1:20" s="38" customFormat="1" ht="5.25" customHeight="1" x14ac:dyDescent="0.2">
      <c r="C27" s="39"/>
      <c r="D27" s="40"/>
      <c r="E27" s="44"/>
      <c r="G27" s="45"/>
      <c r="H27" s="46"/>
    </row>
    <row r="28" spans="1:20" s="38" customFormat="1" ht="13.5" x14ac:dyDescent="0.2">
      <c r="A28" s="38">
        <v>34</v>
      </c>
      <c r="B28" s="38" t="s">
        <v>62</v>
      </c>
      <c r="D28" s="40"/>
    </row>
    <row r="29" spans="1:20" s="38" customFormat="1" ht="13.5" x14ac:dyDescent="0.2">
      <c r="B29" s="43" t="s">
        <v>29</v>
      </c>
      <c r="C29" s="39"/>
      <c r="D29" s="40"/>
    </row>
    <row r="30" spans="1:20" s="38" customFormat="1" ht="13.5" x14ac:dyDescent="0.2">
      <c r="B30" s="38" t="s">
        <v>30</v>
      </c>
      <c r="C30" s="39">
        <v>45799</v>
      </c>
      <c r="D30" s="40"/>
      <c r="E30" s="44">
        <v>15</v>
      </c>
      <c r="G30" s="45">
        <v>14</v>
      </c>
      <c r="H30" s="46">
        <f>+G30*E30</f>
        <v>210</v>
      </c>
    </row>
    <row r="31" spans="1:20" s="38" customFormat="1" ht="6" customHeight="1" x14ac:dyDescent="0.2">
      <c r="C31" s="39"/>
      <c r="D31" s="40"/>
      <c r="E31" s="44"/>
      <c r="G31" s="45"/>
      <c r="H31" s="46"/>
    </row>
    <row r="32" spans="1:20" s="38" customFormat="1" ht="13.5" x14ac:dyDescent="0.2">
      <c r="A32" s="38">
        <v>34</v>
      </c>
      <c r="B32" s="38" t="s">
        <v>63</v>
      </c>
      <c r="D32" s="40"/>
    </row>
    <row r="33" spans="1:12" s="38" customFormat="1" ht="13.5" x14ac:dyDescent="0.2">
      <c r="B33" s="43" t="s">
        <v>66</v>
      </c>
      <c r="D33" s="40"/>
      <c r="E33" s="44">
        <v>15</v>
      </c>
      <c r="G33" s="45">
        <v>2</v>
      </c>
      <c r="H33" s="46">
        <f>+G33*E33</f>
        <v>30</v>
      </c>
    </row>
    <row r="34" spans="1:12" s="38" customFormat="1" ht="13.5" x14ac:dyDescent="0.2">
      <c r="B34" s="43" t="s">
        <v>69</v>
      </c>
      <c r="C34" s="78" t="s">
        <v>68</v>
      </c>
      <c r="D34" s="40"/>
      <c r="E34" s="44"/>
      <c r="G34" s="45"/>
      <c r="H34" s="46"/>
    </row>
    <row r="35" spans="1:12" s="38" customFormat="1" ht="13.5" x14ac:dyDescent="0.2">
      <c r="B35" s="43" t="s">
        <v>29</v>
      </c>
      <c r="C35" s="39"/>
      <c r="D35" s="40"/>
    </row>
    <row r="36" spans="1:12" s="38" customFormat="1" ht="15" x14ac:dyDescent="0.25">
      <c r="B36" s="38" t="s">
        <v>30</v>
      </c>
      <c r="C36" s="39">
        <v>45831</v>
      </c>
      <c r="D36" s="40"/>
      <c r="E36" s="44">
        <v>15</v>
      </c>
      <c r="G36" s="45">
        <v>15</v>
      </c>
      <c r="H36" s="46">
        <f>+G36*E36</f>
        <v>225</v>
      </c>
      <c r="I36" s="24"/>
    </row>
    <row r="37" spans="1:12" s="38" customFormat="1" ht="15" x14ac:dyDescent="0.25">
      <c r="C37" s="39"/>
      <c r="D37" s="40"/>
      <c r="E37" s="44"/>
      <c r="G37" s="45"/>
      <c r="H37" s="46"/>
      <c r="I37" s="24"/>
    </row>
    <row r="38" spans="1:12" s="38" customFormat="1" ht="15" x14ac:dyDescent="0.25">
      <c r="I38" s="24"/>
    </row>
    <row r="39" spans="1:12" s="38" customFormat="1" ht="3" customHeight="1" x14ac:dyDescent="0.2"/>
    <row r="40" spans="1:12" s="38" customFormat="1" ht="13.5" x14ac:dyDescent="0.2">
      <c r="A40" s="38">
        <v>16</v>
      </c>
      <c r="B40" s="38" t="s">
        <v>25</v>
      </c>
      <c r="C40" s="39"/>
      <c r="D40" s="40"/>
      <c r="E40" s="44"/>
      <c r="G40" s="45"/>
      <c r="H40" s="46"/>
    </row>
    <row r="41" spans="1:12" s="38" customFormat="1" ht="13.5" x14ac:dyDescent="0.2">
      <c r="B41" s="38" t="s">
        <v>26</v>
      </c>
      <c r="C41" s="39" t="s">
        <v>64</v>
      </c>
      <c r="D41" s="40"/>
      <c r="E41" s="46">
        <f>SUM(H22:H37)*0.2</f>
        <v>147</v>
      </c>
      <c r="G41" s="46"/>
      <c r="H41" s="46">
        <v>60</v>
      </c>
    </row>
    <row r="42" spans="1:12" s="38" customFormat="1" ht="6.75" customHeight="1" x14ac:dyDescent="0.2">
      <c r="C42" s="40"/>
      <c r="D42" s="40"/>
      <c r="E42" s="47"/>
      <c r="F42" s="48"/>
      <c r="G42" s="49"/>
      <c r="H42" s="50"/>
    </row>
    <row r="43" spans="1:12" s="38" customFormat="1" ht="13.5" x14ac:dyDescent="0.2">
      <c r="A43" s="51"/>
      <c r="B43" s="51"/>
      <c r="E43" s="38" t="s">
        <v>9</v>
      </c>
      <c r="F43" s="51"/>
      <c r="G43" s="52"/>
      <c r="H43" s="46">
        <f>SUM(H22:H42)</f>
        <v>795</v>
      </c>
      <c r="J43" s="46"/>
      <c r="L43" s="46"/>
    </row>
    <row r="44" spans="1:12" s="38" customFormat="1" ht="13.5" x14ac:dyDescent="0.2">
      <c r="E44" s="53" t="s">
        <v>10</v>
      </c>
      <c r="F44" s="51"/>
      <c r="G44" s="52"/>
      <c r="H44" s="46">
        <f>+H43*0.19</f>
        <v>151.05000000000001</v>
      </c>
    </row>
    <row r="45" spans="1:12" s="38" customFormat="1" ht="14.25" thickBot="1" x14ac:dyDescent="0.25">
      <c r="E45" s="54" t="s">
        <v>11</v>
      </c>
      <c r="F45" s="55"/>
      <c r="G45" s="56"/>
      <c r="H45" s="57">
        <f>SUM(H43:H44)</f>
        <v>946.05</v>
      </c>
      <c r="J45" s="46"/>
    </row>
    <row r="46" spans="1:12" s="38" customFormat="1" ht="5.25" customHeight="1" thickTop="1" x14ac:dyDescent="0.2">
      <c r="E46" s="58"/>
      <c r="F46" s="41"/>
      <c r="G46" s="52"/>
      <c r="H46" s="46"/>
      <c r="J46" s="46"/>
    </row>
    <row r="47" spans="1:12" s="38" customFormat="1" ht="15" x14ac:dyDescent="0.25">
      <c r="A47" s="7" t="s">
        <v>34</v>
      </c>
      <c r="B47" s="51"/>
      <c r="D47" s="52"/>
      <c r="E47" s="41"/>
      <c r="F47" s="42"/>
    </row>
    <row r="48" spans="1:12" s="7" customFormat="1" ht="15" x14ac:dyDescent="0.25">
      <c r="D48" s="8"/>
      <c r="E48" s="9"/>
      <c r="F48" s="8"/>
      <c r="G48" s="10"/>
    </row>
    <row r="49" spans="1:8" s="7" customFormat="1" ht="15" customHeight="1" x14ac:dyDescent="0.25">
      <c r="D49" s="8"/>
      <c r="E49" s="9"/>
      <c r="F49" s="8"/>
      <c r="G49" s="10"/>
    </row>
    <row r="50" spans="1:8" s="7" customFormat="1" ht="19.5" customHeight="1" x14ac:dyDescent="0.25">
      <c r="B50" s="17"/>
      <c r="D50" s="8"/>
      <c r="E50" s="9"/>
      <c r="F50" s="8"/>
      <c r="G50" s="10"/>
    </row>
    <row r="52" spans="1:8" s="38" customFormat="1" ht="13.5" x14ac:dyDescent="0.2">
      <c r="C52" s="39"/>
      <c r="D52" s="40"/>
      <c r="E52" s="44"/>
      <c r="G52" s="45"/>
      <c r="H52" s="46"/>
    </row>
    <row r="53" spans="1:8" s="38" customFormat="1" ht="8.25" customHeight="1" x14ac:dyDescent="0.2">
      <c r="C53" s="39"/>
      <c r="D53" s="40"/>
      <c r="E53" s="44"/>
      <c r="G53" s="45"/>
      <c r="H53" s="46"/>
    </row>
    <row r="54" spans="1:8" s="38" customFormat="1" ht="13.5" x14ac:dyDescent="0.2">
      <c r="A54" s="125" t="s">
        <v>52</v>
      </c>
      <c r="B54" s="125"/>
      <c r="C54" s="125"/>
      <c r="D54" s="125"/>
      <c r="E54" s="125"/>
      <c r="F54" s="125"/>
      <c r="G54" s="125"/>
      <c r="H54" s="125"/>
    </row>
    <row r="56" spans="1:8" x14ac:dyDescent="0.25">
      <c r="D56" s="6"/>
      <c r="E56" s="6"/>
      <c r="F56" s="6"/>
    </row>
  </sheetData>
  <mergeCells count="10">
    <mergeCell ref="F10:H10"/>
    <mergeCell ref="F11:H11"/>
    <mergeCell ref="A15:H15"/>
    <mergeCell ref="A54:H54"/>
    <mergeCell ref="E7:F7"/>
    <mergeCell ref="G7:H7"/>
    <mergeCell ref="E8:F8"/>
    <mergeCell ref="G8:H8"/>
    <mergeCell ref="E9:F9"/>
    <mergeCell ref="G9:H9"/>
  </mergeCells>
  <pageMargins left="0.78740157480314965" right="0.59055118110236227" top="0.98425196850393704" bottom="0.98425196850393704" header="0.51181102362204722" footer="0.51181102362204722"/>
  <pageSetup paperSize="9" orientation="portrait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6A7A-AF7B-4EBB-829C-BAD6F8FB733D}">
  <dimension ref="A5:T54"/>
  <sheetViews>
    <sheetView workbookViewId="0">
      <selection activeCell="F10" sqref="F10:H10"/>
    </sheetView>
  </sheetViews>
  <sheetFormatPr baseColWidth="10" defaultColWidth="11.5703125" defaultRowHeight="15.75" x14ac:dyDescent="0.25"/>
  <cols>
    <col min="1" max="1" width="3.5703125" style="6" customWidth="1"/>
    <col min="2" max="2" width="30.5703125" style="6" customWidth="1"/>
    <col min="3" max="3" width="10.140625" style="6" customWidth="1"/>
    <col min="4" max="4" width="3" style="3" customWidth="1"/>
    <col min="5" max="5" width="13" style="4" bestFit="1" customWidth="1"/>
    <col min="6" max="6" width="7" style="5" customWidth="1"/>
    <col min="7" max="7" width="9.140625" style="6" customWidth="1"/>
    <col min="8" max="8" width="10.7109375" style="6" bestFit="1" customWidth="1"/>
    <col min="9" max="9" width="1.140625" style="6" customWidth="1"/>
    <col min="10" max="16384" width="11.5703125" style="6"/>
  </cols>
  <sheetData>
    <row r="5" spans="1:20" x14ac:dyDescent="0.25">
      <c r="A5" s="1" t="s">
        <v>0</v>
      </c>
      <c r="B5" s="2"/>
      <c r="C5" s="2"/>
    </row>
    <row r="6" spans="1:20" ht="9" customHeight="1" x14ac:dyDescent="0.25">
      <c r="A6" s="1"/>
      <c r="B6" s="2"/>
      <c r="C6" s="2"/>
    </row>
    <row r="7" spans="1:20" s="24" customFormat="1" ht="15" x14ac:dyDescent="0.25">
      <c r="A7" s="24" t="s">
        <v>21</v>
      </c>
      <c r="B7" s="25"/>
      <c r="D7" s="26"/>
      <c r="E7" s="146" t="s">
        <v>1</v>
      </c>
      <c r="F7" s="147"/>
      <c r="G7" s="131">
        <v>45951</v>
      </c>
      <c r="H7" s="132"/>
    </row>
    <row r="8" spans="1:20" s="24" customFormat="1" ht="15" x14ac:dyDescent="0.25">
      <c r="A8" s="24" t="s">
        <v>19</v>
      </c>
      <c r="B8" s="25"/>
      <c r="D8" s="26"/>
      <c r="E8" s="148" t="s">
        <v>2</v>
      </c>
      <c r="F8" s="149"/>
      <c r="G8" s="150">
        <v>10113</v>
      </c>
      <c r="H8" s="151"/>
    </row>
    <row r="9" spans="1:20" s="24" customFormat="1" ht="15" x14ac:dyDescent="0.25">
      <c r="B9" s="25"/>
      <c r="D9" s="26"/>
      <c r="E9" s="152" t="s">
        <v>3</v>
      </c>
      <c r="F9" s="153"/>
      <c r="G9" s="154" t="s">
        <v>75</v>
      </c>
      <c r="H9" s="155"/>
    </row>
    <row r="10" spans="1:20" s="24" customFormat="1" ht="15" x14ac:dyDescent="0.25">
      <c r="A10" s="24" t="s">
        <v>20</v>
      </c>
      <c r="B10" s="25"/>
      <c r="D10" s="26"/>
      <c r="E10" s="63" t="s">
        <v>31</v>
      </c>
      <c r="F10" s="140" t="s">
        <v>32</v>
      </c>
      <c r="G10" s="140"/>
      <c r="H10" s="141"/>
    </row>
    <row r="11" spans="1:20" s="24" customFormat="1" ht="15" x14ac:dyDescent="0.25">
      <c r="D11" s="26"/>
      <c r="E11" s="60" t="s">
        <v>36</v>
      </c>
      <c r="F11" s="142" t="s">
        <v>33</v>
      </c>
      <c r="G11" s="142"/>
      <c r="H11" s="143"/>
      <c r="K11" s="38"/>
      <c r="L11" s="43"/>
      <c r="M11" s="39"/>
      <c r="N11" s="40"/>
      <c r="O11" s="62"/>
      <c r="P11" s="38"/>
      <c r="Q11" s="61"/>
      <c r="R11" s="46"/>
    </row>
    <row r="12" spans="1:20" s="24" customFormat="1" ht="15" x14ac:dyDescent="0.25">
      <c r="D12" s="26"/>
      <c r="E12" s="22"/>
      <c r="F12" s="9"/>
      <c r="G12" s="9"/>
      <c r="H12" s="9"/>
    </row>
    <row r="13" spans="1:20" s="24" customFormat="1" ht="15" x14ac:dyDescent="0.25">
      <c r="D13" s="26"/>
      <c r="E13" s="28"/>
      <c r="F13" s="29"/>
    </row>
    <row r="15" spans="1:20" s="31" customFormat="1" ht="14.25" x14ac:dyDescent="0.2">
      <c r="A15" s="126" t="s">
        <v>4</v>
      </c>
      <c r="B15" s="126"/>
      <c r="C15" s="126"/>
      <c r="D15" s="126"/>
      <c r="E15" s="126"/>
      <c r="F15" s="126"/>
      <c r="G15" s="126"/>
      <c r="H15" s="126"/>
      <c r="M15" s="38"/>
      <c r="N15" s="38"/>
      <c r="O15" s="39"/>
      <c r="P15" s="40"/>
      <c r="Q15" s="38"/>
      <c r="R15" s="38"/>
      <c r="S15" s="38"/>
      <c r="T15" s="38"/>
    </row>
    <row r="16" spans="1:20" s="31" customFormat="1" ht="14.25" x14ac:dyDescent="0.2">
      <c r="A16" s="30"/>
      <c r="B16" s="30"/>
      <c r="C16" s="30"/>
      <c r="D16" s="30"/>
      <c r="E16" s="30"/>
      <c r="F16" s="30"/>
      <c r="G16" s="30"/>
      <c r="H16" s="30"/>
      <c r="M16" s="38"/>
      <c r="N16" s="38"/>
      <c r="O16" s="39"/>
      <c r="P16" s="40"/>
      <c r="Q16" s="38"/>
      <c r="R16" s="38"/>
      <c r="S16" s="38"/>
      <c r="T16" s="38"/>
    </row>
    <row r="17" spans="1:20" s="31" customFormat="1" ht="14.25" x14ac:dyDescent="0.2">
      <c r="A17" s="30"/>
      <c r="B17" s="30"/>
      <c r="C17" s="30"/>
      <c r="D17" s="30"/>
      <c r="E17" s="30"/>
      <c r="F17" s="30"/>
      <c r="G17" s="30"/>
      <c r="H17" s="30"/>
      <c r="M17" s="38"/>
      <c r="N17" s="38"/>
      <c r="O17" s="39"/>
      <c r="P17" s="40"/>
      <c r="Q17" s="38"/>
      <c r="R17" s="38"/>
      <c r="S17" s="38"/>
      <c r="T17" s="38"/>
    </row>
    <row r="18" spans="1:20" s="31" customFormat="1" ht="14.25" x14ac:dyDescent="0.2">
      <c r="A18" s="30"/>
      <c r="B18" s="30"/>
      <c r="C18" s="30"/>
      <c r="D18" s="30"/>
      <c r="E18" s="30"/>
      <c r="F18" s="30"/>
      <c r="G18" s="30"/>
      <c r="H18" s="30"/>
      <c r="M18" s="38"/>
      <c r="N18" s="38"/>
      <c r="O18" s="39"/>
      <c r="P18" s="40"/>
      <c r="Q18" s="44"/>
      <c r="R18" s="38"/>
      <c r="S18" s="45"/>
      <c r="T18" s="46"/>
    </row>
    <row r="19" spans="1:20" s="24" customFormat="1" ht="15" x14ac:dyDescent="0.25">
      <c r="A19" s="24" t="s">
        <v>28</v>
      </c>
      <c r="B19" s="25"/>
      <c r="D19" s="26"/>
      <c r="E19" s="28"/>
      <c r="F19" s="29"/>
      <c r="M19" s="38"/>
      <c r="N19" s="43"/>
      <c r="O19" s="39"/>
      <c r="P19" s="40"/>
      <c r="Q19" s="62"/>
      <c r="R19" s="38"/>
      <c r="S19" s="61"/>
      <c r="T19" s="46"/>
    </row>
    <row r="20" spans="1:20" s="24" customFormat="1" ht="15" x14ac:dyDescent="0.25">
      <c r="A20" s="24" t="s">
        <v>5</v>
      </c>
      <c r="B20" s="25"/>
      <c r="D20" s="26"/>
      <c r="E20" s="28"/>
      <c r="F20" s="29"/>
      <c r="M20" s="38"/>
      <c r="N20" s="43"/>
      <c r="O20" s="39"/>
      <c r="P20" s="40"/>
      <c r="Q20" s="38"/>
      <c r="R20" s="38"/>
      <c r="S20" s="38"/>
      <c r="T20" s="38"/>
    </row>
    <row r="21" spans="1:20" s="24" customFormat="1" ht="15" x14ac:dyDescent="0.25">
      <c r="D21" s="26"/>
      <c r="E21" s="26"/>
      <c r="F21" s="28"/>
      <c r="G21" s="26"/>
    </row>
    <row r="22" spans="1:20" s="24" customFormat="1" ht="15" x14ac:dyDescent="0.25">
      <c r="A22" s="32" t="s">
        <v>6</v>
      </c>
      <c r="B22" s="33"/>
      <c r="C22" s="32"/>
      <c r="D22" s="26"/>
      <c r="E22" s="26" t="s">
        <v>12</v>
      </c>
      <c r="F22" s="28" t="s">
        <v>14</v>
      </c>
      <c r="G22" s="26" t="s">
        <v>22</v>
      </c>
      <c r="H22" s="28" t="s">
        <v>7</v>
      </c>
    </row>
    <row r="23" spans="1:20" s="24" customFormat="1" ht="15" x14ac:dyDescent="0.25">
      <c r="A23" s="34" t="s">
        <v>8</v>
      </c>
      <c r="B23" s="34"/>
      <c r="C23" s="27" t="s">
        <v>37</v>
      </c>
      <c r="D23" s="35"/>
      <c r="E23" s="36" t="s">
        <v>13</v>
      </c>
      <c r="F23" s="36"/>
      <c r="G23" s="37" t="s">
        <v>23</v>
      </c>
      <c r="H23" s="27"/>
    </row>
    <row r="24" spans="1:20" s="38" customFormat="1" ht="13.5" x14ac:dyDescent="0.2">
      <c r="A24" s="38">
        <v>34</v>
      </c>
      <c r="B24" s="38" t="s">
        <v>70</v>
      </c>
      <c r="D24" s="40"/>
    </row>
    <row r="25" spans="1:20" s="38" customFormat="1" ht="13.5" x14ac:dyDescent="0.2">
      <c r="B25" s="43" t="s">
        <v>29</v>
      </c>
      <c r="C25" s="39"/>
      <c r="D25" s="40"/>
    </row>
    <row r="26" spans="1:20" s="38" customFormat="1" ht="13.5" x14ac:dyDescent="0.2">
      <c r="B26" s="38" t="s">
        <v>30</v>
      </c>
      <c r="C26" s="39">
        <v>45862</v>
      </c>
      <c r="D26" s="40"/>
      <c r="E26" s="44">
        <v>15</v>
      </c>
      <c r="G26" s="45">
        <v>15</v>
      </c>
      <c r="H26" s="46">
        <f>+G26*E26</f>
        <v>225</v>
      </c>
    </row>
    <row r="27" spans="1:20" s="38" customFormat="1" ht="4.5" customHeight="1" x14ac:dyDescent="0.2">
      <c r="C27" s="39"/>
      <c r="D27" s="40"/>
      <c r="E27" s="44"/>
      <c r="G27" s="45"/>
      <c r="H27" s="46"/>
    </row>
    <row r="28" spans="1:20" s="38" customFormat="1" ht="13.5" x14ac:dyDescent="0.2">
      <c r="A28" s="38">
        <v>34</v>
      </c>
      <c r="B28" s="38" t="s">
        <v>71</v>
      </c>
      <c r="D28" s="40"/>
    </row>
    <row r="29" spans="1:20" s="38" customFormat="1" ht="13.5" x14ac:dyDescent="0.2">
      <c r="B29" s="43" t="s">
        <v>29</v>
      </c>
      <c r="C29" s="39"/>
      <c r="D29" s="40"/>
    </row>
    <row r="30" spans="1:20" s="38" customFormat="1" ht="13.5" x14ac:dyDescent="0.2">
      <c r="B30" s="38" t="s">
        <v>30</v>
      </c>
      <c r="C30" s="39">
        <v>45891</v>
      </c>
      <c r="D30" s="40"/>
      <c r="E30" s="44">
        <v>15</v>
      </c>
      <c r="G30" s="45">
        <v>15</v>
      </c>
      <c r="H30" s="46">
        <f>+G30*E30</f>
        <v>225</v>
      </c>
    </row>
    <row r="31" spans="1:20" s="38" customFormat="1" ht="6" customHeight="1" x14ac:dyDescent="0.2">
      <c r="C31" s="39"/>
      <c r="D31" s="40"/>
      <c r="E31" s="44"/>
      <c r="G31" s="45"/>
      <c r="H31" s="46"/>
    </row>
    <row r="32" spans="1:20" s="38" customFormat="1" ht="13.5" x14ac:dyDescent="0.2">
      <c r="A32" s="38">
        <v>34</v>
      </c>
      <c r="B32" s="38" t="s">
        <v>72</v>
      </c>
      <c r="D32" s="40"/>
    </row>
    <row r="33" spans="1:12" s="38" customFormat="1" ht="13.5" x14ac:dyDescent="0.2">
      <c r="B33" s="43" t="s">
        <v>29</v>
      </c>
      <c r="C33" s="39"/>
      <c r="D33" s="40"/>
    </row>
    <row r="34" spans="1:12" s="38" customFormat="1" ht="13.5" x14ac:dyDescent="0.2">
      <c r="B34" s="38" t="s">
        <v>30</v>
      </c>
      <c r="C34" s="39">
        <v>45922</v>
      </c>
      <c r="D34" s="40"/>
      <c r="E34" s="44">
        <v>15</v>
      </c>
      <c r="G34" s="45">
        <v>16</v>
      </c>
      <c r="H34" s="46">
        <f>+G34*E34</f>
        <v>240</v>
      </c>
    </row>
    <row r="35" spans="1:12" s="38" customFormat="1" ht="13.5" x14ac:dyDescent="0.2">
      <c r="C35" s="39"/>
      <c r="D35" s="40"/>
      <c r="E35" s="44"/>
      <c r="G35" s="45"/>
      <c r="H35" s="46"/>
    </row>
    <row r="36" spans="1:12" s="38" customFormat="1" ht="13.5" x14ac:dyDescent="0.2">
      <c r="A36" s="38">
        <v>16</v>
      </c>
      <c r="B36" s="38" t="s">
        <v>25</v>
      </c>
      <c r="C36" s="39"/>
      <c r="D36" s="40"/>
      <c r="E36" s="44"/>
      <c r="G36" s="45"/>
      <c r="H36" s="46"/>
    </row>
    <row r="37" spans="1:12" s="38" customFormat="1" ht="15" x14ac:dyDescent="0.25">
      <c r="B37" s="38" t="s">
        <v>26</v>
      </c>
      <c r="C37" s="39" t="s">
        <v>73</v>
      </c>
      <c r="D37" s="40"/>
      <c r="E37" s="46">
        <f>SUM(H24:H35)*0.2</f>
        <v>138</v>
      </c>
      <c r="G37" s="46"/>
      <c r="H37" s="46">
        <f>(G26+G30+G34)*1.3</f>
        <v>59.800000000000004</v>
      </c>
      <c r="I37" s="24"/>
    </row>
    <row r="38" spans="1:12" s="38" customFormat="1" ht="6.75" customHeight="1" x14ac:dyDescent="0.2">
      <c r="C38" s="40"/>
      <c r="D38" s="40"/>
      <c r="E38" s="47"/>
      <c r="F38" s="48"/>
      <c r="G38" s="49"/>
      <c r="H38" s="50"/>
    </row>
    <row r="39" spans="1:12" s="38" customFormat="1" ht="13.5" x14ac:dyDescent="0.2">
      <c r="A39" s="51"/>
      <c r="B39" s="51"/>
      <c r="E39" s="38" t="s">
        <v>9</v>
      </c>
      <c r="F39" s="51"/>
      <c r="G39" s="52"/>
      <c r="H39" s="46">
        <f>SUM(H24:H38)</f>
        <v>749.8</v>
      </c>
      <c r="J39" s="46"/>
      <c r="L39" s="46"/>
    </row>
    <row r="40" spans="1:12" s="38" customFormat="1" ht="13.5" x14ac:dyDescent="0.2">
      <c r="E40" s="53" t="s">
        <v>10</v>
      </c>
      <c r="F40" s="51"/>
      <c r="G40" s="52"/>
      <c r="H40" s="46">
        <f>+H39*0.19</f>
        <v>142.46199999999999</v>
      </c>
    </row>
    <row r="41" spans="1:12" s="38" customFormat="1" ht="14.25" thickBot="1" x14ac:dyDescent="0.25">
      <c r="E41" s="54" t="s">
        <v>11</v>
      </c>
      <c r="F41" s="55"/>
      <c r="G41" s="56"/>
      <c r="H41" s="57">
        <f>SUM(H39:H40)</f>
        <v>892.26199999999994</v>
      </c>
      <c r="J41" s="46"/>
    </row>
    <row r="42" spans="1:12" s="38" customFormat="1" ht="5.25" customHeight="1" thickTop="1" x14ac:dyDescent="0.2">
      <c r="E42" s="58"/>
      <c r="F42" s="41"/>
      <c r="G42" s="52"/>
      <c r="H42" s="46"/>
      <c r="J42" s="46"/>
    </row>
    <row r="43" spans="1:12" s="38" customFormat="1" ht="15" x14ac:dyDescent="0.25">
      <c r="A43" s="7" t="s">
        <v>34</v>
      </c>
      <c r="B43" s="51"/>
      <c r="D43" s="52"/>
      <c r="E43" s="41"/>
      <c r="F43" s="42"/>
    </row>
    <row r="44" spans="1:12" s="7" customFormat="1" ht="15" x14ac:dyDescent="0.25">
      <c r="D44" s="8"/>
      <c r="E44" s="9"/>
      <c r="F44" s="8"/>
      <c r="G44" s="10"/>
    </row>
    <row r="45" spans="1:12" s="7" customFormat="1" ht="15" customHeight="1" x14ac:dyDescent="0.25">
      <c r="D45" s="8"/>
      <c r="E45" s="9"/>
      <c r="F45" s="8"/>
      <c r="G45" s="10"/>
    </row>
    <row r="46" spans="1:12" s="7" customFormat="1" ht="19.5" customHeight="1" x14ac:dyDescent="0.25">
      <c r="B46" s="17"/>
      <c r="D46" s="8"/>
      <c r="E46" s="9"/>
      <c r="F46" s="8"/>
      <c r="G46" s="10"/>
    </row>
    <row r="48" spans="1:12" s="38" customFormat="1" ht="13.5" x14ac:dyDescent="0.2">
      <c r="C48" s="39"/>
      <c r="D48" s="40"/>
      <c r="E48" s="44"/>
      <c r="G48" s="45"/>
      <c r="H48" s="46"/>
    </row>
    <row r="49" spans="1:8" s="38" customFormat="1" ht="13.5" x14ac:dyDescent="0.2">
      <c r="C49" s="39"/>
      <c r="D49" s="40"/>
      <c r="E49" s="44"/>
      <c r="G49" s="45"/>
      <c r="H49" s="46"/>
    </row>
    <row r="50" spans="1:8" s="38" customFormat="1" ht="13.5" x14ac:dyDescent="0.2">
      <c r="C50" s="39"/>
      <c r="D50" s="40"/>
      <c r="E50" s="44"/>
      <c r="G50" s="45"/>
      <c r="H50" s="46"/>
    </row>
    <row r="51" spans="1:8" s="38" customFormat="1" ht="13.5" x14ac:dyDescent="0.2">
      <c r="C51" s="39"/>
      <c r="D51" s="40"/>
      <c r="E51" s="44"/>
      <c r="G51" s="45"/>
      <c r="H51" s="46"/>
    </row>
    <row r="52" spans="1:8" s="38" customFormat="1" ht="13.5" x14ac:dyDescent="0.2">
      <c r="A52" s="125" t="s">
        <v>52</v>
      </c>
      <c r="B52" s="125"/>
      <c r="C52" s="125"/>
      <c r="D52" s="125"/>
      <c r="E52" s="125"/>
      <c r="F52" s="125"/>
      <c r="G52" s="125"/>
      <c r="H52" s="125"/>
    </row>
    <row r="54" spans="1:8" x14ac:dyDescent="0.25">
      <c r="D54" s="6"/>
      <c r="E54" s="6"/>
      <c r="F54" s="6"/>
    </row>
  </sheetData>
  <mergeCells count="10">
    <mergeCell ref="F10:H10"/>
    <mergeCell ref="F11:H11"/>
    <mergeCell ref="A15:H15"/>
    <mergeCell ref="A52:H52"/>
    <mergeCell ref="E7:F7"/>
    <mergeCell ref="G7:H7"/>
    <mergeCell ref="E8:F8"/>
    <mergeCell ref="G8:H8"/>
    <mergeCell ref="E9:F9"/>
    <mergeCell ref="G9:H9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1163-5B6E-4E90-9615-71A8A7033ED4}">
  <dimension ref="A5:Q51"/>
  <sheetViews>
    <sheetView workbookViewId="0">
      <selection activeCell="F24" sqref="F24"/>
    </sheetView>
  </sheetViews>
  <sheetFormatPr baseColWidth="10" defaultColWidth="11.5703125" defaultRowHeight="15.75" x14ac:dyDescent="0.25"/>
  <cols>
    <col min="1" max="1" width="3.5703125" style="6" customWidth="1"/>
    <col min="2" max="2" width="30.5703125" style="6" customWidth="1"/>
    <col min="3" max="3" width="10.7109375" style="6" customWidth="1"/>
    <col min="4" max="4" width="3" style="3" customWidth="1"/>
    <col min="5" max="5" width="13.140625" style="4" bestFit="1" customWidth="1"/>
    <col min="6" max="6" width="7" style="5" customWidth="1"/>
    <col min="7" max="7" width="8.7109375" style="6" customWidth="1"/>
    <col min="8" max="8" width="10.7109375" style="6" bestFit="1" customWidth="1"/>
    <col min="9" max="9" width="1.140625" style="6" customWidth="1"/>
    <col min="10" max="16384" width="11.5703125" style="6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x14ac:dyDescent="0.25">
      <c r="A7" s="7" t="s">
        <v>21</v>
      </c>
      <c r="B7" s="13"/>
      <c r="D7" s="8"/>
      <c r="E7" s="129" t="s">
        <v>1</v>
      </c>
      <c r="F7" s="130"/>
      <c r="G7" s="131">
        <v>46008</v>
      </c>
      <c r="H7" s="132"/>
    </row>
    <row r="8" spans="1:8" s="7" customFormat="1" ht="15" x14ac:dyDescent="0.25">
      <c r="A8" s="7" t="s">
        <v>19</v>
      </c>
      <c r="B8" s="13"/>
      <c r="D8" s="8"/>
      <c r="E8" s="133" t="s">
        <v>2</v>
      </c>
      <c r="F8" s="128"/>
      <c r="G8" s="134">
        <v>10113</v>
      </c>
      <c r="H8" s="135"/>
    </row>
    <row r="9" spans="1:8" s="7" customFormat="1" ht="15" x14ac:dyDescent="0.25">
      <c r="B9" s="13"/>
      <c r="D9" s="8"/>
      <c r="E9" s="136" t="s">
        <v>3</v>
      </c>
      <c r="F9" s="137"/>
      <c r="G9" s="138" t="s">
        <v>79</v>
      </c>
      <c r="H9" s="139"/>
    </row>
    <row r="10" spans="1:8" s="7" customFormat="1" ht="15" x14ac:dyDescent="0.25">
      <c r="A10" s="7" t="s">
        <v>20</v>
      </c>
      <c r="B10" s="13"/>
      <c r="D10" s="8"/>
      <c r="E10" s="63" t="s">
        <v>31</v>
      </c>
      <c r="F10" s="140" t="s">
        <v>32</v>
      </c>
      <c r="G10" s="140"/>
      <c r="H10" s="141"/>
    </row>
    <row r="11" spans="1:8" s="7" customFormat="1" ht="15" x14ac:dyDescent="0.25">
      <c r="D11" s="8"/>
      <c r="E11" s="60" t="s">
        <v>36</v>
      </c>
      <c r="F11" s="142" t="s">
        <v>33</v>
      </c>
      <c r="G11" s="142"/>
      <c r="H11" s="143"/>
    </row>
    <row r="12" spans="1:8" s="7" customFormat="1" ht="15" x14ac:dyDescent="0.25">
      <c r="D12" s="8"/>
      <c r="E12" s="9"/>
      <c r="F12" s="10"/>
    </row>
    <row r="13" spans="1:8" s="7" customFormat="1" ht="15" x14ac:dyDescent="0.25">
      <c r="D13" s="8"/>
      <c r="E13" s="9"/>
      <c r="F13" s="10"/>
    </row>
    <row r="14" spans="1:8" s="7" customFormat="1" ht="15" x14ac:dyDescent="0.25">
      <c r="D14" s="8"/>
      <c r="E14" s="9"/>
      <c r="F14" s="10"/>
    </row>
    <row r="15" spans="1:8" s="7" customFormat="1" ht="15" x14ac:dyDescent="0.25">
      <c r="D15" s="8"/>
      <c r="E15" s="9"/>
      <c r="F15" s="10"/>
    </row>
    <row r="16" spans="1:8" s="12" customFormat="1" ht="14.25" x14ac:dyDescent="0.2">
      <c r="A16" s="144" t="s">
        <v>4</v>
      </c>
      <c r="B16" s="144"/>
      <c r="C16" s="144"/>
      <c r="D16" s="144"/>
      <c r="E16" s="144"/>
      <c r="F16" s="144"/>
      <c r="G16" s="144"/>
      <c r="H16" s="144"/>
    </row>
    <row r="17" spans="1:17" s="12" customFormat="1" ht="14.25" x14ac:dyDescent="0.2">
      <c r="A17" s="11"/>
      <c r="B17" s="11"/>
      <c r="C17" s="11"/>
      <c r="D17" s="11"/>
      <c r="E17" s="11"/>
      <c r="F17" s="11"/>
      <c r="G17" s="11"/>
      <c r="H17" s="11"/>
    </row>
    <row r="18" spans="1:17" s="12" customFormat="1" ht="14.25" x14ac:dyDescent="0.2">
      <c r="A18" s="11"/>
      <c r="B18" s="11"/>
      <c r="C18" s="11"/>
      <c r="D18" s="11"/>
      <c r="E18" s="11"/>
      <c r="F18" s="11"/>
      <c r="G18" s="11"/>
      <c r="H18" s="11"/>
    </row>
    <row r="19" spans="1:17" s="7" customFormat="1" ht="15" x14ac:dyDescent="0.25">
      <c r="A19" s="7" t="s">
        <v>28</v>
      </c>
      <c r="B19" s="13"/>
      <c r="D19" s="8"/>
      <c r="E19" s="9"/>
      <c r="F19" s="10"/>
    </row>
    <row r="20" spans="1:17" s="7" customFormat="1" ht="15" x14ac:dyDescent="0.25">
      <c r="A20" s="7" t="s">
        <v>5</v>
      </c>
      <c r="B20" s="13"/>
      <c r="D20" s="8"/>
      <c r="E20" s="9"/>
      <c r="F20" s="10"/>
    </row>
    <row r="21" spans="1:17" s="7" customFormat="1" ht="8.25" customHeight="1" x14ac:dyDescent="0.25">
      <c r="D21" s="8"/>
      <c r="E21" s="8"/>
      <c r="F21" s="9"/>
      <c r="G21" s="8"/>
    </row>
    <row r="22" spans="1:17" s="7" customFormat="1" ht="15" x14ac:dyDescent="0.25">
      <c r="A22" s="14" t="s">
        <v>6</v>
      </c>
      <c r="B22" s="15"/>
      <c r="C22" s="14"/>
      <c r="D22" s="8"/>
      <c r="E22" s="8" t="s">
        <v>12</v>
      </c>
      <c r="F22" s="9" t="s">
        <v>14</v>
      </c>
      <c r="G22" s="8" t="s">
        <v>15</v>
      </c>
      <c r="H22" s="9" t="s">
        <v>7</v>
      </c>
      <c r="L22" s="66"/>
      <c r="M22" s="66"/>
      <c r="N22" s="59"/>
      <c r="O22" s="9"/>
      <c r="P22" s="16"/>
      <c r="Q22" s="21"/>
    </row>
    <row r="23" spans="1:17" s="7" customFormat="1" ht="15" x14ac:dyDescent="0.25">
      <c r="A23" s="17" t="s">
        <v>8</v>
      </c>
      <c r="B23" s="17"/>
      <c r="C23" s="64" t="s">
        <v>35</v>
      </c>
      <c r="D23" s="18"/>
      <c r="E23" s="19" t="s">
        <v>13</v>
      </c>
      <c r="F23" s="19"/>
      <c r="G23" s="65" t="s">
        <v>16</v>
      </c>
      <c r="H23" s="64"/>
      <c r="K23" s="67"/>
      <c r="L23" s="66"/>
      <c r="M23" s="66"/>
      <c r="N23" s="59"/>
      <c r="O23" s="9"/>
      <c r="P23" s="68"/>
      <c r="Q23" s="21"/>
    </row>
    <row r="24" spans="1:17" s="7" customFormat="1" ht="15" x14ac:dyDescent="0.25">
      <c r="A24" s="7">
        <v>33</v>
      </c>
      <c r="B24" s="7" t="s">
        <v>17</v>
      </c>
      <c r="C24" s="66"/>
      <c r="D24" s="66"/>
      <c r="E24" s="59">
        <f>ROUNDDOWN(1730681/1100,)*1200</f>
        <v>1887600</v>
      </c>
      <c r="F24" s="20" t="s">
        <v>18</v>
      </c>
      <c r="G24" s="9">
        <v>3</v>
      </c>
      <c r="H24" s="21">
        <f>G24/10*1520</f>
        <v>456</v>
      </c>
      <c r="K24" s="67"/>
      <c r="L24" s="66"/>
      <c r="M24" s="66"/>
      <c r="N24" s="59"/>
      <c r="O24" s="9"/>
      <c r="P24" s="68"/>
      <c r="Q24" s="21"/>
    </row>
    <row r="25" spans="1:17" s="7" customFormat="1" ht="15" x14ac:dyDescent="0.25">
      <c r="B25" s="7" t="s">
        <v>76</v>
      </c>
      <c r="C25" s="77">
        <v>45910</v>
      </c>
      <c r="D25" s="20"/>
      <c r="E25" s="59"/>
      <c r="F25" s="20"/>
      <c r="G25" s="9"/>
      <c r="H25" s="21"/>
    </row>
    <row r="26" spans="1:17" s="7" customFormat="1" ht="6.75" customHeight="1" x14ac:dyDescent="0.25">
      <c r="B26" s="67"/>
      <c r="C26" s="66"/>
      <c r="D26" s="66"/>
      <c r="E26" s="59"/>
      <c r="F26" s="9"/>
      <c r="G26" s="68"/>
      <c r="H26" s="21"/>
    </row>
    <row r="27" spans="1:17" s="7" customFormat="1" ht="15" x14ac:dyDescent="0.25">
      <c r="A27" s="7">
        <v>33</v>
      </c>
      <c r="B27" s="7" t="s">
        <v>17</v>
      </c>
      <c r="C27" s="66"/>
      <c r="D27" s="66"/>
      <c r="E27" s="59">
        <f>+E24</f>
        <v>1887600</v>
      </c>
      <c r="F27" s="20" t="s">
        <v>18</v>
      </c>
      <c r="G27" s="9">
        <f>+G24</f>
        <v>3</v>
      </c>
      <c r="H27" s="21">
        <f>G27/10*1520</f>
        <v>456</v>
      </c>
    </row>
    <row r="28" spans="1:17" s="7" customFormat="1" ht="15" x14ac:dyDescent="0.25">
      <c r="B28" s="7" t="s">
        <v>77</v>
      </c>
      <c r="C28" s="81">
        <v>45938</v>
      </c>
      <c r="D28" s="81"/>
      <c r="E28" s="59"/>
      <c r="F28" s="20"/>
      <c r="G28" s="9"/>
      <c r="H28" s="21"/>
    </row>
    <row r="29" spans="1:17" s="7" customFormat="1" ht="6.75" customHeight="1" x14ac:dyDescent="0.25">
      <c r="B29" s="67"/>
      <c r="C29" s="66"/>
      <c r="D29" s="66"/>
      <c r="E29" s="59"/>
      <c r="F29" s="9"/>
      <c r="G29" s="68"/>
      <c r="H29" s="21"/>
    </row>
    <row r="30" spans="1:17" s="7" customFormat="1" ht="15" x14ac:dyDescent="0.25">
      <c r="A30" s="7">
        <v>33</v>
      </c>
      <c r="B30" s="7" t="s">
        <v>17</v>
      </c>
      <c r="C30" s="66"/>
      <c r="D30" s="66"/>
      <c r="E30" s="59">
        <f>+E27</f>
        <v>1887600</v>
      </c>
      <c r="F30" s="20" t="s">
        <v>18</v>
      </c>
      <c r="G30" s="9">
        <v>3.25</v>
      </c>
      <c r="H30" s="21">
        <f>G30/10*1520</f>
        <v>494</v>
      </c>
    </row>
    <row r="31" spans="1:17" s="7" customFormat="1" ht="15" x14ac:dyDescent="0.25">
      <c r="B31" s="7" t="s">
        <v>78</v>
      </c>
      <c r="C31" s="77">
        <v>45966</v>
      </c>
      <c r="D31" s="77"/>
      <c r="E31" s="59"/>
      <c r="F31" s="20"/>
      <c r="G31" s="9"/>
      <c r="H31" s="21"/>
    </row>
    <row r="32" spans="1:17" s="7" customFormat="1" ht="6.75" customHeight="1" x14ac:dyDescent="0.25">
      <c r="B32" s="67"/>
      <c r="C32" s="66"/>
      <c r="D32" s="66"/>
      <c r="E32" s="59"/>
      <c r="F32" s="9"/>
      <c r="G32" s="68"/>
      <c r="H32" s="21"/>
    </row>
    <row r="33" spans="1:10" s="7" customFormat="1" ht="15" x14ac:dyDescent="0.25">
      <c r="B33" s="67"/>
      <c r="E33" s="59"/>
      <c r="F33" s="20"/>
      <c r="G33" s="9"/>
      <c r="H33" s="21"/>
    </row>
    <row r="34" spans="1:10" s="7" customFormat="1" ht="15" x14ac:dyDescent="0.25"/>
    <row r="35" spans="1:10" s="7" customFormat="1" ht="15" x14ac:dyDescent="0.25"/>
    <row r="36" spans="1:10" s="7" customFormat="1" ht="6.75" customHeight="1" x14ac:dyDescent="0.25">
      <c r="C36" s="66"/>
      <c r="D36" s="66"/>
      <c r="E36" s="69"/>
      <c r="F36" s="19"/>
      <c r="G36" s="70"/>
      <c r="H36" s="71"/>
    </row>
    <row r="37" spans="1:10" s="7" customFormat="1" ht="15" x14ac:dyDescent="0.25">
      <c r="A37" s="13"/>
      <c r="B37" s="13"/>
      <c r="E37" s="7" t="s">
        <v>9</v>
      </c>
      <c r="F37" s="72"/>
      <c r="G37" s="8"/>
      <c r="H37" s="21">
        <f>SUM(H24:H36)</f>
        <v>1406</v>
      </c>
      <c r="J37" s="21"/>
    </row>
    <row r="38" spans="1:10" s="7" customFormat="1" ht="15" x14ac:dyDescent="0.25">
      <c r="E38" s="22" t="s">
        <v>10</v>
      </c>
      <c r="F38" s="72"/>
      <c r="G38" s="8"/>
      <c r="H38" s="21">
        <f>+H37*0.19</f>
        <v>267.14</v>
      </c>
    </row>
    <row r="39" spans="1:10" s="7" customFormat="1" thickBot="1" x14ac:dyDescent="0.3">
      <c r="E39" s="73" t="s">
        <v>11</v>
      </c>
      <c r="F39" s="74"/>
      <c r="G39" s="75"/>
      <c r="H39" s="23">
        <f>SUM(H37:H38)</f>
        <v>1673.1399999999999</v>
      </c>
      <c r="J39" s="21"/>
    </row>
    <row r="40" spans="1:10" s="7" customFormat="1" ht="6.75" customHeight="1" thickTop="1" x14ac:dyDescent="0.25">
      <c r="E40" s="76"/>
      <c r="F40" s="9"/>
      <c r="G40" s="8"/>
      <c r="H40" s="21"/>
    </row>
    <row r="41" spans="1:10" s="7" customFormat="1" ht="15" x14ac:dyDescent="0.25">
      <c r="A41" s="7" t="s">
        <v>34</v>
      </c>
      <c r="B41" s="13"/>
      <c r="D41" s="8"/>
      <c r="E41" s="9"/>
      <c r="F41" s="10"/>
    </row>
    <row r="42" spans="1:10" s="7" customFormat="1" ht="15" x14ac:dyDescent="0.25">
      <c r="D42" s="8"/>
      <c r="E42" s="9"/>
      <c r="F42" s="10"/>
    </row>
    <row r="43" spans="1:10" s="7" customFormat="1" ht="15" x14ac:dyDescent="0.25">
      <c r="D43" s="8"/>
      <c r="E43" s="9"/>
      <c r="F43" s="8"/>
      <c r="G43" s="10"/>
    </row>
    <row r="44" spans="1:10" s="7" customFormat="1" ht="15" x14ac:dyDescent="0.25">
      <c r="D44" s="8"/>
      <c r="E44" s="9"/>
      <c r="F44" s="8"/>
      <c r="G44" s="10"/>
    </row>
    <row r="45" spans="1:10" s="7" customFormat="1" ht="15" x14ac:dyDescent="0.25">
      <c r="D45" s="8"/>
      <c r="E45" s="9"/>
      <c r="F45" s="8"/>
      <c r="G45" s="10"/>
    </row>
    <row r="46" spans="1:10" s="7" customFormat="1" ht="15" x14ac:dyDescent="0.25">
      <c r="B46" s="17"/>
      <c r="D46" s="8"/>
      <c r="E46" s="9"/>
      <c r="F46" s="8"/>
      <c r="G46" s="10"/>
    </row>
    <row r="47" spans="1:10" s="7" customFormat="1" ht="15" x14ac:dyDescent="0.25"/>
    <row r="48" spans="1:10" ht="10.5" customHeight="1" x14ac:dyDescent="0.25"/>
    <row r="51" spans="1:8" x14ac:dyDescent="0.25">
      <c r="A51" s="125" t="s">
        <v>41</v>
      </c>
      <c r="B51" s="125"/>
      <c r="C51" s="125"/>
      <c r="D51" s="125"/>
      <c r="E51" s="125"/>
      <c r="F51" s="125"/>
      <c r="G51" s="125"/>
      <c r="H51" s="125"/>
    </row>
  </sheetData>
  <mergeCells count="10">
    <mergeCell ref="F10:H10"/>
    <mergeCell ref="F11:H11"/>
    <mergeCell ref="A16:H16"/>
    <mergeCell ref="A51:H51"/>
    <mergeCell ref="E7:F7"/>
    <mergeCell ref="G7:H7"/>
    <mergeCell ref="E8:F8"/>
    <mergeCell ref="G8:H8"/>
    <mergeCell ref="E9:F9"/>
    <mergeCell ref="G9:H9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AAE8-4AE2-4CBD-B2D7-E545B32611C6}">
  <dimension ref="A5:Q50"/>
  <sheetViews>
    <sheetView topLeftCell="A13" workbookViewId="0">
      <selection activeCell="A49" sqref="A49"/>
    </sheetView>
  </sheetViews>
  <sheetFormatPr baseColWidth="10" defaultColWidth="11.5703125" defaultRowHeight="15.75" x14ac:dyDescent="0.25"/>
  <cols>
    <col min="1" max="1" width="3.5703125" style="6" customWidth="1"/>
    <col min="2" max="2" width="30.5703125" style="6" customWidth="1"/>
    <col min="3" max="3" width="10.7109375" style="6" customWidth="1"/>
    <col min="4" max="4" width="3" style="3" customWidth="1"/>
    <col min="5" max="5" width="13.140625" style="4" bestFit="1" customWidth="1"/>
    <col min="6" max="6" width="7" style="5" customWidth="1"/>
    <col min="7" max="7" width="8.7109375" style="6" customWidth="1"/>
    <col min="8" max="8" width="10.7109375" style="6" bestFit="1" customWidth="1"/>
    <col min="9" max="9" width="1.140625" style="6" customWidth="1"/>
    <col min="10" max="16384" width="11.5703125" style="6"/>
  </cols>
  <sheetData>
    <row r="5" spans="1:10" x14ac:dyDescent="0.25">
      <c r="A5" s="1" t="s">
        <v>0</v>
      </c>
      <c r="B5" s="2"/>
      <c r="C5" s="2"/>
    </row>
    <row r="6" spans="1:10" ht="9" customHeight="1" x14ac:dyDescent="0.25">
      <c r="A6" s="1"/>
      <c r="B6" s="2"/>
      <c r="C6" s="2"/>
    </row>
    <row r="7" spans="1:10" s="7" customFormat="1" x14ac:dyDescent="0.25">
      <c r="A7" s="7" t="s">
        <v>21</v>
      </c>
      <c r="B7" s="13"/>
      <c r="D7" s="8"/>
      <c r="E7" s="129" t="s">
        <v>1</v>
      </c>
      <c r="F7" s="130"/>
      <c r="G7" s="131">
        <v>46086</v>
      </c>
      <c r="H7" s="132"/>
      <c r="J7" s="6"/>
    </row>
    <row r="8" spans="1:10" s="7" customFormat="1" x14ac:dyDescent="0.25">
      <c r="A8" s="7" t="s">
        <v>19</v>
      </c>
      <c r="B8" s="13"/>
      <c r="D8" s="8"/>
      <c r="E8" s="133" t="s">
        <v>2</v>
      </c>
      <c r="F8" s="128"/>
      <c r="G8" s="134">
        <v>10113</v>
      </c>
      <c r="H8" s="135"/>
      <c r="J8" s="6"/>
    </row>
    <row r="9" spans="1:10" s="7" customFormat="1" x14ac:dyDescent="0.25">
      <c r="B9" s="13"/>
      <c r="D9" s="8"/>
      <c r="E9" s="136" t="s">
        <v>3</v>
      </c>
      <c r="F9" s="137"/>
      <c r="G9" s="138" t="s">
        <v>81</v>
      </c>
      <c r="H9" s="139"/>
      <c r="J9" s="6"/>
    </row>
    <row r="10" spans="1:10" s="7" customFormat="1" ht="15" x14ac:dyDescent="0.25">
      <c r="A10" s="7" t="s">
        <v>20</v>
      </c>
      <c r="B10" s="13"/>
      <c r="D10" s="8"/>
      <c r="E10" s="63" t="s">
        <v>31</v>
      </c>
      <c r="F10" s="140" t="s">
        <v>32</v>
      </c>
      <c r="G10" s="140"/>
      <c r="H10" s="141"/>
    </row>
    <row r="11" spans="1:10" s="7" customFormat="1" ht="15" x14ac:dyDescent="0.25">
      <c r="D11" s="8"/>
      <c r="E11" s="60" t="s">
        <v>36</v>
      </c>
      <c r="F11" s="142" t="s">
        <v>33</v>
      </c>
      <c r="G11" s="142"/>
      <c r="H11" s="143"/>
    </row>
    <row r="12" spans="1:10" s="7" customFormat="1" ht="15" x14ac:dyDescent="0.25">
      <c r="D12" s="8"/>
      <c r="E12" s="9"/>
      <c r="F12" s="10"/>
    </row>
    <row r="13" spans="1:10" s="7" customFormat="1" ht="15" x14ac:dyDescent="0.25">
      <c r="D13" s="8"/>
      <c r="E13" s="9"/>
      <c r="F13" s="10"/>
    </row>
    <row r="14" spans="1:10" s="7" customFormat="1" ht="15" x14ac:dyDescent="0.25">
      <c r="D14" s="8"/>
      <c r="E14" s="9"/>
      <c r="F14" s="10"/>
    </row>
    <row r="15" spans="1:10" s="7" customFormat="1" ht="15" x14ac:dyDescent="0.25">
      <c r="D15" s="8"/>
      <c r="E15" s="9"/>
      <c r="F15" s="10"/>
    </row>
    <row r="16" spans="1:10" s="12" customFormat="1" ht="14.25" x14ac:dyDescent="0.2">
      <c r="A16" s="144" t="s">
        <v>4</v>
      </c>
      <c r="B16" s="144"/>
      <c r="C16" s="144"/>
      <c r="D16" s="144"/>
      <c r="E16" s="144"/>
      <c r="F16" s="144"/>
      <c r="G16" s="144"/>
      <c r="H16" s="144"/>
    </row>
    <row r="17" spans="1:17" s="12" customFormat="1" ht="14.25" x14ac:dyDescent="0.2">
      <c r="A17" s="11"/>
      <c r="B17" s="11"/>
      <c r="C17" s="11"/>
      <c r="D17" s="11"/>
      <c r="E17" s="11"/>
      <c r="F17" s="11"/>
      <c r="G17" s="11"/>
      <c r="H17" s="11"/>
    </row>
    <row r="18" spans="1:17" s="12" customFormat="1" ht="14.25" x14ac:dyDescent="0.2">
      <c r="A18" s="11"/>
      <c r="B18" s="11"/>
      <c r="C18" s="11"/>
      <c r="D18" s="11"/>
      <c r="E18" s="11"/>
      <c r="F18" s="11"/>
      <c r="G18" s="11"/>
      <c r="H18" s="11"/>
    </row>
    <row r="19" spans="1:17" s="7" customFormat="1" ht="15" x14ac:dyDescent="0.25">
      <c r="A19" s="7" t="s">
        <v>28</v>
      </c>
      <c r="B19" s="13"/>
      <c r="D19" s="8"/>
      <c r="E19" s="9"/>
      <c r="F19" s="10"/>
    </row>
    <row r="20" spans="1:17" s="7" customFormat="1" ht="15" x14ac:dyDescent="0.25">
      <c r="A20" s="7" t="s">
        <v>5</v>
      </c>
      <c r="B20" s="13"/>
      <c r="D20" s="8"/>
      <c r="E20" s="9"/>
      <c r="F20" s="10"/>
    </row>
    <row r="21" spans="1:17" s="7" customFormat="1" ht="8.25" customHeight="1" x14ac:dyDescent="0.25">
      <c r="D21" s="8"/>
      <c r="E21" s="8"/>
      <c r="F21" s="9"/>
      <c r="G21" s="8"/>
    </row>
    <row r="22" spans="1:17" s="7" customFormat="1" ht="15" x14ac:dyDescent="0.25">
      <c r="A22" s="14" t="s">
        <v>6</v>
      </c>
      <c r="B22" s="15"/>
      <c r="C22" s="14"/>
      <c r="D22" s="8"/>
      <c r="E22" s="8" t="s">
        <v>12</v>
      </c>
      <c r="F22" s="9" t="s">
        <v>14</v>
      </c>
      <c r="G22" s="8" t="s">
        <v>15</v>
      </c>
      <c r="H22" s="9" t="s">
        <v>7</v>
      </c>
      <c r="L22" s="66"/>
      <c r="M22" s="66"/>
      <c r="N22" s="59"/>
      <c r="O22" s="9"/>
      <c r="P22" s="16"/>
      <c r="Q22" s="21"/>
    </row>
    <row r="23" spans="1:17" s="7" customFormat="1" ht="15" x14ac:dyDescent="0.25">
      <c r="A23" s="17" t="s">
        <v>8</v>
      </c>
      <c r="B23" s="17"/>
      <c r="C23" s="64" t="s">
        <v>35</v>
      </c>
      <c r="D23" s="18"/>
      <c r="E23" s="19" t="s">
        <v>13</v>
      </c>
      <c r="F23" s="19"/>
      <c r="G23" s="65" t="s">
        <v>16</v>
      </c>
      <c r="H23" s="64"/>
      <c r="K23" s="67"/>
      <c r="L23" s="66"/>
      <c r="M23" s="66"/>
      <c r="N23" s="59"/>
      <c r="O23" s="9"/>
      <c r="P23" s="68"/>
      <c r="Q23" s="21"/>
    </row>
    <row r="24" spans="1:17" s="7" customFormat="1" ht="15" x14ac:dyDescent="0.25">
      <c r="A24" s="7">
        <v>33</v>
      </c>
      <c r="B24" s="7" t="s">
        <v>80</v>
      </c>
      <c r="C24" s="66"/>
      <c r="D24" s="66"/>
    </row>
    <row r="25" spans="1:17" s="7" customFormat="1" ht="15" x14ac:dyDescent="0.25">
      <c r="B25" s="82">
        <v>45931</v>
      </c>
      <c r="C25" s="77">
        <v>45999</v>
      </c>
      <c r="D25" s="77"/>
      <c r="E25" s="59">
        <v>2089775</v>
      </c>
      <c r="F25" s="20" t="s">
        <v>18</v>
      </c>
      <c r="G25" s="9">
        <v>3</v>
      </c>
      <c r="H25" s="21">
        <f>G25/10*1664</f>
        <v>499.2</v>
      </c>
    </row>
    <row r="26" spans="1:17" s="7" customFormat="1" ht="15" x14ac:dyDescent="0.25">
      <c r="B26" s="82">
        <v>45962</v>
      </c>
      <c r="C26" s="77">
        <v>46034</v>
      </c>
      <c r="D26" s="66"/>
      <c r="E26" s="59">
        <f>+E25</f>
        <v>2089775</v>
      </c>
      <c r="F26" s="20" t="s">
        <v>18</v>
      </c>
      <c r="G26" s="9">
        <v>2.5</v>
      </c>
      <c r="H26" s="21">
        <f>G26/10*1664</f>
        <v>416</v>
      </c>
    </row>
    <row r="27" spans="1:17" s="7" customFormat="1" ht="15" x14ac:dyDescent="0.25">
      <c r="B27" s="82">
        <v>45992</v>
      </c>
      <c r="C27" s="77">
        <v>46062</v>
      </c>
      <c r="D27" s="66"/>
      <c r="E27" s="59">
        <f>+E26</f>
        <v>2089775</v>
      </c>
      <c r="F27" s="20" t="s">
        <v>18</v>
      </c>
      <c r="G27" s="9">
        <v>3</v>
      </c>
      <c r="H27" s="21">
        <f>G27/10*1664</f>
        <v>499.2</v>
      </c>
    </row>
    <row r="28" spans="1:17" s="7" customFormat="1" ht="15" x14ac:dyDescent="0.25">
      <c r="C28" s="81"/>
      <c r="D28" s="81"/>
      <c r="E28" s="59"/>
      <c r="F28" s="20"/>
      <c r="G28" s="9"/>
      <c r="H28" s="21"/>
    </row>
    <row r="29" spans="1:17" s="7" customFormat="1" ht="15" x14ac:dyDescent="0.25">
      <c r="C29" s="66"/>
      <c r="D29" s="66"/>
      <c r="E29" s="59"/>
      <c r="F29" s="9"/>
      <c r="G29" s="68"/>
      <c r="H29" s="21"/>
    </row>
    <row r="30" spans="1:17" s="7" customFormat="1" ht="15" x14ac:dyDescent="0.25">
      <c r="C30" s="66"/>
      <c r="D30" s="66"/>
      <c r="E30" s="59"/>
      <c r="F30" s="20"/>
      <c r="G30" s="9"/>
      <c r="H30" s="21"/>
    </row>
    <row r="31" spans="1:17" s="7" customFormat="1" ht="15" x14ac:dyDescent="0.25">
      <c r="C31" s="77"/>
      <c r="D31" s="77"/>
      <c r="E31" s="59"/>
      <c r="F31" s="20"/>
      <c r="G31" s="9"/>
      <c r="H31" s="21"/>
    </row>
    <row r="32" spans="1:17" s="7" customFormat="1" ht="6.75" customHeight="1" x14ac:dyDescent="0.25">
      <c r="B32" s="67"/>
      <c r="C32" s="66"/>
      <c r="D32" s="66"/>
      <c r="E32" s="59"/>
      <c r="F32" s="9"/>
      <c r="G32" s="68"/>
      <c r="H32" s="21"/>
    </row>
    <row r="33" spans="1:10" s="7" customFormat="1" ht="15" x14ac:dyDescent="0.25">
      <c r="B33" s="67"/>
      <c r="E33" s="59"/>
      <c r="F33" s="20"/>
      <c r="G33" s="9"/>
      <c r="H33" s="21"/>
    </row>
    <row r="34" spans="1:10" s="7" customFormat="1" ht="15" x14ac:dyDescent="0.25"/>
    <row r="35" spans="1:10" s="7" customFormat="1" ht="15" x14ac:dyDescent="0.25"/>
    <row r="36" spans="1:10" s="7" customFormat="1" ht="6.75" customHeight="1" x14ac:dyDescent="0.25">
      <c r="C36" s="66"/>
      <c r="D36" s="66"/>
      <c r="E36" s="69"/>
      <c r="F36" s="19"/>
      <c r="G36" s="70"/>
      <c r="H36" s="71"/>
    </row>
    <row r="37" spans="1:10" s="7" customFormat="1" ht="15" x14ac:dyDescent="0.25">
      <c r="A37" s="13"/>
      <c r="B37" s="13"/>
      <c r="E37" s="7" t="s">
        <v>9</v>
      </c>
      <c r="F37" s="72"/>
      <c r="G37" s="8"/>
      <c r="H37" s="21">
        <f>SUM(H24:H36)</f>
        <v>1414.4</v>
      </c>
      <c r="J37" s="21"/>
    </row>
    <row r="38" spans="1:10" s="7" customFormat="1" ht="15" x14ac:dyDescent="0.25">
      <c r="E38" s="22" t="s">
        <v>10</v>
      </c>
      <c r="F38" s="72"/>
      <c r="G38" s="8"/>
      <c r="H38" s="21">
        <f>+H37*0.19</f>
        <v>268.73600000000005</v>
      </c>
    </row>
    <row r="39" spans="1:10" s="7" customFormat="1" thickBot="1" x14ac:dyDescent="0.3">
      <c r="E39" s="73" t="s">
        <v>11</v>
      </c>
      <c r="F39" s="74"/>
      <c r="G39" s="75"/>
      <c r="H39" s="23">
        <f>SUM(H37:H38)</f>
        <v>1683.1360000000002</v>
      </c>
      <c r="J39" s="21"/>
    </row>
    <row r="40" spans="1:10" s="7" customFormat="1" ht="6.75" customHeight="1" thickTop="1" x14ac:dyDescent="0.25">
      <c r="E40" s="76"/>
      <c r="F40" s="9"/>
      <c r="G40" s="8"/>
      <c r="H40" s="21"/>
    </row>
    <row r="41" spans="1:10" s="7" customFormat="1" ht="15" x14ac:dyDescent="0.25">
      <c r="A41" s="7" t="s">
        <v>34</v>
      </c>
      <c r="B41" s="13"/>
      <c r="D41" s="8"/>
      <c r="E41" s="9"/>
      <c r="F41" s="10"/>
    </row>
    <row r="42" spans="1:10" s="7" customFormat="1" ht="15" x14ac:dyDescent="0.25">
      <c r="D42" s="8"/>
      <c r="E42" s="9"/>
      <c r="F42" s="10"/>
    </row>
    <row r="43" spans="1:10" s="7" customFormat="1" ht="15" x14ac:dyDescent="0.25">
      <c r="D43" s="8"/>
      <c r="E43" s="9"/>
      <c r="F43" s="8"/>
      <c r="G43" s="10"/>
    </row>
    <row r="44" spans="1:10" s="7" customFormat="1" ht="15" x14ac:dyDescent="0.25">
      <c r="D44" s="8"/>
      <c r="E44" s="9"/>
      <c r="F44" s="8"/>
      <c r="G44" s="10"/>
    </row>
    <row r="45" spans="1:10" s="7" customFormat="1" ht="15" x14ac:dyDescent="0.25">
      <c r="D45" s="8"/>
      <c r="E45" s="9"/>
      <c r="F45" s="8"/>
      <c r="G45" s="10"/>
    </row>
    <row r="46" spans="1:10" s="7" customFormat="1" ht="15" x14ac:dyDescent="0.25">
      <c r="B46" s="17"/>
      <c r="D46" s="8"/>
      <c r="E46" s="9"/>
      <c r="F46" s="8"/>
      <c r="G46" s="10"/>
    </row>
    <row r="47" spans="1:10" s="7" customFormat="1" ht="15" x14ac:dyDescent="0.25"/>
    <row r="48" spans="1:10" ht="10.5" customHeight="1" x14ac:dyDescent="0.25"/>
    <row r="50" spans="1:8" x14ac:dyDescent="0.25">
      <c r="A50" s="125" t="s">
        <v>41</v>
      </c>
      <c r="B50" s="125"/>
      <c r="C50" s="125"/>
      <c r="D50" s="125"/>
      <c r="E50" s="125"/>
      <c r="F50" s="125"/>
      <c r="G50" s="125"/>
      <c r="H50" s="125"/>
    </row>
  </sheetData>
  <mergeCells count="10">
    <mergeCell ref="F10:H10"/>
    <mergeCell ref="F11:H11"/>
    <mergeCell ref="A16:H16"/>
    <mergeCell ref="A50:H50"/>
    <mergeCell ref="E7:F7"/>
    <mergeCell ref="G7:H7"/>
    <mergeCell ref="E8:F8"/>
    <mergeCell ref="G8:H8"/>
    <mergeCell ref="E9:F9"/>
    <mergeCell ref="G9:H9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33C1-75EA-43E4-9080-247A3EF8BE96}">
  <dimension ref="A5:T53"/>
  <sheetViews>
    <sheetView topLeftCell="A23" workbookViewId="0">
      <selection activeCell="A50" sqref="A50:IV50"/>
    </sheetView>
  </sheetViews>
  <sheetFormatPr baseColWidth="10" defaultColWidth="11.5703125" defaultRowHeight="15.75" x14ac:dyDescent="0.25"/>
  <cols>
    <col min="1" max="1" width="3.5703125" style="6" customWidth="1"/>
    <col min="2" max="2" width="30.5703125" style="6" customWidth="1"/>
    <col min="3" max="3" width="10.140625" style="6" customWidth="1"/>
    <col min="4" max="4" width="3" style="3" customWidth="1"/>
    <col min="5" max="5" width="13" style="4" bestFit="1" customWidth="1"/>
    <col min="6" max="6" width="7" style="5" customWidth="1"/>
    <col min="7" max="7" width="9.140625" style="6" customWidth="1"/>
    <col min="8" max="8" width="10.7109375" style="6" bestFit="1" customWidth="1"/>
    <col min="9" max="9" width="1.140625" style="6" customWidth="1"/>
    <col min="10" max="16384" width="11.5703125" style="6"/>
  </cols>
  <sheetData>
    <row r="5" spans="1:20" x14ac:dyDescent="0.25">
      <c r="A5" s="1" t="s">
        <v>0</v>
      </c>
      <c r="B5" s="2"/>
      <c r="C5" s="2"/>
    </row>
    <row r="6" spans="1:20" ht="9" customHeight="1" x14ac:dyDescent="0.25">
      <c r="A6" s="1"/>
      <c r="B6" s="2"/>
      <c r="C6" s="2"/>
    </row>
    <row r="7" spans="1:20" s="24" customFormat="1" x14ac:dyDescent="0.25">
      <c r="A7" s="24" t="s">
        <v>21</v>
      </c>
      <c r="B7" s="25"/>
      <c r="D7" s="26"/>
      <c r="E7" s="146" t="s">
        <v>1</v>
      </c>
      <c r="F7" s="147"/>
      <c r="G7" s="131">
        <v>46086</v>
      </c>
      <c r="H7" s="132"/>
      <c r="J7" s="6"/>
    </row>
    <row r="8" spans="1:20" s="24" customFormat="1" x14ac:dyDescent="0.25">
      <c r="A8" s="24" t="s">
        <v>19</v>
      </c>
      <c r="B8" s="25"/>
      <c r="D8" s="26"/>
      <c r="E8" s="148" t="s">
        <v>2</v>
      </c>
      <c r="F8" s="149"/>
      <c r="G8" s="150">
        <v>10113</v>
      </c>
      <c r="H8" s="151"/>
      <c r="J8" s="6"/>
    </row>
    <row r="9" spans="1:20" s="24" customFormat="1" x14ac:dyDescent="0.25">
      <c r="B9" s="25"/>
      <c r="D9" s="26"/>
      <c r="E9" s="152" t="s">
        <v>3</v>
      </c>
      <c r="F9" s="153"/>
      <c r="G9" s="154" t="s">
        <v>86</v>
      </c>
      <c r="H9" s="155"/>
      <c r="J9" s="6"/>
    </row>
    <row r="10" spans="1:20" s="24" customFormat="1" ht="15" x14ac:dyDescent="0.25">
      <c r="A10" s="24" t="s">
        <v>20</v>
      </c>
      <c r="B10" s="25"/>
      <c r="D10" s="26"/>
      <c r="E10" s="63" t="s">
        <v>31</v>
      </c>
      <c r="F10" s="140" t="s">
        <v>32</v>
      </c>
      <c r="G10" s="140"/>
      <c r="H10" s="141"/>
    </row>
    <row r="11" spans="1:20" s="24" customFormat="1" ht="15" x14ac:dyDescent="0.25">
      <c r="D11" s="26"/>
      <c r="E11" s="60" t="s">
        <v>36</v>
      </c>
      <c r="F11" s="142" t="s">
        <v>33</v>
      </c>
      <c r="G11" s="142"/>
      <c r="H11" s="143"/>
      <c r="K11" s="38"/>
      <c r="L11" s="43"/>
      <c r="M11" s="39"/>
      <c r="N11" s="40"/>
      <c r="O11" s="62"/>
      <c r="P11" s="38"/>
      <c r="Q11" s="61"/>
      <c r="R11" s="46"/>
    </row>
    <row r="12" spans="1:20" s="24" customFormat="1" ht="15" x14ac:dyDescent="0.25">
      <c r="D12" s="26"/>
      <c r="E12" s="22"/>
      <c r="F12" s="9"/>
      <c r="G12" s="9"/>
      <c r="H12" s="9"/>
    </row>
    <row r="13" spans="1:20" s="24" customFormat="1" ht="15" x14ac:dyDescent="0.25">
      <c r="D13" s="26"/>
      <c r="E13" s="28"/>
      <c r="F13" s="29"/>
    </row>
    <row r="15" spans="1:20" s="31" customFormat="1" ht="14.25" x14ac:dyDescent="0.2">
      <c r="A15" s="126" t="s">
        <v>4</v>
      </c>
      <c r="B15" s="126"/>
      <c r="C15" s="126"/>
      <c r="D15" s="126"/>
      <c r="E15" s="126"/>
      <c r="F15" s="126"/>
      <c r="G15" s="126"/>
      <c r="H15" s="126"/>
      <c r="M15" s="38"/>
      <c r="N15" s="38"/>
      <c r="O15" s="39"/>
      <c r="P15" s="40"/>
      <c r="Q15" s="38"/>
      <c r="R15" s="38"/>
      <c r="S15" s="38"/>
      <c r="T15" s="38"/>
    </row>
    <row r="16" spans="1:20" s="31" customFormat="1" ht="14.25" x14ac:dyDescent="0.2">
      <c r="A16" s="30"/>
      <c r="B16" s="30"/>
      <c r="C16" s="30"/>
      <c r="D16" s="30"/>
      <c r="E16" s="30"/>
      <c r="F16" s="30"/>
      <c r="G16" s="30"/>
      <c r="H16" s="30"/>
      <c r="M16" s="38"/>
      <c r="N16" s="38"/>
      <c r="O16" s="39"/>
      <c r="P16" s="40"/>
      <c r="Q16" s="38"/>
      <c r="R16" s="38"/>
      <c r="S16" s="38"/>
      <c r="T16" s="38"/>
    </row>
    <row r="17" spans="1:20" s="31" customFormat="1" ht="14.25" x14ac:dyDescent="0.2">
      <c r="A17" s="30"/>
      <c r="B17" s="30"/>
      <c r="C17" s="30"/>
      <c r="D17" s="30"/>
      <c r="E17" s="30"/>
      <c r="F17" s="30"/>
      <c r="G17" s="30"/>
      <c r="H17" s="30"/>
      <c r="M17" s="38"/>
      <c r="N17" s="38"/>
      <c r="O17" s="39"/>
      <c r="P17" s="40"/>
      <c r="Q17" s="38"/>
      <c r="R17" s="38"/>
      <c r="S17" s="38"/>
      <c r="T17" s="38"/>
    </row>
    <row r="18" spans="1:20" s="31" customFormat="1" ht="14.25" x14ac:dyDescent="0.2">
      <c r="A18" s="30"/>
      <c r="B18" s="30"/>
      <c r="C18" s="30"/>
      <c r="D18" s="30"/>
      <c r="E18" s="30"/>
      <c r="F18" s="30"/>
      <c r="G18" s="30"/>
      <c r="H18" s="30"/>
      <c r="M18" s="38"/>
      <c r="N18" s="38"/>
      <c r="O18" s="39"/>
      <c r="P18" s="40"/>
      <c r="Q18" s="44"/>
      <c r="R18" s="38"/>
      <c r="S18" s="45"/>
      <c r="T18" s="46"/>
    </row>
    <row r="19" spans="1:20" s="24" customFormat="1" ht="15" x14ac:dyDescent="0.25">
      <c r="A19" s="24" t="s">
        <v>28</v>
      </c>
      <c r="B19" s="25"/>
      <c r="D19" s="26"/>
      <c r="E19" s="28"/>
      <c r="F19" s="29"/>
      <c r="M19" s="38"/>
      <c r="N19" s="43"/>
      <c r="O19" s="39"/>
      <c r="P19" s="40"/>
      <c r="Q19" s="62"/>
      <c r="R19" s="38"/>
      <c r="S19" s="61"/>
      <c r="T19" s="46"/>
    </row>
    <row r="20" spans="1:20" s="24" customFormat="1" ht="15" x14ac:dyDescent="0.25">
      <c r="A20" s="24" t="s">
        <v>5</v>
      </c>
      <c r="B20" s="25"/>
      <c r="D20" s="26"/>
      <c r="E20" s="28"/>
      <c r="F20" s="29"/>
      <c r="M20" s="38"/>
      <c r="N20" s="43"/>
      <c r="O20" s="39"/>
      <c r="P20" s="40"/>
      <c r="Q20" s="38"/>
      <c r="R20" s="38"/>
      <c r="S20" s="38"/>
      <c r="T20" s="38"/>
    </row>
    <row r="21" spans="1:20" s="24" customFormat="1" ht="15" x14ac:dyDescent="0.25">
      <c r="D21" s="26"/>
      <c r="E21" s="26"/>
      <c r="F21" s="28"/>
      <c r="G21" s="26"/>
    </row>
    <row r="22" spans="1:20" s="24" customFormat="1" ht="15" x14ac:dyDescent="0.25">
      <c r="A22" s="32" t="s">
        <v>6</v>
      </c>
      <c r="B22" s="33"/>
      <c r="C22" s="32"/>
      <c r="D22" s="26"/>
      <c r="E22" s="26" t="s">
        <v>12</v>
      </c>
      <c r="F22" s="28" t="s">
        <v>14</v>
      </c>
      <c r="G22" s="26" t="s">
        <v>22</v>
      </c>
      <c r="H22" s="28" t="s">
        <v>7</v>
      </c>
    </row>
    <row r="23" spans="1:20" s="24" customFormat="1" ht="15" x14ac:dyDescent="0.25">
      <c r="A23" s="34" t="s">
        <v>8</v>
      </c>
      <c r="B23" s="34"/>
      <c r="C23" s="27" t="s">
        <v>37</v>
      </c>
      <c r="D23" s="35"/>
      <c r="E23" s="36" t="s">
        <v>13</v>
      </c>
      <c r="F23" s="36"/>
      <c r="G23" s="37" t="s">
        <v>23</v>
      </c>
      <c r="H23" s="27"/>
    </row>
    <row r="24" spans="1:20" s="38" customFormat="1" ht="13.5" x14ac:dyDescent="0.2">
      <c r="A24" s="38">
        <v>34</v>
      </c>
      <c r="B24" s="38" t="s">
        <v>82</v>
      </c>
      <c r="D24" s="40"/>
    </row>
    <row r="25" spans="1:20" s="38" customFormat="1" ht="13.5" x14ac:dyDescent="0.2">
      <c r="B25" s="43" t="s">
        <v>29</v>
      </c>
      <c r="C25" s="39"/>
      <c r="D25" s="40"/>
    </row>
    <row r="26" spans="1:20" s="38" customFormat="1" ht="13.5" x14ac:dyDescent="0.2">
      <c r="B26" s="38" t="s">
        <v>30</v>
      </c>
      <c r="C26" s="39">
        <v>45953</v>
      </c>
      <c r="D26" s="40"/>
      <c r="E26" s="44">
        <v>15</v>
      </c>
      <c r="G26" s="45">
        <v>15</v>
      </c>
      <c r="H26" s="46">
        <f>+G26*E26</f>
        <v>225</v>
      </c>
    </row>
    <row r="27" spans="1:20" s="38" customFormat="1" ht="4.5" customHeight="1" x14ac:dyDescent="0.2">
      <c r="C27" s="39"/>
      <c r="D27" s="40"/>
      <c r="E27" s="44"/>
      <c r="G27" s="45"/>
      <c r="H27" s="46"/>
    </row>
    <row r="28" spans="1:20" s="38" customFormat="1" ht="13.5" x14ac:dyDescent="0.2">
      <c r="A28" s="38">
        <v>34</v>
      </c>
      <c r="B28" s="38" t="s">
        <v>83</v>
      </c>
      <c r="D28" s="40"/>
    </row>
    <row r="29" spans="1:20" s="38" customFormat="1" ht="13.5" x14ac:dyDescent="0.2">
      <c r="B29" s="43" t="s">
        <v>29</v>
      </c>
      <c r="C29" s="39"/>
      <c r="D29" s="40"/>
    </row>
    <row r="30" spans="1:20" s="38" customFormat="1" ht="13.5" x14ac:dyDescent="0.2">
      <c r="B30" s="38" t="s">
        <v>30</v>
      </c>
      <c r="C30" s="39">
        <v>45982</v>
      </c>
      <c r="D30" s="40"/>
      <c r="E30" s="44">
        <v>15</v>
      </c>
      <c r="G30" s="45">
        <v>15</v>
      </c>
      <c r="H30" s="46">
        <f>+G30*E30</f>
        <v>225</v>
      </c>
    </row>
    <row r="31" spans="1:20" s="38" customFormat="1" ht="6" customHeight="1" x14ac:dyDescent="0.2">
      <c r="C31" s="39"/>
      <c r="D31" s="40"/>
      <c r="E31" s="44"/>
      <c r="G31" s="45"/>
      <c r="H31" s="46"/>
    </row>
    <row r="32" spans="1:20" s="38" customFormat="1" ht="13.5" x14ac:dyDescent="0.2">
      <c r="A32" s="38">
        <v>34</v>
      </c>
      <c r="B32" s="38" t="s">
        <v>84</v>
      </c>
      <c r="D32" s="40"/>
    </row>
    <row r="33" spans="1:12" s="38" customFormat="1" ht="13.5" x14ac:dyDescent="0.2">
      <c r="B33" s="43" t="s">
        <v>29</v>
      </c>
      <c r="C33" s="39"/>
      <c r="D33" s="40"/>
    </row>
    <row r="34" spans="1:12" s="38" customFormat="1" ht="13.5" x14ac:dyDescent="0.2">
      <c r="B34" s="38" t="s">
        <v>30</v>
      </c>
      <c r="C34" s="39">
        <v>46009</v>
      </c>
      <c r="D34" s="40"/>
      <c r="E34" s="44">
        <v>15</v>
      </c>
      <c r="G34" s="45">
        <v>15</v>
      </c>
      <c r="H34" s="46">
        <f>+G34*E34</f>
        <v>225</v>
      </c>
    </row>
    <row r="35" spans="1:12" s="38" customFormat="1" ht="13.5" x14ac:dyDescent="0.2">
      <c r="C35" s="39"/>
      <c r="D35" s="40"/>
      <c r="E35" s="44"/>
      <c r="G35" s="45"/>
      <c r="H35" s="46"/>
    </row>
    <row r="36" spans="1:12" s="38" customFormat="1" ht="13.5" x14ac:dyDescent="0.2">
      <c r="A36" s="38">
        <v>16</v>
      </c>
      <c r="B36" s="38" t="s">
        <v>25</v>
      </c>
      <c r="C36" s="39"/>
      <c r="D36" s="40"/>
      <c r="E36" s="44"/>
      <c r="G36" s="45"/>
      <c r="H36" s="46"/>
    </row>
    <row r="37" spans="1:12" s="38" customFormat="1" ht="15" x14ac:dyDescent="0.25">
      <c r="B37" s="38" t="s">
        <v>26</v>
      </c>
      <c r="C37" s="39" t="s">
        <v>85</v>
      </c>
      <c r="D37" s="40"/>
      <c r="E37" s="46">
        <f>SUM(H24:H35)*0.2</f>
        <v>135</v>
      </c>
      <c r="G37" s="46"/>
      <c r="H37" s="46">
        <f>(G26+G30+G34)*1.3</f>
        <v>58.5</v>
      </c>
      <c r="I37" s="24"/>
    </row>
    <row r="38" spans="1:12" s="38" customFormat="1" ht="6.75" customHeight="1" x14ac:dyDescent="0.2">
      <c r="C38" s="40"/>
      <c r="D38" s="40"/>
      <c r="E38" s="47"/>
      <c r="F38" s="48"/>
      <c r="G38" s="49"/>
      <c r="H38" s="50"/>
    </row>
    <row r="39" spans="1:12" s="38" customFormat="1" ht="13.5" x14ac:dyDescent="0.2">
      <c r="A39" s="51"/>
      <c r="B39" s="51"/>
      <c r="E39" s="38" t="s">
        <v>9</v>
      </c>
      <c r="F39" s="51"/>
      <c r="G39" s="52"/>
      <c r="H39" s="46">
        <f>SUM(H24:H38)</f>
        <v>733.5</v>
      </c>
      <c r="J39" s="46"/>
      <c r="L39" s="46"/>
    </row>
    <row r="40" spans="1:12" s="38" customFormat="1" ht="13.5" x14ac:dyDescent="0.2">
      <c r="E40" s="53" t="s">
        <v>10</v>
      </c>
      <c r="F40" s="51"/>
      <c r="G40" s="52"/>
      <c r="H40" s="46">
        <f>+H39*0.19</f>
        <v>139.36500000000001</v>
      </c>
    </row>
    <row r="41" spans="1:12" s="38" customFormat="1" ht="14.25" thickBot="1" x14ac:dyDescent="0.25">
      <c r="E41" s="54" t="s">
        <v>11</v>
      </c>
      <c r="F41" s="55"/>
      <c r="G41" s="56"/>
      <c r="H41" s="57">
        <f>SUM(H39:H40)</f>
        <v>872.86500000000001</v>
      </c>
      <c r="J41" s="46"/>
    </row>
    <row r="42" spans="1:12" s="38" customFormat="1" ht="5.25" customHeight="1" thickTop="1" x14ac:dyDescent="0.2">
      <c r="E42" s="58"/>
      <c r="F42" s="41"/>
      <c r="G42" s="52"/>
      <c r="H42" s="46"/>
      <c r="J42" s="46"/>
    </row>
    <row r="43" spans="1:12" s="38" customFormat="1" ht="15" x14ac:dyDescent="0.25">
      <c r="A43" s="7" t="s">
        <v>34</v>
      </c>
      <c r="B43" s="51"/>
      <c r="D43" s="52"/>
      <c r="E43" s="41"/>
      <c r="F43" s="42"/>
    </row>
    <row r="44" spans="1:12" s="7" customFormat="1" ht="15" x14ac:dyDescent="0.25">
      <c r="D44" s="8"/>
      <c r="E44" s="9"/>
      <c r="F44" s="8"/>
      <c r="G44" s="10"/>
    </row>
    <row r="45" spans="1:12" s="7" customFormat="1" ht="15" customHeight="1" x14ac:dyDescent="0.25">
      <c r="D45" s="8"/>
      <c r="E45" s="9"/>
      <c r="F45" s="8"/>
      <c r="G45" s="10"/>
    </row>
    <row r="46" spans="1:12" s="7" customFormat="1" ht="19.5" customHeight="1" x14ac:dyDescent="0.25">
      <c r="B46" s="17"/>
      <c r="D46" s="8"/>
      <c r="E46" s="9"/>
      <c r="F46" s="8"/>
      <c r="G46" s="10"/>
    </row>
    <row r="48" spans="1:12" s="38" customFormat="1" ht="13.5" x14ac:dyDescent="0.2">
      <c r="C48" s="39"/>
      <c r="D48" s="40"/>
      <c r="E48" s="44"/>
      <c r="G48" s="45"/>
      <c r="H48" s="46"/>
    </row>
    <row r="49" spans="1:8" s="38" customFormat="1" ht="13.5" x14ac:dyDescent="0.2">
      <c r="C49" s="39"/>
      <c r="D49" s="40"/>
      <c r="E49" s="44"/>
      <c r="G49" s="45"/>
      <c r="H49" s="46"/>
    </row>
    <row r="50" spans="1:8" s="38" customFormat="1" ht="13.5" x14ac:dyDescent="0.2">
      <c r="C50" s="39"/>
      <c r="D50" s="40"/>
      <c r="E50" s="44"/>
      <c r="G50" s="45"/>
      <c r="H50" s="46"/>
    </row>
    <row r="51" spans="1:8" s="38" customFormat="1" ht="13.5" x14ac:dyDescent="0.2">
      <c r="A51" s="125" t="s">
        <v>52</v>
      </c>
      <c r="B51" s="125"/>
      <c r="C51" s="125"/>
      <c r="D51" s="125"/>
      <c r="E51" s="125"/>
      <c r="F51" s="125"/>
      <c r="G51" s="125"/>
      <c r="H51" s="125"/>
    </row>
    <row r="53" spans="1:8" x14ac:dyDescent="0.25">
      <c r="D53" s="6"/>
      <c r="E53" s="6"/>
      <c r="F53" s="6"/>
    </row>
  </sheetData>
  <mergeCells count="10">
    <mergeCell ref="F10:H10"/>
    <mergeCell ref="F11:H11"/>
    <mergeCell ref="A15:H15"/>
    <mergeCell ref="A51:H51"/>
    <mergeCell ref="E7:F7"/>
    <mergeCell ref="G7:H7"/>
    <mergeCell ref="E8:F8"/>
    <mergeCell ref="G8:H8"/>
    <mergeCell ref="E9:F9"/>
    <mergeCell ref="G9:H9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2.xml><?xml version="1.0" encoding="utf-8"?>
<BSO999929 xmlns="http://www.datev.de/BSOffice/999929">1d28246e-14ba-4cc0-81a1-cb88dde2d8b0</BSO999929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3" ma:contentTypeDescription="Ein neues Dokument erstellen." ma:contentTypeScope="" ma:versionID="21d4e400eca12ebf19fe25665737a17a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b9fe44f4a96a2530bf8afe2f7cf38d8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49CEB6-0EF6-4D55-A632-904C8543D061}">
  <ds:schemaRefs>
    <ds:schemaRef ds:uri="http://schemas.microsoft.com/office/2006/metadata/properties"/>
    <ds:schemaRef ds:uri="http://schemas.microsoft.com/office/infopath/2007/PartnerControls"/>
    <ds:schemaRef ds:uri="1b69345e-4f7f-4263-9167-af18e7b0a127"/>
    <ds:schemaRef ds:uri="39610a9a-d901-4909-bf1d-9eb88f698c46"/>
  </ds:schemaRefs>
</ds:datastoreItem>
</file>

<file path=customXml/itemProps2.xml><?xml version="1.0" encoding="utf-8"?>
<ds:datastoreItem xmlns:ds="http://schemas.openxmlformats.org/officeDocument/2006/customXml" ds:itemID="{7ADC7F0A-BA43-42EE-8028-BD5E49F6EA72}">
  <ds:schemaRefs>
    <ds:schemaRef ds:uri="http://www.datev.de/BSOffice/999929"/>
  </ds:schemaRefs>
</ds:datastoreItem>
</file>

<file path=customXml/itemProps3.xml><?xml version="1.0" encoding="utf-8"?>
<ds:datastoreItem xmlns:ds="http://schemas.openxmlformats.org/officeDocument/2006/customXml" ds:itemID="{330E81F0-4ACF-48BF-943C-170848BEF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610a9a-d901-4909-bf1d-9eb88f698c46"/>
    <ds:schemaRef ds:uri="1b69345e-4f7f-4263-9167-af18e7b0a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E0C3BB6-D4D1-4F26-9CBA-63D1B9D0E2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Löhne I-2025 (2)</vt:lpstr>
      <vt:lpstr>Löhne I-2025</vt:lpstr>
      <vt:lpstr>Fibu I-2025 (2)</vt:lpstr>
      <vt:lpstr>Fibu I-2025</vt:lpstr>
      <vt:lpstr>Fibu II-2025</vt:lpstr>
      <vt:lpstr>Löhne II-2025</vt:lpstr>
      <vt:lpstr>Löhne III-2025</vt:lpstr>
      <vt:lpstr>Fibu III-2025</vt:lpstr>
      <vt:lpstr>Fibu IV-2025</vt:lpstr>
      <vt:lpstr>Löhne IV-2025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Charis</cp:lastModifiedBy>
  <cp:lastPrinted>2026-03-10T11:56:27Z</cp:lastPrinted>
  <dcterms:created xsi:type="dcterms:W3CDTF">2009-01-10T15:13:38Z</dcterms:created>
  <dcterms:modified xsi:type="dcterms:W3CDTF">2026-04-19T20:42:17Z</dcterms:modified>
</cp:coreProperties>
</file>